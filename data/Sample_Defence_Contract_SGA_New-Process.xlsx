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sgaindia-my.sharepoint.com/personal/amy_wahlang_sgaindia_onmicrosoft_com/Documents/Documents/Defence Contract_Worksheet/"/>
    </mc:Choice>
  </mc:AlternateContent>
  <xr:revisionPtr revIDLastSave="3317" documentId="13_ncr:1_{5E1B84C9-5A95-488F-85A0-6DE2DAF7289D}" xr6:coauthVersionLast="47" xr6:coauthVersionMax="47" xr10:uidLastSave="{0EE35C40-AE3F-439A-A098-55C03FF5734D}"/>
  <bookViews>
    <workbookView xWindow="-110" yWindow="-110" windowWidth="19420" windowHeight="10300" tabRatio="838" firstSheet="1" activeTab="1" xr2:uid="{00000000-000D-0000-FFFF-FFFF00000000}"/>
  </bookViews>
  <sheets>
    <sheet name="OLD_Capability_Domain_Breakdown" sheetId="3" state="hidden" r:id="rId1"/>
    <sheet name="Contracts" sheetId="1" r:id="rId2"/>
    <sheet name="Dashboard - DRAFT " sheetId="9" state="hidden" r:id="rId3"/>
    <sheet name="May 2023 F-35 value estimation" sheetId="8" state="hidden" r:id="rId4"/>
    <sheet name="DropDown_Fields" sheetId="2" state="hidden" r:id="rId5"/>
    <sheet name="DDFields_Market_Structure" sheetId="5" state="hidden" r:id="rId6"/>
    <sheet name="DDFields_Supplier_Names" sheetId="6" r:id="rId7"/>
    <sheet name="January 2021 US Contracts" sheetId="18" r:id="rId8"/>
    <sheet name="September 2021 US Contracts" sheetId="16" r:id="rId9"/>
    <sheet name="US Aircraft Designations" sheetId="17" r:id="rId10"/>
    <sheet name="DDFields_Contract_Details" sheetId="7" state="hidden" r:id="rId11"/>
    <sheet name="DDFields_Supplier_Customer" sheetId="4" state="hidden" r:id="rId12"/>
    <sheet name="Sheet1" sheetId="12" state="hidden" r:id="rId13"/>
    <sheet name="Sheet3" sheetId="13" state="hidden" r:id="rId14"/>
    <sheet name="Sheet4" sheetId="14" state="hidden" r:id="rId15"/>
    <sheet name="Sheet2" sheetId="11" state="hidden" r:id="rId16"/>
  </sheets>
  <definedNames>
    <definedName name="_xlnm._FilterDatabase" localSheetId="1" hidden="1">Contracts!$A$2:$AC$258</definedName>
    <definedName name="Slicer_Customer_Country">#N/A</definedName>
    <definedName name="Slicer_Customer_Region">#N/A</definedName>
    <definedName name="Slicer_Market_Segment">#N/A</definedName>
    <definedName name="Slicer_Program_Type">#N/A</definedName>
    <definedName name="Slicer_Supplier_Country">#N/A</definedName>
    <definedName name="Slicer_Supplier_Region">#N/A</definedName>
    <definedName name="Slicer_System_Type__General">#N/A</definedName>
  </definedNames>
  <calcPr calcId="191028"/>
  <pivotCaches>
    <pivotCache cacheId="6"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9" l="1"/>
  <c r="Z4" i="9"/>
  <c r="X4" i="9"/>
  <c r="F11" i="9"/>
  <c r="C11" i="9"/>
  <c r="Q4" i="9"/>
  <c r="Q11" i="9"/>
  <c r="N11" i="9"/>
  <c r="J11" i="9"/>
  <c r="F18" i="8"/>
  <c r="E18" i="8"/>
  <c r="D18" i="8"/>
  <c r="C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tc={A402B3FA-24B4-40CD-862D-20E0CB122A95}</author>
    <author>tc={A3C7A3A8-FB1E-4F8E-B4F7-7163AFC3A3D0}</author>
    <author>tc={61B3D1EA-C37A-47F9-B59F-DC289850070D}</author>
    <author>tc={CA8BFD03-139B-4DBF-B768-B8B249CBC0BB}</author>
    <author>tc={E8A24C43-8202-4451-8666-38804420C39F}</author>
    <author>tc={75D6675C-AB6E-49D9-BF6C-F4518A1F59F9}</author>
    <author>tc={222F139E-81F9-4DF1-97FE-63F6825BD68B}</author>
    <author>tc={DE57FE83-23AC-49E5-A015-477B0F7A751E}</author>
    <author>tc={35896B01-BB23-43E9-BB64-806702560CEB}</author>
    <author>tc={603AF143-A365-4A0F-9FC8-587EDE615822}</author>
    <author>tc={242B9312-AFE6-49F8-8F14-C3A052FC5906}</author>
    <author>tc={F4942E7C-103D-4FF3-BB25-4FFE1C13BDD2}</author>
    <author>tc={4C77CA26-17E3-45E5-A7F5-EFC4D0223715}</author>
    <author>tc={CF7D9970-5D66-4E62-9C29-229E714976CF}</author>
    <author>tc={7692166A-EADE-4FCF-92B6-D766B8B6F440}</author>
    <author>tc={9AC6DA39-D663-4FB2-815E-9E9FC538A160}</author>
    <author>tc={1CA0C0D2-A788-49B5-A416-1EB9E9550D2A}</author>
    <author>tc={195DAFD8-6701-4CF3-A5AB-2D75ACB5E9AD}</author>
    <author>tc={484B083B-E41F-4D02-A402-D424D91CA0EB}</author>
    <author>tc={F6471ABA-F9AE-4E14-9D53-43227888D675}</author>
    <author>tc={BBB9631C-6CAB-44A2-AE85-77F92695FD42}</author>
    <author>tc={AF1ACBD9-0D3B-44F6-8B87-F68A3E064B6B}</author>
    <author>tc={F9B3AB82-17C7-42D5-A29A-CA4097290CE3}</author>
    <author>tc={F1DBBB6B-1CB0-4033-90C6-F076529FC738}</author>
    <author>tc={EC6C9923-555D-4B7E-8FD5-DBA40D3D1600}</author>
    <author>tc={DBF0B590-63BB-4683-A2B8-AB7C0ED389D3}</author>
    <author>tc={3096E369-80C2-4569-80F8-9BD2EE8176CA}</author>
    <author>tc={FA9D9492-C115-4526-B505-BAC10F2B0DC6}</author>
    <author>tc={ED7AD51D-AE3A-4B64-94B7-CF91AF046061}</author>
    <author>tc={95540B80-E732-4648-884B-D55C1A3C17B5}</author>
    <author>tc={DF2BA8FE-1902-49D6-B3C7-D53568DC3566}</author>
    <author>tc={709D50F6-F285-411F-BC39-097B87DE8912}</author>
  </authors>
  <commentList>
    <comment ref="M11" authorId="0" shapeId="0" xr:uid="{A402B3FA-24B4-40CD-862D-20E0CB122A95}">
      <text>
        <t xml:space="preserve">[Threaded comment]
Your version of Excel allows you to read this threaded comment; however, any edits to it will get removed if the file is opened in a newer version of Excel. Learn more: https://go.microsoft.com/fwlink/?linkid=870924
Comment:
    Tyonek  Services Overhaul Facility </t>
      </text>
    </comment>
    <comment ref="M14" authorId="1" shapeId="0" xr:uid="{A3C7A3A8-FB1E-4F8E-B4F7-7163AFC3A3D0}">
      <text>
        <t xml:space="preserve">[Threaded comment]
Your version of Excel allows you to read this threaded comment; however, any edits to it will get removed if the file is opened in a newer version of Excel. Learn more: https://go.microsoft.com/fwlink/?linkid=870924
Comment:
    Mayvin Inc. </t>
      </text>
    </comment>
    <comment ref="M17" authorId="2" shapeId="0" xr:uid="{61B3D1EA-C37A-47F9-B59F-DC289850070D}">
      <text>
        <t xml:space="preserve">[Threaded comment]
Your version of Excel allows you to read this threaded comment; however, any edits to it will get removed if the file is opened in a newer version of Excel. Learn more: https://go.microsoft.com/fwlink/?linkid=870924
Comment:
    Global, A 1st Flagship Co. </t>
      </text>
    </comment>
    <comment ref="M22" authorId="3" shapeId="0" xr:uid="{CA8BFD03-139B-4DBF-B768-B8B249CBC0BB}">
      <text>
        <t xml:space="preserve">[Threaded comment]
Your version of Excel allows you to read this threaded comment; however, any edits to it will get removed if the file is opened in a newer version of Excel. Learn more: https://go.microsoft.com/fwlink/?linkid=870924
Comment:
    Jacobs/HDR JV </t>
      </text>
    </comment>
    <comment ref="M93" authorId="4" shapeId="0" xr:uid="{E8A24C43-8202-4451-8666-38804420C39F}">
      <text>
        <t xml:space="preserve">[Threaded comment]
Your version of Excel allows you to read this threaded comment; however, any edits to it will get removed if the file is opened in a newer version of Excel. Learn more: https://go.microsoft.com/fwlink/?linkid=870924
Comment:
    Vigor Marine LLC </t>
      </text>
    </comment>
    <comment ref="M94" authorId="5" shapeId="0" xr:uid="{75D6675C-AB6E-49D9-BF6C-F4518A1F59F9}">
      <text>
        <t xml:space="preserve">[Threaded comment]
Your version of Excel allows you to read this threaded comment; however, any edits to it will get removed if the file is opened in a newer version of Excel. Learn more: https://go.microsoft.com/fwlink/?linkid=870924
Comment:
    Vanquish Worldwide LLC </t>
      </text>
    </comment>
    <comment ref="M99" authorId="6" shapeId="0" xr:uid="{222F139E-81F9-4DF1-97FE-63F6825BD68B}">
      <text>
        <t xml:space="preserve">[Threaded comment]
Your version of Excel allows you to read this threaded comment; however, any edits to it will get removed if the file is opened in a newer version of Excel. Learn more: https://go.microsoft.com/fwlink/?linkid=870924
Comment:
    Merck, Sharp &amp; Dohme Corp. </t>
      </text>
    </comment>
    <comment ref="M101" authorId="7" shapeId="0" xr:uid="{DE57FE83-23AC-49E5-A015-477B0F7A751E}">
      <text>
        <t xml:space="preserve">[Threaded comment]
Your version of Excel allows you to read this threaded comment; however, any edits to it will get removed if the file is opened in a newer version of Excel. Learn more: https://go.microsoft.com/fwlink/?linkid=870924
Comment:
    Precise Systems Inc. </t>
      </text>
    </comment>
    <comment ref="M103" authorId="8" shapeId="0" xr:uid="{35896B01-BB23-43E9-BB64-806702560CEB}">
      <text>
        <t xml:space="preserve">[Threaded comment]
Your version of Excel allows you to read this threaded comment; however, any edits to it will get removed if the file is opened in a newer version of Excel. Learn more: https://go.microsoft.com/fwlink/?linkid=870924
Comment:
    Harris Global Communications Inc. </t>
      </text>
    </comment>
    <comment ref="M105" authorId="9" shapeId="0" xr:uid="{603AF143-A365-4A0F-9FC8-587EDE615822}">
      <text>
        <t xml:space="preserve">[Threaded comment]
Your version of Excel allows you to read this threaded comment; however, any edits to it will get removed if the file is opened in a newer version of Excel. Learn more: https://go.microsoft.com/fwlink/?linkid=870924
Comment:
    Fulcrum Concepts LLC </t>
      </text>
    </comment>
    <comment ref="M110" authorId="10" shapeId="0" xr:uid="{242B9312-AFE6-49F8-8F14-C3A052FC5906}">
      <text>
        <t xml:space="preserve">[Threaded comment]
Your version of Excel allows you to read this threaded comment; however, any edits to it will get removed if the file is opened in a newer version of Excel. Learn more: https://go.microsoft.com/fwlink/?linkid=870924
Comment:
    Q.E.D. Systems Inc. </t>
      </text>
    </comment>
    <comment ref="M111" authorId="11" shapeId="0" xr:uid="{F4942E7C-103D-4FF3-BB25-4FFE1C13BDD2}">
      <text>
        <t xml:space="preserve">[Threaded comment]
Your version of Excel allows you to read this threaded comment; however, any edits to it will get removed if the file is opened in a newer version of Excel. Learn more: https://go.microsoft.com/fwlink/?linkid=870924
Comment:
    Lyon Shipyard Inc. </t>
      </text>
    </comment>
    <comment ref="M114" authorId="12" shapeId="0" xr:uid="{4C77CA26-17E3-45E5-A7F5-EFC4D0223715}">
      <text>
        <t xml:space="preserve">[Threaded comment]
Your version of Excel allows you to read this threaded comment; however, any edits to it will get removed if the file is opened in a newer version of Excel. Learn more: https://go.microsoft.com/fwlink/?linkid=870924
Comment:
    Defender Contracting &amp; Construction Services </t>
      </text>
    </comment>
    <comment ref="M121" authorId="13" shapeId="0" xr:uid="{CF7D9970-5D66-4E62-9C29-229E714976CF}">
      <text>
        <t xml:space="preserve">[Threaded comment]
Your version of Excel allows you to read this threaded comment; however, any edits to it will get removed if the file is opened in a newer version of Excel. Learn more: https://go.microsoft.com/fwlink/?linkid=870924
Comment:
    International Marine &amp; Industrial Applicators LLC </t>
      </text>
    </comment>
    <comment ref="M131" authorId="14" shapeId="0" xr:uid="{7692166A-EADE-4FCF-92B6-D766B8B6F440}">
      <text>
        <t xml:space="preserve">[Threaded comment]
Your version of Excel allows you to read this threaded comment; however, any edits to it will get removed if the file is opened in a newer version of Excel. Learn more: https://go.microsoft.com/fwlink/?linkid=870924
Comment:
    Colonna’s Shipyard Inc. </t>
      </text>
    </comment>
    <comment ref="M132" authorId="15" shapeId="0" xr:uid="{9AC6DA39-D663-4FB2-815E-9E9FC538A160}">
      <text>
        <t xml:space="preserve">[Threaded comment]
Your version of Excel allows you to read this threaded comment; however, any edits to it will get removed if the file is opened in a newer version of Excel. Learn more: https://go.microsoft.com/fwlink/?linkid=870924
Comment:
    East Coast Repair &amp; Fabrication </t>
      </text>
    </comment>
    <comment ref="M137" authorId="16" shapeId="0" xr:uid="{1CA0C0D2-A788-49B5-A416-1EB9E9550D2A}">
      <text>
        <t xml:space="preserve">[Threaded comment]
Your version of Excel allows you to read this threaded comment; however, any edits to it will get removed if the file is opened in a newer version of Excel. Learn more: https://go.microsoft.com/fwlink/?linkid=870924
Comment:
    Zodiac-Poettker HBZ JV II LLC </t>
      </text>
    </comment>
    <comment ref="M139" authorId="17" shapeId="0" xr:uid="{195DAFD8-6701-4CF3-A5AB-2D75ACB5E9AD}">
      <text>
        <t xml:space="preserve">[Threaded comment]
Your version of Excel allows you to read this threaded comment; however, any edits to it will get removed if the file is opened in a newer version of Excel. Learn more: https://go.microsoft.com/fwlink/?linkid=870924
Comment:
    DigiFlight Inc. </t>
      </text>
    </comment>
    <comment ref="M143" authorId="18" shapeId="0" xr:uid="{484B083B-E41F-4D02-A402-D424D91CA0EB}">
      <text>
        <t xml:space="preserve">[Threaded comment]
Your version of Excel allows you to read this threaded comment; however, any edits to it will get removed if the file is opened in a newer version of Excel. Learn more: https://go.microsoft.com/fwlink/?linkid=870924
Comment:
    Mobius Parsons Solutions LLC </t>
      </text>
    </comment>
    <comment ref="M146" authorId="19" shapeId="0" xr:uid="{F6471ABA-F9AE-4E14-9D53-43227888D675}">
      <text>
        <t xml:space="preserve">[Threaded comment]
Your version of Excel allows you to read this threaded comment; however, any edits to it will get removed if the file is opened in a newer version of Excel. Learn more: https://go.microsoft.com/fwlink/?linkid=870924
Comment:
    Meggitt Polymers and Composites </t>
      </text>
    </comment>
    <comment ref="M148" authorId="20" shapeId="0" xr:uid="{BBB9631C-6CAB-44A2-AE85-77F92695FD42}">
      <text>
        <t xml:space="preserve">[Threaded comment]
Your version of Excel allows you to read this threaded comment; however, any edits to it will get removed if the file is opened in a newer version of Excel. Learn more: https://go.microsoft.com/fwlink/?linkid=870924
Comment:
    Environet Inc. </t>
      </text>
    </comment>
    <comment ref="M154" authorId="21" shapeId="0" xr:uid="{AF1ACBD9-0D3B-44F6-8B87-F68A3E064B6B}">
      <text>
        <t xml:space="preserve">[Threaded comment]
Your version of Excel allows you to read this threaded comment; however, any edits to it will get removed if the file is opened in a newer version of Excel. Learn more: https://go.microsoft.com/fwlink/?linkid=870924
Comment:
    Weatherhaven Resources Inc., </t>
      </text>
    </comment>
    <comment ref="M162" authorId="22" shapeId="0" xr:uid="{F9B3AB82-17C7-42D5-A29A-CA4097290CE3}">
      <text>
        <t xml:space="preserve">[Threaded comment]
Your version of Excel allows you to read this threaded comment; however, any edits to it will get removed if the file is opened in a newer version of Excel. Learn more: https://go.microsoft.com/fwlink/?linkid=870924
Comment:
    Insight Public Sector Inc. </t>
      </text>
    </comment>
    <comment ref="M176" authorId="23" shapeId="0" xr:uid="{F1DBBB6B-1CB0-4033-90C6-F076529FC738}">
      <text>
        <t xml:space="preserve">[Threaded comment]
Your version of Excel allows you to read this threaded comment; however, any edits to it will get removed if the file is opened in a newer version of Excel. Learn more: https://go.microsoft.com/fwlink/?linkid=870924
Comment:
    Aechelon Technology </t>
      </text>
    </comment>
    <comment ref="M179" authorId="24" shapeId="0" xr:uid="{EC6C9923-555D-4B7E-8FD5-DBA40D3D1600}">
      <text>
        <t xml:space="preserve">[Threaded comment]
Your version of Excel allows you to read this threaded comment; however, any edits to it will get removed if the file is opened in a newer version of Excel. Learn more: https://go.microsoft.com/fwlink/?linkid=870924
Comment:
    Aktarius LLC </t>
      </text>
    </comment>
    <comment ref="M182" authorId="25" shapeId="0" xr:uid="{DBF0B590-63BB-4683-A2B8-AB7C0ED389D3}">
      <text>
        <t xml:space="preserve">[Threaded comment]
Your version of Excel allows you to read this threaded comment; however, any edits to it will get removed if the file is opened in a newer version of Excel. Learn more: https://go.microsoft.com/fwlink/?linkid=870924
Comment:
    Mobius Consulting LLC </t>
      </text>
    </comment>
    <comment ref="M193" authorId="26" shapeId="0" xr:uid="{3096E369-80C2-4569-80F8-9BD2EE8176CA}">
      <text>
        <t xml:space="preserve">[Threaded comment]
Your version of Excel allows you to read this threaded comment; however, any edits to it will get removed if the file is opened in a newer version of Excel. Learn more: https://go.microsoft.com/fwlink/?linkid=870924
Comment:
    Webcor Construction LP  </t>
      </text>
    </comment>
    <comment ref="M196" authorId="27" shapeId="0" xr:uid="{FA9D9492-C115-4526-B505-BAC10F2B0DC6}">
      <text>
        <t xml:space="preserve">[Threaded comment]
Your version of Excel allows you to read this threaded comment; however, any edits to it will get removed if the file is opened in a newer version of Excel. Learn more: https://go.microsoft.com/fwlink/?linkid=870924
Comment:
    Leading Technology Composites Inc. </t>
      </text>
    </comment>
    <comment ref="M198" authorId="28" shapeId="0" xr:uid="{ED7AD51D-AE3A-4B64-94B7-CF91AF046061}">
      <text>
        <t xml:space="preserve">[Threaded comment]
Your version of Excel allows you to read this threaded comment; however, any edits to it will get removed if the file is opened in a newer version of Excel. Learn more: https://go.microsoft.com/fwlink/?linkid=870924
Comment:
    Clark/Bryne Aquatics JV </t>
      </text>
    </comment>
    <comment ref="M199" authorId="29" shapeId="0" xr:uid="{95540B80-E732-4648-884B-D55C1A3C17B5}">
      <text>
        <t xml:space="preserve">[Threaded comment]
Your version of Excel allows you to read this threaded comment; however, any edits to it will get removed if the file is opened in a newer version of Excel. Learn more: https://go.microsoft.com/fwlink/?linkid=870924
Comment:
    Comcast Government Services LLC </t>
      </text>
    </comment>
    <comment ref="M203" authorId="30" shapeId="0" xr:uid="{DF2BA8FE-1902-49D6-B3C7-D53568DC3566}">
      <text>
        <t xml:space="preserve">[Threaded comment]
Your version of Excel allows you to read this threaded comment; however, any edits to it will get removed if the file is opened in a newer version of Excel. Learn more: https://go.microsoft.com/fwlink/?linkid=870924
Comment:
    ASRC Earthworks LLC </t>
      </text>
    </comment>
    <comment ref="M221" authorId="31" shapeId="0" xr:uid="{709D50F6-F285-411F-BC39-097B87DE8912}">
      <text>
        <t xml:space="preserve">[Threaded comment]
Your version of Excel allows you to read this threaded comment; however, any edits to it will get removed if the file is opened in a newer version of Excel. Learn more: https://go.microsoft.com/fwlink/?linkid=870924
Comment:
    United Kingdom Ministry of Defence </t>
      </text>
    </comment>
  </commentList>
</comments>
</file>

<file path=xl/sharedStrings.xml><?xml version="1.0" encoding="utf-8"?>
<sst xmlns="http://schemas.openxmlformats.org/spreadsheetml/2006/main" count="11416" uniqueCount="3460">
  <si>
    <t>Do these need to align with fleet data options?</t>
  </si>
  <si>
    <t>High Level</t>
  </si>
  <si>
    <t>Infastructure</t>
  </si>
  <si>
    <t>Training</t>
  </si>
  <si>
    <t>Test &amp; Evaluation (T&amp;E)</t>
  </si>
  <si>
    <t>Support/Services: Other</t>
  </si>
  <si>
    <t>CEMA</t>
  </si>
  <si>
    <t>Space</t>
  </si>
  <si>
    <t>Air: Fixed-Wing</t>
  </si>
  <si>
    <t>Air: Rotary Wing</t>
  </si>
  <si>
    <t>Air: Other</t>
  </si>
  <si>
    <t>Other UAV</t>
  </si>
  <si>
    <t>Maritime: Surface</t>
  </si>
  <si>
    <t>Maritime: Sub-Surface</t>
  </si>
  <si>
    <t>Maritime: Other</t>
  </si>
  <si>
    <t>Amphibious Systems</t>
  </si>
  <si>
    <t>Land Vehicles</t>
  </si>
  <si>
    <t>Small Arms &amp; Ammunition</t>
  </si>
  <si>
    <t>Complex Weapons</t>
  </si>
  <si>
    <t>Other Land</t>
  </si>
  <si>
    <t>Persistent Surveillance</t>
  </si>
  <si>
    <t>Other Considerations:</t>
  </si>
  <si>
    <t>So in theory things should be a:</t>
  </si>
  <si>
    <t>Lower Level</t>
  </si>
  <si>
    <t>IT</t>
  </si>
  <si>
    <t>Simulation</t>
  </si>
  <si>
    <t>Cyber Offence</t>
  </si>
  <si>
    <t>Satellites</t>
  </si>
  <si>
    <t>UAS</t>
  </si>
  <si>
    <t>Maritime Helicopters</t>
  </si>
  <si>
    <t>Air Traffic Control System</t>
  </si>
  <si>
    <t>Mini-UAV</t>
  </si>
  <si>
    <t>Multi-Role/Multi-Mission</t>
  </si>
  <si>
    <t>UUV</t>
  </si>
  <si>
    <t>Amphibious Assult/Landing Craft</t>
  </si>
  <si>
    <t>UGV</t>
  </si>
  <si>
    <t>Artillery Systems</t>
  </si>
  <si>
    <t>Hypersonics</t>
  </si>
  <si>
    <t>Soldier Fighting Systems</t>
  </si>
  <si>
    <t>Radar/Sensors</t>
  </si>
  <si>
    <t>Mission Column:</t>
  </si>
  <si>
    <t>Enabling Techbologies:</t>
  </si>
  <si>
    <t>product or service:
-within a certain domain
-include certain enabling technologies
i.e. training for ISR space system</t>
  </si>
  <si>
    <t>Other Infastructure</t>
  </si>
  <si>
    <t>Other Training</t>
  </si>
  <si>
    <t>Cyber Defecne</t>
  </si>
  <si>
    <t>Other Space</t>
  </si>
  <si>
    <t>Bomber</t>
  </si>
  <si>
    <t>Attack Helicopters</t>
  </si>
  <si>
    <t>USV</t>
  </si>
  <si>
    <t>Diesel Sub</t>
  </si>
  <si>
    <t>Amphibious Assault Vehicles</t>
  </si>
  <si>
    <t>AFV</t>
  </si>
  <si>
    <t>Other Small Arms and Ammunition</t>
  </si>
  <si>
    <t>DEW</t>
  </si>
  <si>
    <t>ISTAR</t>
  </si>
  <si>
    <t>MMcM</t>
  </si>
  <si>
    <t>AI</t>
  </si>
  <si>
    <t>My view would be that we need to have a starting point of high-level and an initial stab at the lower-level bits to be revisited once a month for 6 months or so. We can then assess anything that Edward deems as not fitting into what we've currently got (o</t>
  </si>
  <si>
    <t>Crypt Key</t>
  </si>
  <si>
    <t>Combat/Fighter Aircraft</t>
  </si>
  <si>
    <t>S&amp;R Helicopters</t>
  </si>
  <si>
    <t>Aircraft Carrier</t>
  </si>
  <si>
    <t>Nuclear Sub</t>
  </si>
  <si>
    <t>Other Amphibious Systems</t>
  </si>
  <si>
    <t>IFV</t>
  </si>
  <si>
    <t>GBAD</t>
  </si>
  <si>
    <t>C4</t>
  </si>
  <si>
    <t>ASW</t>
  </si>
  <si>
    <t>Machine Learning</t>
  </si>
  <si>
    <t>EW</t>
  </si>
  <si>
    <t>Trainsport/Airlift Aircraft</t>
  </si>
  <si>
    <t>Lift Helicopters</t>
  </si>
  <si>
    <t>Frigate</t>
  </si>
  <si>
    <t>Other Sub-Surface</t>
  </si>
  <si>
    <t>APC</t>
  </si>
  <si>
    <t>Torpedoes</t>
  </si>
  <si>
    <t>Other Persistent Surveillance</t>
  </si>
  <si>
    <t>ASuW</t>
  </si>
  <si>
    <t>Data</t>
  </si>
  <si>
    <t>Probably need to align these very UK centric names for things with something that is recognised by the US - equally going to US centric won't match the rest of the world, we need to be somewhat generic</t>
  </si>
  <si>
    <t>Other CEMA</t>
  </si>
  <si>
    <t>Surveillance Aircraft</t>
  </si>
  <si>
    <t>Other Helicopters</t>
  </si>
  <si>
    <t>OPV</t>
  </si>
  <si>
    <t>MBT</t>
  </si>
  <si>
    <t>Air-To-Air</t>
  </si>
  <si>
    <t>AAW</t>
  </si>
  <si>
    <t>Augmented/Virtual Reality</t>
  </si>
  <si>
    <t>Trainer Aircraft</t>
  </si>
  <si>
    <t>Surveillance/Research</t>
  </si>
  <si>
    <t>Support Vehicles</t>
  </si>
  <si>
    <t>Surface-To-Air</t>
  </si>
  <si>
    <t>C-UAS</t>
  </si>
  <si>
    <t>Composites</t>
  </si>
  <si>
    <t>AEW&amp;C</t>
  </si>
  <si>
    <t>Littoral-Strike</t>
  </si>
  <si>
    <t>Other Wheeled Vehicles</t>
  </si>
  <si>
    <t>Air-To-Surface</t>
  </si>
  <si>
    <t>Navigation</t>
  </si>
  <si>
    <t>Maritime Patrol Aircraft</t>
  </si>
  <si>
    <t>Other Surface</t>
  </si>
  <si>
    <t>Other Tracked Vehicles</t>
  </si>
  <si>
    <t>Air-To-Ground</t>
  </si>
  <si>
    <t>C-CBRN</t>
  </si>
  <si>
    <t>Multi-Role Aircraft</t>
  </si>
  <si>
    <t>Other Compex Weapons</t>
  </si>
  <si>
    <t>Air-to-Air Refuelling</t>
  </si>
  <si>
    <t>Other Fixed-Wing Aircraft</t>
  </si>
  <si>
    <t>Littoral Strike</t>
  </si>
  <si>
    <t>SIGINT</t>
  </si>
  <si>
    <t>System Information</t>
  </si>
  <si>
    <t>Contract Information</t>
  </si>
  <si>
    <t>Additional Information and Sourcing</t>
  </si>
  <si>
    <t>Customer Region</t>
  </si>
  <si>
    <t>Customer Country</t>
  </si>
  <si>
    <t>Customer Operator</t>
  </si>
  <si>
    <t>Supplier Region</t>
  </si>
  <si>
    <t>Supplier Country</t>
  </si>
  <si>
    <t>Domestic Content</t>
  </si>
  <si>
    <t>Market Segment</t>
  </si>
  <si>
    <t>System Type (General)</t>
  </si>
  <si>
    <t>System Type (Specific)</t>
  </si>
  <si>
    <t>System Name (General)</t>
  </si>
  <si>
    <t>System Name (Specific)</t>
  </si>
  <si>
    <t>System Piloting</t>
  </si>
  <si>
    <t>Supplier Name</t>
  </si>
  <si>
    <t>Program Type</t>
  </si>
  <si>
    <t>Expected MRO Contract Duration (Months)</t>
  </si>
  <si>
    <t>Quantity</t>
  </si>
  <si>
    <t>Value Certainty</t>
  </si>
  <si>
    <t>Value (Million)</t>
  </si>
  <si>
    <t>Currency</t>
  </si>
  <si>
    <t>Value (USD$ Million)</t>
  </si>
  <si>
    <t>G2G/B2G</t>
  </si>
  <si>
    <t>Signing Month</t>
  </si>
  <si>
    <t>Signing Year</t>
  </si>
  <si>
    <t>Description of Contract</t>
  </si>
  <si>
    <t>Additional Notes (Internal Only)</t>
  </si>
  <si>
    <t>Source Link(s)</t>
  </si>
  <si>
    <t>Contract Date</t>
  </si>
  <si>
    <t>Reported Date (By SGA)</t>
  </si>
  <si>
    <t>North America</t>
  </si>
  <si>
    <t>USA</t>
  </si>
  <si>
    <t>Navy</t>
  </si>
  <si>
    <t>Imported</t>
  </si>
  <si>
    <t>Naval Platforms</t>
  </si>
  <si>
    <t>Logistics and Support (Maritime)</t>
  </si>
  <si>
    <t>Logistics and Support Other (Maritime)</t>
  </si>
  <si>
    <t>Crewed</t>
  </si>
  <si>
    <t>Raytheon Technologies</t>
  </si>
  <si>
    <t>MRO/Support</t>
  </si>
  <si>
    <t>Unknown</t>
  </si>
  <si>
    <t>Confirmed</t>
  </si>
  <si>
    <t>USD$</t>
  </si>
  <si>
    <t>B2G</t>
  </si>
  <si>
    <t>February</t>
  </si>
  <si>
    <t>Europe</t>
  </si>
  <si>
    <t>Georgia</t>
  </si>
  <si>
    <t>Air Force</t>
  </si>
  <si>
    <t>Air Platforms</t>
  </si>
  <si>
    <t>Fixed Wing</t>
  </si>
  <si>
    <t>Transport Aircraft</t>
  </si>
  <si>
    <t>C-130</t>
  </si>
  <si>
    <t>Rolls-Royce plc</t>
  </si>
  <si>
    <t>Defense Wide</t>
  </si>
  <si>
    <t>Indigenous</t>
  </si>
  <si>
    <t>Infrastructure</t>
  </si>
  <si>
    <t>RDT&amp;E Facilities</t>
  </si>
  <si>
    <t>Medical Equipment</t>
  </si>
  <si>
    <t>Procurement</t>
  </si>
  <si>
    <t>Not Applicable</t>
  </si>
  <si>
    <t>Space Systems</t>
  </si>
  <si>
    <t>Satellite</t>
  </si>
  <si>
    <t>ViaSat Inc</t>
  </si>
  <si>
    <t>RDT&amp;E</t>
  </si>
  <si>
    <t>Weapon Systems</t>
  </si>
  <si>
    <t>Electronic Warfare Systems</t>
  </si>
  <si>
    <t>Electronic Jamming</t>
  </si>
  <si>
    <t>Uncrewed</t>
  </si>
  <si>
    <t>Northrop Grumman</t>
  </si>
  <si>
    <t>G2G</t>
  </si>
  <si>
    <t>C4ISR Systems</t>
  </si>
  <si>
    <t>Cyber</t>
  </si>
  <si>
    <t>Cyber Defense</t>
  </si>
  <si>
    <t>Leidos</t>
  </si>
  <si>
    <t>Integrated C4ISR System</t>
  </si>
  <si>
    <t>Optional</t>
  </si>
  <si>
    <t>Scientific Research Corp.</t>
  </si>
  <si>
    <t>Army</t>
  </si>
  <si>
    <t>Land Platforms</t>
  </si>
  <si>
    <t>Logistics &amp; Support</t>
  </si>
  <si>
    <t>Light Tactical/Utility Vehicles</t>
  </si>
  <si>
    <t>Oshkosh</t>
  </si>
  <si>
    <t>Upgrade</t>
  </si>
  <si>
    <t>Amphibious (Maritime)</t>
  </si>
  <si>
    <t>BAE Systems</t>
  </si>
  <si>
    <t>Guided Artillery Round</t>
  </si>
  <si>
    <t>Local Assembly</t>
  </si>
  <si>
    <t>General Dynamics</t>
  </si>
  <si>
    <t>Radar</t>
  </si>
  <si>
    <t>Multi-Mission Radar</t>
  </si>
  <si>
    <t>Other Maritime</t>
  </si>
  <si>
    <t>Huntington Ingalls</t>
  </si>
  <si>
    <t>Estimated</t>
  </si>
  <si>
    <t>Southwest Resc'h</t>
  </si>
  <si>
    <t>Training &amp; Simulation</t>
  </si>
  <si>
    <t>Other</t>
  </si>
  <si>
    <t>Georgia Tech</t>
  </si>
  <si>
    <t>Production Facilities</t>
  </si>
  <si>
    <t>Lockheed Martin</t>
  </si>
  <si>
    <t>Training Aids</t>
  </si>
  <si>
    <t>Cubic Corporation</t>
  </si>
  <si>
    <t>Maintenance Facilities</t>
  </si>
  <si>
    <t>InDyne</t>
  </si>
  <si>
    <t>Integrated Weapon Systems</t>
  </si>
  <si>
    <t xml:space="preserve">Charles Stark Draper </t>
  </si>
  <si>
    <t>Target Drone</t>
  </si>
  <si>
    <t>Fighter</t>
  </si>
  <si>
    <t>L3 Technologies</t>
  </si>
  <si>
    <t>March</t>
  </si>
  <si>
    <t>Rotary Wing</t>
  </si>
  <si>
    <t>Rotary Wing Transport</t>
  </si>
  <si>
    <t>Honeywell</t>
  </si>
  <si>
    <t>Sikorsky</t>
  </si>
  <si>
    <t>Counter-UAS System</t>
  </si>
  <si>
    <t>Launchers</t>
  </si>
  <si>
    <t>AMTEC Corp.</t>
  </si>
  <si>
    <t>Artificial Intelligence</t>
  </si>
  <si>
    <t>Assured Information Security Inc.</t>
  </si>
  <si>
    <t>Ricardo PLC</t>
  </si>
  <si>
    <t>Surface Combatants</t>
  </si>
  <si>
    <t>Other Surface Combatants</t>
  </si>
  <si>
    <t>StandardAero Inc.</t>
  </si>
  <si>
    <t>Fire Control Radar</t>
  </si>
  <si>
    <t>Communications</t>
  </si>
  <si>
    <t>Sub-Surface</t>
  </si>
  <si>
    <t>Ammunition</t>
  </si>
  <si>
    <t>Armoured Fighting Vehicles</t>
  </si>
  <si>
    <t>Main Battle Tank</t>
  </si>
  <si>
    <t>alliant Techsystems Operations</t>
  </si>
  <si>
    <t>Armoured Utility/Protected Patrol Vehicles</t>
  </si>
  <si>
    <t>WULCO Inc.</t>
  </si>
  <si>
    <t>Nuclear-Powered Submarine</t>
  </si>
  <si>
    <t>Precision Guided Weapons</t>
  </si>
  <si>
    <t>Guided Bomb</t>
  </si>
  <si>
    <t>April</t>
  </si>
  <si>
    <t>Trainers</t>
  </si>
  <si>
    <t>Textron</t>
  </si>
  <si>
    <t>Bell Boeing</t>
  </si>
  <si>
    <t>ManTech</t>
  </si>
  <si>
    <t>Mine Warfare/Mine Countermeasures (Maritime)</t>
  </si>
  <si>
    <t>Mine Counter-Measures</t>
  </si>
  <si>
    <t>Hydroid Inc</t>
  </si>
  <si>
    <t>Johns Hopkins University</t>
  </si>
  <si>
    <t>West Coast JV,</t>
  </si>
  <si>
    <t>France</t>
  </si>
  <si>
    <t>Ultra Electronics</t>
  </si>
  <si>
    <t>Science Applications International</t>
  </si>
  <si>
    <t>Missile</t>
  </si>
  <si>
    <t>Ballistic Missile</t>
  </si>
  <si>
    <t>Rotary Wing Attack</t>
  </si>
  <si>
    <t>Boeing</t>
  </si>
  <si>
    <t>Maritime Aircraft</t>
  </si>
  <si>
    <t>Air-to-Surface</t>
  </si>
  <si>
    <t>Asia-Pacific</t>
  </si>
  <si>
    <t>Taiwan</t>
  </si>
  <si>
    <t>Fixed Wing Other</t>
  </si>
  <si>
    <t>University of Dayton Research Institute</t>
  </si>
  <si>
    <t>Surface-to-Surface</t>
  </si>
  <si>
    <t>Simulators</t>
  </si>
  <si>
    <t>Saguaro Business Solutions LLC</t>
  </si>
  <si>
    <t>Middle East and North Africa</t>
  </si>
  <si>
    <t>Iraq</t>
  </si>
  <si>
    <t>Aircraft Basing</t>
  </si>
  <si>
    <t>F-16</t>
  </si>
  <si>
    <t>Sallyport Global Holdings</t>
  </si>
  <si>
    <t>Japan</t>
  </si>
  <si>
    <t>Defensive Systems</t>
  </si>
  <si>
    <t>Defensive Aid Suite</t>
  </si>
  <si>
    <t>Tanker</t>
  </si>
  <si>
    <t>Amphibious Assault Ship</t>
  </si>
  <si>
    <t>May</t>
  </si>
  <si>
    <t>Electronic Attack</t>
  </si>
  <si>
    <t>Alliant Techsystems Operations</t>
  </si>
  <si>
    <t>Landing Craft</t>
  </si>
  <si>
    <t>Swiftships SB LLC</t>
  </si>
  <si>
    <t>Norway</t>
  </si>
  <si>
    <t>Remote Weapon System</t>
  </si>
  <si>
    <t>Kongsberg</t>
  </si>
  <si>
    <t>Bren-Tronics</t>
  </si>
  <si>
    <t>Physical Optics</t>
  </si>
  <si>
    <t>Korte Construction</t>
  </si>
  <si>
    <t>Amentum Services</t>
  </si>
  <si>
    <t>Landing Platform Dock</t>
  </si>
  <si>
    <t>Landing Ship</t>
  </si>
  <si>
    <t>Amphibious Other (Maritime)</t>
  </si>
  <si>
    <t>Data links</t>
  </si>
  <si>
    <t>Learjet</t>
  </si>
  <si>
    <t>June</t>
  </si>
  <si>
    <t>Wheeled Armoured Fighting Vehicles</t>
  </si>
  <si>
    <t>Destroyers</t>
  </si>
  <si>
    <t>General Dynamics Electric Boat</t>
  </si>
  <si>
    <t>Surface-to-Air</t>
  </si>
  <si>
    <t>Airbus</t>
  </si>
  <si>
    <t>Air Search Radar</t>
  </si>
  <si>
    <t>Cole Engineering Services</t>
  </si>
  <si>
    <t>Electro-optic Sensor</t>
  </si>
  <si>
    <t>Imaging EO/IR</t>
  </si>
  <si>
    <t>Stark Aerospace</t>
  </si>
  <si>
    <t>ECS Federal</t>
  </si>
  <si>
    <t>Raytheon Missiles &amp; Defense</t>
  </si>
  <si>
    <t>July</t>
  </si>
  <si>
    <t>ISR-Strike</t>
  </si>
  <si>
    <t>General Atomics Aeronautical Systems</t>
  </si>
  <si>
    <t>Tracked Armoured Fighting Vehicles</t>
  </si>
  <si>
    <t>BAE Systems Land &amp; Armaments</t>
  </si>
  <si>
    <t>Artillery</t>
  </si>
  <si>
    <t>Self-Propelled Artillery</t>
  </si>
  <si>
    <t>Lockheed Martin Missile and Fire Control</t>
  </si>
  <si>
    <t>General Electric</t>
  </si>
  <si>
    <t>C4ISR</t>
  </si>
  <si>
    <t>Wartsila</t>
  </si>
  <si>
    <t>PAE Aviation and Technical Services</t>
  </si>
  <si>
    <t>American Ordnance</t>
  </si>
  <si>
    <t>Kratos Unmanned Aerial Systems</t>
  </si>
  <si>
    <t>August</t>
  </si>
  <si>
    <t>Booz Allen Hamilton</t>
  </si>
  <si>
    <t>Ball Aerospace &amp; Technologies</t>
  </si>
  <si>
    <t>Foreign Assistance</t>
  </si>
  <si>
    <t>TCOM</t>
  </si>
  <si>
    <t>Air-to-Air</t>
  </si>
  <si>
    <t>Raytheon Missiles and Defense</t>
  </si>
  <si>
    <t>F/A-18</t>
  </si>
  <si>
    <t>September</t>
  </si>
  <si>
    <t>Hensel Phelps Construction</t>
  </si>
  <si>
    <t>EFW </t>
  </si>
  <si>
    <t>Rotary Wing Maritime</t>
  </si>
  <si>
    <t>October</t>
  </si>
  <si>
    <t>Amherst Systems</t>
  </si>
  <si>
    <t>Crew Training International</t>
  </si>
  <si>
    <t>November</t>
  </si>
  <si>
    <t>Torpedo</t>
  </si>
  <si>
    <t>Heavy Weight Torpedo</t>
  </si>
  <si>
    <t>Lockheed Martin Sippican</t>
  </si>
  <si>
    <t>Air-to-Ship</t>
  </si>
  <si>
    <t>Bechtel Group</t>
  </si>
  <si>
    <t>December</t>
  </si>
  <si>
    <t>F-35</t>
  </si>
  <si>
    <t>https://www.defense.gov/News/Contracts/Contract/Article/2871869/</t>
  </si>
  <si>
    <t>General Dynamics-OTS</t>
  </si>
  <si>
    <t>Air and Missile Defense System</t>
  </si>
  <si>
    <t>Marvin Engineering</t>
  </si>
  <si>
    <t>Lockheed Martin Space</t>
  </si>
  <si>
    <t>Goodrich Corp.</t>
  </si>
  <si>
    <t>Kuwait</t>
  </si>
  <si>
    <t>Kay and Associates</t>
  </si>
  <si>
    <t>Bechtel Plant Machinery</t>
  </si>
  <si>
    <t>BAE Systems Ordnance Systems</t>
  </si>
  <si>
    <t>Hybrid</t>
  </si>
  <si>
    <t>Bell Boeing Joint Program Office</t>
  </si>
  <si>
    <t>January</t>
  </si>
  <si>
    <t>Mercury Mission Systems</t>
  </si>
  <si>
    <t>Radios</t>
  </si>
  <si>
    <t>Raytheon Co. Missile Systems</t>
  </si>
  <si>
    <t>Satellite Communications</t>
  </si>
  <si>
    <t>Raytheon Blackbird Technologies</t>
  </si>
  <si>
    <t>System High Corp</t>
  </si>
  <si>
    <t>Sonar</t>
  </si>
  <si>
    <t>L3Harris Technologies</t>
  </si>
  <si>
    <t>Sikorsky Aircraft Corp</t>
  </si>
  <si>
    <t>Smartronix Inc</t>
  </si>
  <si>
    <t>Air Traffic Management</t>
  </si>
  <si>
    <t>Goldwings Supply Service</t>
  </si>
  <si>
    <t>Naval Gun</t>
  </si>
  <si>
    <t>Olin Winchester</t>
  </si>
  <si>
    <t>Peraton Technology Services</t>
  </si>
  <si>
    <t>Trident II</t>
  </si>
  <si>
    <t>Lektron </t>
  </si>
  <si>
    <t>Small Arms</t>
  </si>
  <si>
    <t>SIG Sauer</t>
  </si>
  <si>
    <t>Northrop Grumman Defense Systems Sector</t>
  </si>
  <si>
    <t>Lockheed Martin, Rotary and Mission Systems</t>
  </si>
  <si>
    <t>HIMARS</t>
  </si>
  <si>
    <t>Multiple</t>
  </si>
  <si>
    <t>Hamilton Sundstrand</t>
  </si>
  <si>
    <t>Other C4ISR</t>
  </si>
  <si>
    <t>Northrop Grumman Aerospace</t>
  </si>
  <si>
    <t>Harper Construction</t>
  </si>
  <si>
    <t>R.A. Burch Construction</t>
  </si>
  <si>
    <t>India</t>
  </si>
  <si>
    <t>Lockheed Martin – Rotary and Mission Systems</t>
  </si>
  <si>
    <t>Trace Systems</t>
  </si>
  <si>
    <t>Northrop Grumman Space Systems Sector</t>
  </si>
  <si>
    <t>Italy</t>
  </si>
  <si>
    <t>L-3 Communications Integrated Systems</t>
  </si>
  <si>
    <t>Utilities</t>
  </si>
  <si>
    <t>Flint Electric Membership</t>
  </si>
  <si>
    <t>Other Service</t>
  </si>
  <si>
    <t>Lockheed Martin Aeronautics</t>
  </si>
  <si>
    <t>Gray Analytics</t>
  </si>
  <si>
    <t>Collins Aerospace</t>
  </si>
  <si>
    <t>Saudi Arabia</t>
  </si>
  <si>
    <t>Shipyards/Ports/Harbours</t>
  </si>
  <si>
    <t>H2O Guam JV</t>
  </si>
  <si>
    <t>Canada</t>
  </si>
  <si>
    <t>Australia</t>
  </si>
  <si>
    <t>South Korea</t>
  </si>
  <si>
    <t>Spain</t>
  </si>
  <si>
    <t>LTM Inc</t>
  </si>
  <si>
    <t>Alberici-Mortenson</t>
  </si>
  <si>
    <t>Atlantic Signal</t>
  </si>
  <si>
    <t>PNT Systems</t>
  </si>
  <si>
    <t>Haight Bey &amp; Associates</t>
  </si>
  <si>
    <t>Container Research Corp</t>
  </si>
  <si>
    <t>Essex Electro Engineers</t>
  </si>
  <si>
    <t>TechFlow Mission Support</t>
  </si>
  <si>
    <t>Teledyne</t>
  </si>
  <si>
    <t>United Arab Emirates</t>
  </si>
  <si>
    <t>Ballistic Missile Defense System</t>
  </si>
  <si>
    <t>Ship-to-Ship</t>
  </si>
  <si>
    <t>Chugach Range and Facilities Services</t>
  </si>
  <si>
    <t>Raytheon Space and Airborne Systems</t>
  </si>
  <si>
    <t>Filius Corp</t>
  </si>
  <si>
    <t>ACE Maintenance &amp; Services</t>
  </si>
  <si>
    <t>Teradyne</t>
  </si>
  <si>
    <t>Research/Survey Vessels</t>
  </si>
  <si>
    <t>Crowley Maritime</t>
  </si>
  <si>
    <t>Innovative Scientific Solutions</t>
  </si>
  <si>
    <t>Rotary Wing Other</t>
  </si>
  <si>
    <t>Delavan</t>
  </si>
  <si>
    <t>DynCorp Int'l</t>
  </si>
  <si>
    <t>Trucks</t>
  </si>
  <si>
    <t>Covalus</t>
  </si>
  <si>
    <t>Bombs</t>
  </si>
  <si>
    <t>Chromalloy Component Services</t>
  </si>
  <si>
    <t>Utility Works</t>
  </si>
  <si>
    <t>Explosives</t>
  </si>
  <si>
    <t>Mnemonics</t>
  </si>
  <si>
    <t>Armorworks Enterprises</t>
  </si>
  <si>
    <t>Kilgore Flares</t>
  </si>
  <si>
    <t>Non-military IT</t>
  </si>
  <si>
    <t>Archer Western</t>
  </si>
  <si>
    <t>Armtec Countermeasures</t>
  </si>
  <si>
    <t>Accomodation</t>
  </si>
  <si>
    <t>Repair Ships</t>
  </si>
  <si>
    <t>Metro Machine</t>
  </si>
  <si>
    <t>Light Combat Aircraft</t>
  </si>
  <si>
    <t>Safran</t>
  </si>
  <si>
    <t>General Dynamics Land Systems</t>
  </si>
  <si>
    <t>Granite-Obayashi</t>
  </si>
  <si>
    <t>Raytheon Intelligence &amp; Space</t>
  </si>
  <si>
    <t>Ensign Bickford</t>
  </si>
  <si>
    <t>Garco Construction Inc.</t>
  </si>
  <si>
    <t>L-3 Fuzing and Ordnance Systems</t>
  </si>
  <si>
    <t>Austal Limited</t>
  </si>
  <si>
    <t xml:space="preserve">Surface Surveillance Radar </t>
  </si>
  <si>
    <t>DRS Laurel Technologies</t>
  </si>
  <si>
    <t>Anti-Space</t>
  </si>
  <si>
    <t>Summit Technical Solutions</t>
  </si>
  <si>
    <t>United Kingdom</t>
  </si>
  <si>
    <t>M1 Support Services</t>
  </si>
  <si>
    <t>The MIL Corp.</t>
  </si>
  <si>
    <t>CSRA LLC</t>
  </si>
  <si>
    <t>Ocean Transport/Tanker/Cargo/Oiler</t>
  </si>
  <si>
    <t>Patriot Contract Svcs</t>
  </si>
  <si>
    <t>Serco Group plc</t>
  </si>
  <si>
    <t>Armtec Defense Products</t>
  </si>
  <si>
    <t>Alloy Surfaces</t>
  </si>
  <si>
    <t>Thoma-Sea Ship</t>
  </si>
  <si>
    <t>Valley Tech Systems</t>
  </si>
  <si>
    <t>United Launch Alliance</t>
  </si>
  <si>
    <t>SpaceX</t>
  </si>
  <si>
    <t>Keysight Technologies</t>
  </si>
  <si>
    <t>Azure Summit Technology</t>
  </si>
  <si>
    <t>Philadelphia Yard</t>
  </si>
  <si>
    <t>Continental Maritime</t>
  </si>
  <si>
    <t>Germany</t>
  </si>
  <si>
    <t>Stratascorp</t>
  </si>
  <si>
    <t>Rockwell Collins</t>
  </si>
  <si>
    <t>Loitering Munitions</t>
  </si>
  <si>
    <t>AeroVironment</t>
  </si>
  <si>
    <t>FLightSafety</t>
  </si>
  <si>
    <t>USS Columbus</t>
  </si>
  <si>
    <t>Command and Control</t>
  </si>
  <si>
    <t>Command and Control System</t>
  </si>
  <si>
    <t>Bulgaria</t>
  </si>
  <si>
    <t>Kratos Defense</t>
  </si>
  <si>
    <t>Synergy Electric Company</t>
  </si>
  <si>
    <t>Custom Manufacturing &amp; Engineering</t>
  </si>
  <si>
    <t>Targeting EO/IR</t>
  </si>
  <si>
    <t>East West Industries</t>
  </si>
  <si>
    <t>MPR Associates </t>
  </si>
  <si>
    <t>Turkey</t>
  </si>
  <si>
    <t>Mine Hunter</t>
  </si>
  <si>
    <t>Bahrain</t>
  </si>
  <si>
    <t>ARCTOS Technology Solutions</t>
  </si>
  <si>
    <t>Enlighten IT Consulting</t>
  </si>
  <si>
    <t>Barrett Firearms</t>
  </si>
  <si>
    <t>Thales</t>
  </si>
  <si>
    <t>Mine Sweeper</t>
  </si>
  <si>
    <t>DCS Corp.</t>
  </si>
  <si>
    <t>Applied Physical Sciences</t>
  </si>
  <si>
    <t>SupplyCore</t>
  </si>
  <si>
    <t>Latin America</t>
  </si>
  <si>
    <t>Brazil</t>
  </si>
  <si>
    <t>Federal Resources</t>
  </si>
  <si>
    <t>General Atomics</t>
  </si>
  <si>
    <t>Cruisers</t>
  </si>
  <si>
    <t>International Organisations</t>
  </si>
  <si>
    <t>Battelle</t>
  </si>
  <si>
    <t>Penguin Computing</t>
  </si>
  <si>
    <t>Mancon</t>
  </si>
  <si>
    <t>Integrated Marine Services</t>
  </si>
  <si>
    <t>Compass Systems</t>
  </si>
  <si>
    <t>DRS Sustainment Systems</t>
  </si>
  <si>
    <t>IronMountain Solutions</t>
  </si>
  <si>
    <t>Saab</t>
  </si>
  <si>
    <t>SyQwest</t>
  </si>
  <si>
    <t>Advanced Technology Systems</t>
  </si>
  <si>
    <t>Loc Performance Products</t>
  </si>
  <si>
    <t>Cleveland Construction</t>
  </si>
  <si>
    <t>Military Bridges</t>
  </si>
  <si>
    <t>Canadian Commercial Corp</t>
  </si>
  <si>
    <t>Systima Technologies</t>
  </si>
  <si>
    <t>F-35A</t>
  </si>
  <si>
    <t>Ocean Ships</t>
  </si>
  <si>
    <t>ImSAR LLC</t>
  </si>
  <si>
    <t>Systems Application &amp; Technologies</t>
  </si>
  <si>
    <t>Western Metal Supply</t>
  </si>
  <si>
    <t>CACI</t>
  </si>
  <si>
    <t>Konecranes Nuclear Equipment and Services</t>
  </si>
  <si>
    <t>Progeny Systems</t>
  </si>
  <si>
    <t>The Whiting-Turner Contracting Co.</t>
  </si>
  <si>
    <t>ACC Construction Co.</t>
  </si>
  <si>
    <t>WEBCO</t>
  </si>
  <si>
    <t>Launch Vehicle</t>
  </si>
  <si>
    <t>REEL COH</t>
  </si>
  <si>
    <t>New Zealand</t>
  </si>
  <si>
    <t>Waterman Transport</t>
  </si>
  <si>
    <t>SAIC</t>
  </si>
  <si>
    <t>Prototype</t>
  </si>
  <si>
    <t>Security Signals </t>
  </si>
  <si>
    <t>Wolverine Tube</t>
  </si>
  <si>
    <t>BC Customs LLC</t>
  </si>
  <si>
    <t>COLSA</t>
  </si>
  <si>
    <t>KBR</t>
  </si>
  <si>
    <t>TLD America</t>
  </si>
  <si>
    <t>Frigates</t>
  </si>
  <si>
    <t>Marinette Marine Corp.</t>
  </si>
  <si>
    <t>Crane Technologies Group </t>
  </si>
  <si>
    <t>IDSC Holdings</t>
  </si>
  <si>
    <t>AAR Manufacturing</t>
  </si>
  <si>
    <t>Schutt Industries</t>
  </si>
  <si>
    <t>B &amp; D Electric</t>
  </si>
  <si>
    <t>Vector CSP LLC</t>
  </si>
  <si>
    <t>Accurate Machine &amp; Tool Corp</t>
  </si>
  <si>
    <t>Mississippi State University</t>
  </si>
  <si>
    <t>Stephenson Stellar Corp</t>
  </si>
  <si>
    <t>Vectrus Systems Corp.</t>
  </si>
  <si>
    <t>IAP Worldwide Svc</t>
  </si>
  <si>
    <t>Egypt</t>
  </si>
  <si>
    <t>Afghanistan</t>
  </si>
  <si>
    <t>MD Helicopters</t>
  </si>
  <si>
    <t>Alpha Marine</t>
  </si>
  <si>
    <t>Earthly Dynamics</t>
  </si>
  <si>
    <t>Woolpert Inc</t>
  </si>
  <si>
    <t>Computers</t>
  </si>
  <si>
    <t>Halter Marine</t>
  </si>
  <si>
    <t>Marion Manufacturing</t>
  </si>
  <si>
    <t>Bath Iron Works</t>
  </si>
  <si>
    <t>FN America LLC</t>
  </si>
  <si>
    <t>Israel</t>
  </si>
  <si>
    <t>CDM Constructors</t>
  </si>
  <si>
    <t>QED Systems Inc</t>
  </si>
  <si>
    <t>Florida State University - Center for Advanced Power Systems</t>
  </si>
  <si>
    <t>International Marine &amp; Industrial Applicators </t>
  </si>
  <si>
    <t>Tunisia</t>
  </si>
  <si>
    <t>DRS Network and Imaging Systems</t>
  </si>
  <si>
    <t>Zodiac-Poettker HBZ JV II LLC</t>
  </si>
  <si>
    <t>Netherlands</t>
  </si>
  <si>
    <t>DigiFlight</t>
  </si>
  <si>
    <t>Globe Composite Solutions</t>
  </si>
  <si>
    <t>Cianbro</t>
  </si>
  <si>
    <t>Tactical Air Support Inc.</t>
  </si>
  <si>
    <t>AT&amp;T</t>
  </si>
  <si>
    <t>Martin-Baker Aircraft</t>
  </si>
  <si>
    <t>Ship-to-Air</t>
  </si>
  <si>
    <t>United Kingdom Ministry of Defence</t>
  </si>
  <si>
    <t>Ultimate Training Munitions</t>
  </si>
  <si>
    <t>PAS Technologies </t>
  </si>
  <si>
    <t>Mines</t>
  </si>
  <si>
    <t>Sea Mine</t>
  </si>
  <si>
    <t>Metro Machine Corp</t>
  </si>
  <si>
    <t>Kearfott Corp</t>
  </si>
  <si>
    <t>DCM Clean Air Products</t>
  </si>
  <si>
    <t>Isometrics </t>
  </si>
  <si>
    <t>Management Services </t>
  </si>
  <si>
    <t>Elbit Systems</t>
  </si>
  <si>
    <t>Howell Industries</t>
  </si>
  <si>
    <t>Airdyne Aerospace</t>
  </si>
  <si>
    <t>Walsh Federal LLC</t>
  </si>
  <si>
    <t>Dominion Energy</t>
  </si>
  <si>
    <t>Vertex Aerospace</t>
  </si>
  <si>
    <t>Bionetics</t>
  </si>
  <si>
    <t>Choctaw Defense Manufacturing</t>
  </si>
  <si>
    <t>Centauri</t>
  </si>
  <si>
    <t>Andritz Hydro Corp.</t>
  </si>
  <si>
    <t>Dynetics Technical Solutions</t>
  </si>
  <si>
    <t>DRS Naval Power Systems</t>
  </si>
  <si>
    <t>Fluor Marine Propulsion</t>
  </si>
  <si>
    <t>Navigation Radar</t>
  </si>
  <si>
    <t>AAR Supply Chain Inc.</t>
  </si>
  <si>
    <t>Chemring</t>
  </si>
  <si>
    <t>FLIR</t>
  </si>
  <si>
    <t>Aircraft Readiness Alliance</t>
  </si>
  <si>
    <t>Fincantieri</t>
  </si>
  <si>
    <t>Marine Hydraulics</t>
  </si>
  <si>
    <t>Sentry View Systems</t>
  </si>
  <si>
    <t>Belgium</t>
  </si>
  <si>
    <t>Guided Rocket</t>
  </si>
  <si>
    <t>ERAPSCO</t>
  </si>
  <si>
    <t>ASRC Federal</t>
  </si>
  <si>
    <t>AAR Government Services</t>
  </si>
  <si>
    <t>Advanced Anti-Radiation Guided Missile (AARGM)</t>
  </si>
  <si>
    <t>AGM-88G AARGM-ER</t>
  </si>
  <si>
    <t>Alliant Techsystems Operations LLC (a wholly-owned subsidiary of Northrop Grumman Defense Systems Inc.), Northridge, California, is awarded a $45,662,690 firm-fixed-price modification (P00001) to a previously awarded contract (N0001921C0044). This modification exercises options to procure low rate initial production Lot Two of the Air to Ground Missile (AGM)-88G Advanced Anti-Radiation Guided Missile - Extended Range (AARGM-ER). Specifically, this modification provides for the production and delivery of 16 AGM-88G AARGM-ER all up rounds, six AGM-88G AARGM-ER Captive Air Training Missiles, four Common Munitions Built-in-Test Reprogramming Equipment+ Interface Devices, initial spares, and required manufacturing supplies and support. Work will be performed in Northridge, California (61%); Rocket Center, West Virginia (32%); and Ridgecrest, California (7%), and is expected to be completed in December 2024. Fiscal 2022 weapons procurement (Navy) funds in the amount of $45,611,925; and fiscal 2021 weapons procurement (Navy) in the amount of $50,765 will be obligated at time of award, none of which will expire at the end of the current fiscal year. The Naval Air Systems Command, Patuxent River, Maryland, is the contracting activity. </t>
  </si>
  <si>
    <t>Management Services Group Inc., doing business as Global Technical Systems,* Virginia Beach, Virginia, is awarded an $84,680,504 firm-fixed-price, indefinite-delivery/indefinite-quantity contract.  This contract procures one lot of ALQ-167 and ULQ-24C pods, associated hardware for pod modifications, and technical data in support of electronic attack/electronic warfare threat simulation for weapons development, test, and evaluation, fleet training, and target applications for the Department of Defense. Work will be performed in Virginia Beach, Virginia, and is expected to be completed in December 2026. No funds will be obligated at time of award; funds will be obligated on individual orders as they are issued. This contract was competitively procured as a small business set-aside; two offers were received. The Naval Air Warfare Command Weapons Division, Point Mugu, California, is the contracting activity (N6893622D0011). </t>
  </si>
  <si>
    <t>https://www.defense.gov/News/Contracts/Contract/Article/2873570/</t>
  </si>
  <si>
    <t>L3 Doss Aviation</t>
  </si>
  <si>
    <t>Leonardo</t>
  </si>
  <si>
    <t>AgustaWestland Philadelphia </t>
  </si>
  <si>
    <t>Nammo</t>
  </si>
  <si>
    <t>Consortium Management Group</t>
  </si>
  <si>
    <t>Light Weight Torpedo</t>
  </si>
  <si>
    <t>FGS</t>
  </si>
  <si>
    <t>Navistar Defense LLC</t>
  </si>
  <si>
    <t>Voith Hydro</t>
  </si>
  <si>
    <t>Delfasco</t>
  </si>
  <si>
    <t>Coastal Defense System</t>
  </si>
  <si>
    <t>American Systems Corp</t>
  </si>
  <si>
    <t>IMPSA</t>
  </si>
  <si>
    <t>Environmental Chemical Corp</t>
  </si>
  <si>
    <t>US Ordnance</t>
  </si>
  <si>
    <t>Martin Defense Group</t>
  </si>
  <si>
    <t>Romania</t>
  </si>
  <si>
    <t>Timken Gears &amp; Services</t>
  </si>
  <si>
    <t>Radar Satellite</t>
  </si>
  <si>
    <t>Crown Point Systems</t>
  </si>
  <si>
    <t>Southcoast Welding &amp; Manufacturing</t>
  </si>
  <si>
    <t>Valiant Global Defense</t>
  </si>
  <si>
    <t>Fontaine Commercial Trailer</t>
  </si>
  <si>
    <t>Griffon Corporation</t>
  </si>
  <si>
    <t>Spectral Energies LLC</t>
  </si>
  <si>
    <t>High Bridge Solutions</t>
  </si>
  <si>
    <t>Tetra Tech </t>
  </si>
  <si>
    <t>AN/SLQ-32</t>
  </si>
  <si>
    <t>AN/SLQ-32(V)6</t>
  </si>
  <si>
    <t>General Dynamics National Steel and Shipbuilding </t>
  </si>
  <si>
    <t>M109A7 and M992A3 vehicles.</t>
  </si>
  <si>
    <t>Utility/Logistics Vehicles</t>
  </si>
  <si>
    <t>Lithuania</t>
  </si>
  <si>
    <t>Montenegro</t>
  </si>
  <si>
    <t>Federal Contracting</t>
  </si>
  <si>
    <t>Bukkehave </t>
  </si>
  <si>
    <t>Insitu</t>
  </si>
  <si>
    <t>Westinghouse Government Services</t>
  </si>
  <si>
    <t>Tel-Instrument Electronics</t>
  </si>
  <si>
    <t>Vista Outdoor Sales LLC</t>
  </si>
  <si>
    <t>Ocean Shipholdings</t>
  </si>
  <si>
    <t>All-Terrain Vehicles</t>
  </si>
  <si>
    <t>Advanced Systems and Software Engineering Technologies LLC</t>
  </si>
  <si>
    <t>AM General</t>
  </si>
  <si>
    <t>Ukraine (Assistance)</t>
  </si>
  <si>
    <t>Norotos</t>
  </si>
  <si>
    <t>Decoy Flares</t>
  </si>
  <si>
    <t>Design West Technologies</t>
  </si>
  <si>
    <t>Singapore</t>
  </si>
  <si>
    <t>PKL Services</t>
  </si>
  <si>
    <t>DRS Systems</t>
  </si>
  <si>
    <t>Triumph Engine Control Systems</t>
  </si>
  <si>
    <t>Argon ST Inc.</t>
  </si>
  <si>
    <t>Corvettes</t>
  </si>
  <si>
    <t>Maritime Power &amp; Energy Solutions</t>
  </si>
  <si>
    <t>Pole/Zero Acquisition</t>
  </si>
  <si>
    <t>License Production</t>
  </si>
  <si>
    <t>RAM Systems</t>
  </si>
  <si>
    <t>Allison Transmission</t>
  </si>
  <si>
    <t>Adams Communication and Engineering Technology</t>
  </si>
  <si>
    <t>IMT Defense Corporation,</t>
  </si>
  <si>
    <t>GE Aviation Systems</t>
  </si>
  <si>
    <t>Aerojet Rocketdyne</t>
  </si>
  <si>
    <t>Crowley Government Services</t>
  </si>
  <si>
    <t>Bell Textron</t>
  </si>
  <si>
    <t>Poland</t>
  </si>
  <si>
    <t>Airbus U.S. Space &amp; Defense</t>
  </si>
  <si>
    <t>Thailand</t>
  </si>
  <si>
    <t>Patrol and Costal Combatants</t>
  </si>
  <si>
    <t>Patrol Boat/Craft - Ocean</t>
  </si>
  <si>
    <t>Fairbanks Morse Defense</t>
  </si>
  <si>
    <t>Rhinestahl Corp</t>
  </si>
  <si>
    <t>Ship-to-Surface</t>
  </si>
  <si>
    <t>Sub-Saharan Africa</t>
  </si>
  <si>
    <t>Surface-to-Ship</t>
  </si>
  <si>
    <t>Salient CRGT Inc</t>
  </si>
  <si>
    <t>Apogee Engeineering</t>
  </si>
  <si>
    <t>Katmai Management Services</t>
  </si>
  <si>
    <t>CAE USA</t>
  </si>
  <si>
    <t>SRCTec</t>
  </si>
  <si>
    <t>MBDA</t>
  </si>
  <si>
    <t>General Dynamics Ordnance and Tactical Systems</t>
  </si>
  <si>
    <t>Sierra Nevada</t>
  </si>
  <si>
    <t>South Asia</t>
  </si>
  <si>
    <t>Nepal</t>
  </si>
  <si>
    <t>Polskie Zaklady Lotnicze</t>
  </si>
  <si>
    <t>Sparton De Leon Springs LLC</t>
  </si>
  <si>
    <t>Vigor Industrial</t>
  </si>
  <si>
    <t>nTSI</t>
  </si>
  <si>
    <t>Tevet</t>
  </si>
  <si>
    <t>Ukraine</t>
  </si>
  <si>
    <t>Patrol Boat/Craft - Coastal</t>
  </si>
  <si>
    <t>Safe Boats Intl</t>
  </si>
  <si>
    <t>Merrill Corp</t>
  </si>
  <si>
    <t>Denmark</t>
  </si>
  <si>
    <t>Woodward HRT</t>
  </si>
  <si>
    <t>Transoceanic Cable Ship</t>
  </si>
  <si>
    <t>Vigor Marine </t>
  </si>
  <si>
    <t>Alabama Shipyard</t>
  </si>
  <si>
    <t>AAR Allen Service</t>
  </si>
  <si>
    <t>Gulfstream</t>
  </si>
  <si>
    <t>MilSup LLC</t>
  </si>
  <si>
    <t>Berry Aviation</t>
  </si>
  <si>
    <t>KBRwyle Technical Solutions</t>
  </si>
  <si>
    <t>Morocco</t>
  </si>
  <si>
    <t>East Coast Repair and Fabrication</t>
  </si>
  <si>
    <t>Invictus International Consulting LLC</t>
  </si>
  <si>
    <t>AITC-Five Domains JV</t>
  </si>
  <si>
    <t>Czech Republic</t>
  </si>
  <si>
    <t>Technology Service Corp</t>
  </si>
  <si>
    <t>Gichner Systems Group</t>
  </si>
  <si>
    <t>Detyens Shipyard</t>
  </si>
  <si>
    <t>SURVICE Engineering</t>
  </si>
  <si>
    <t>LinQuest Corp</t>
  </si>
  <si>
    <t>Reservoir International LLC</t>
  </si>
  <si>
    <t>RAND Corp</t>
  </si>
  <si>
    <t>Contrack Watts</t>
  </si>
  <si>
    <t>Swarm Drones</t>
  </si>
  <si>
    <t>Kinetic Strike Swarm Drones</t>
  </si>
  <si>
    <t>The Perduco Group</t>
  </si>
  <si>
    <t>Network and Simulation Technologies</t>
  </si>
  <si>
    <t>Independent Rough Terrain Center LLC</t>
  </si>
  <si>
    <t>SEAKR Engineering</t>
  </si>
  <si>
    <t>Training Facilities</t>
  </si>
  <si>
    <t>SOLPAC Construction</t>
  </si>
  <si>
    <t>Hornbeck Offshore Operators</t>
  </si>
  <si>
    <t>Textron Aviation Defense</t>
  </si>
  <si>
    <t>Towed Artillery</t>
  </si>
  <si>
    <t>Chugach Technical Solutions</t>
  </si>
  <si>
    <t>QinetiQ</t>
  </si>
  <si>
    <t>Atlantic Diving Supply</t>
  </si>
  <si>
    <t>Clark Construction Group</t>
  </si>
  <si>
    <t>NetCentrics Corp</t>
  </si>
  <si>
    <t>Thompson Builders</t>
  </si>
  <si>
    <t>NIC4</t>
  </si>
  <si>
    <t>Land</t>
  </si>
  <si>
    <t>Sauer</t>
  </si>
  <si>
    <t>Integration Innovation</t>
  </si>
  <si>
    <t>All values are in US$</t>
  </si>
  <si>
    <t>Total Contracts Tracked So Far</t>
  </si>
  <si>
    <t>Total Value All Contracts</t>
  </si>
  <si>
    <t>Q3 2023 Total Procurement</t>
  </si>
  <si>
    <t>Q4 2023 Total Procurement</t>
  </si>
  <si>
    <t>bn</t>
  </si>
  <si>
    <t>Total Value
Major Global Contracts 2023</t>
  </si>
  <si>
    <t>Total Value
Major Global Contracts Q2 2023</t>
  </si>
  <si>
    <t>Total Value
Major US Domestic Contracts 2023</t>
  </si>
  <si>
    <t>Total Value
Major US Export/FMS Contracts 2023</t>
  </si>
  <si>
    <t>Total Value
Major Rest of World Contracts 2023</t>
  </si>
  <si>
    <t>Country</t>
  </si>
  <si>
    <t>Company</t>
  </si>
  <si>
    <t>(blank)</t>
  </si>
  <si>
    <t>.</t>
  </si>
  <si>
    <t>F-35 Contract and FMS - May 2023</t>
  </si>
  <si>
    <t>Variant</t>
  </si>
  <si>
    <t>No. Ordered</t>
  </si>
  <si>
    <t>Value estimated 
from flyaway cost
($M)</t>
  </si>
  <si>
    <t>% of Total 
Order</t>
  </si>
  <si>
    <t>Value adjusted for 
percentage of 
contract value ($M)</t>
  </si>
  <si>
    <t>Finland</t>
  </si>
  <si>
    <t>F-35B</t>
  </si>
  <si>
    <t>F-35C</t>
  </si>
  <si>
    <t>Total</t>
  </si>
  <si>
    <t>Regions</t>
  </si>
  <si>
    <t>Countries</t>
  </si>
  <si>
    <t>Capability  (High-Level)</t>
  </si>
  <si>
    <t>Primary Mission/Capability (Low-Level)</t>
  </si>
  <si>
    <t>Manned/Unmanned</t>
  </si>
  <si>
    <t>Service/Equipment/MRO/R&amp;D</t>
  </si>
  <si>
    <t>FMS</t>
  </si>
  <si>
    <t>Month</t>
  </si>
  <si>
    <t>Year</t>
  </si>
  <si>
    <t>Angola</t>
  </si>
  <si>
    <t>Fixed-Wing</t>
  </si>
  <si>
    <t>Manned</t>
  </si>
  <si>
    <t>Yes</t>
  </si>
  <si>
    <t>Benin</t>
  </si>
  <si>
    <t>Rotary-Wing</t>
  </si>
  <si>
    <t>Unmanned</t>
  </si>
  <si>
    <t>No</t>
  </si>
  <si>
    <t>Febuary</t>
  </si>
  <si>
    <t>Botswana</t>
  </si>
  <si>
    <t>Other Lift-Types</t>
  </si>
  <si>
    <t>N/A</t>
  </si>
  <si>
    <t>Burkina Faso</t>
  </si>
  <si>
    <t>Gunship</t>
  </si>
  <si>
    <t>Burundi</t>
  </si>
  <si>
    <t>Cameroon</t>
  </si>
  <si>
    <t>Engineering &amp; Maintenance Vehicles</t>
  </si>
  <si>
    <t>Air-Refuelling Tanker</t>
  </si>
  <si>
    <t>Russia &amp; CIS</t>
  </si>
  <si>
    <t>Cape Verde</t>
  </si>
  <si>
    <t>Amphibious Vehicles</t>
  </si>
  <si>
    <t>Central African Republic</t>
  </si>
  <si>
    <t>NBC (Nuclear, Biological, Chemical) Vehicles</t>
  </si>
  <si>
    <t>Chad</t>
  </si>
  <si>
    <t>Congo, Democratic Republic of</t>
  </si>
  <si>
    <t>Congo, Republic of</t>
  </si>
  <si>
    <t>Fixed-Wing Other</t>
  </si>
  <si>
    <t>Djibouti</t>
  </si>
  <si>
    <t>Rotary-Wing Attack</t>
  </si>
  <si>
    <t>Equatorial Guinea</t>
  </si>
  <si>
    <t>Rotary-Wing Maritime</t>
  </si>
  <si>
    <t>Eritrea</t>
  </si>
  <si>
    <t>Rotary-Wing Scout</t>
  </si>
  <si>
    <t>Eswatini</t>
  </si>
  <si>
    <t>Rotary-Wing Transport</t>
  </si>
  <si>
    <t>Ethiopia</t>
  </si>
  <si>
    <t>Rotary-Wing Other</t>
  </si>
  <si>
    <t>Gabon</t>
  </si>
  <si>
    <t>Gambia</t>
  </si>
  <si>
    <t>Airship</t>
  </si>
  <si>
    <t>Ghana</t>
  </si>
  <si>
    <t>Parafoil</t>
  </si>
  <si>
    <t>Guinea</t>
  </si>
  <si>
    <t>Directed Energy Weapon</t>
  </si>
  <si>
    <t>Self-Propelled</t>
  </si>
  <si>
    <t>Guinea-Bissau</t>
  </si>
  <si>
    <t>Towed</t>
  </si>
  <si>
    <t>Ivory Coast</t>
  </si>
  <si>
    <t>Mortar</t>
  </si>
  <si>
    <t>Kenya</t>
  </si>
  <si>
    <t>MRL (Multiple Rocket Launcher)</t>
  </si>
  <si>
    <t>Lesotho</t>
  </si>
  <si>
    <t>MBT (Main Battle Tank)</t>
  </si>
  <si>
    <t>Liberia</t>
  </si>
  <si>
    <t>Assault Vehicle</t>
  </si>
  <si>
    <t>Madagascar</t>
  </si>
  <si>
    <t>Reconnaissance Vehicle</t>
  </si>
  <si>
    <t>Malawi</t>
  </si>
  <si>
    <t>IFV (Infantry Fighting Vehicle)</t>
  </si>
  <si>
    <t>Mali</t>
  </si>
  <si>
    <t>APC (Armoured Personnel Carrier)</t>
  </si>
  <si>
    <t>Mauritius</t>
  </si>
  <si>
    <t>AUV (Armoured Utlity Vehicle)</t>
  </si>
  <si>
    <t>Mozambique</t>
  </si>
  <si>
    <t>Ports and Harbours</t>
  </si>
  <si>
    <t>Light Tank</t>
  </si>
  <si>
    <t>Namibia</t>
  </si>
  <si>
    <t>Armoured Engineer Vehicle</t>
  </si>
  <si>
    <t>Niger</t>
  </si>
  <si>
    <t>Armoured Recovery Vehicle</t>
  </si>
  <si>
    <t>Nigeria</t>
  </si>
  <si>
    <t>Vehicle Launch Bridge</t>
  </si>
  <si>
    <t>Rwanda</t>
  </si>
  <si>
    <t>Mine Warfare Vehicles</t>
  </si>
  <si>
    <t>Senegal</t>
  </si>
  <si>
    <t>Other Engineering and Maintenance Vehicles</t>
  </si>
  <si>
    <t>Seychelles</t>
  </si>
  <si>
    <t>Amphibious Assault Vehicle</t>
  </si>
  <si>
    <t>Sierra Leone</t>
  </si>
  <si>
    <t>Somalia</t>
  </si>
  <si>
    <t>South Africa</t>
  </si>
  <si>
    <t>South Sudan</t>
  </si>
  <si>
    <t>Diesel-Powered Submarine</t>
  </si>
  <si>
    <t>Sudan</t>
  </si>
  <si>
    <t>Tanzania</t>
  </si>
  <si>
    <t>Togo</t>
  </si>
  <si>
    <t>Uganda</t>
  </si>
  <si>
    <t>Zambia</t>
  </si>
  <si>
    <t>Zimbabwe</t>
  </si>
  <si>
    <t>Brunei</t>
  </si>
  <si>
    <t>Cambodia</t>
  </si>
  <si>
    <t>China</t>
  </si>
  <si>
    <t>Patrol Boat/Craft - Riverine</t>
  </si>
  <si>
    <t xml:space="preserve">Hong Kong </t>
  </si>
  <si>
    <t>Indonesia</t>
  </si>
  <si>
    <t>Laos</t>
  </si>
  <si>
    <t>Malaysia</t>
  </si>
  <si>
    <t>Mongolia</t>
  </si>
  <si>
    <t>Myanmar</t>
  </si>
  <si>
    <t>North Korea</t>
  </si>
  <si>
    <t>Icebreakers</t>
  </si>
  <si>
    <t>Papua New Guinea</t>
  </si>
  <si>
    <t>Combat Support Ship</t>
  </si>
  <si>
    <t>Philippines</t>
  </si>
  <si>
    <t>Hospital Ship</t>
  </si>
  <si>
    <t>Vietnam</t>
  </si>
  <si>
    <t>Albania</t>
  </si>
  <si>
    <t>Austria</t>
  </si>
  <si>
    <t>Bosnia and Herzegovina</t>
  </si>
  <si>
    <t>Croatia</t>
  </si>
  <si>
    <t>Cyprus</t>
  </si>
  <si>
    <t>Estonia</t>
  </si>
  <si>
    <t>Laser</t>
  </si>
  <si>
    <t>Greece</t>
  </si>
  <si>
    <t>Microwave</t>
  </si>
  <si>
    <t>Hungary</t>
  </si>
  <si>
    <t>Sonic</t>
  </si>
  <si>
    <t>Iceland</t>
  </si>
  <si>
    <t>Ireland</t>
  </si>
  <si>
    <t>Kosovo</t>
  </si>
  <si>
    <t>Latvia</t>
  </si>
  <si>
    <t>Weather Radar</t>
  </si>
  <si>
    <t>Luxembourg</t>
  </si>
  <si>
    <t>Malta</t>
  </si>
  <si>
    <t>North Macedonia</t>
  </si>
  <si>
    <t>Military IT Systems</t>
  </si>
  <si>
    <t>Cyber Defense/Offense</t>
  </si>
  <si>
    <t>Portugal</t>
  </si>
  <si>
    <t>Serbia</t>
  </si>
  <si>
    <t>Slovakia</t>
  </si>
  <si>
    <t>Slovenia</t>
  </si>
  <si>
    <t>Sweden</t>
  </si>
  <si>
    <t>Switzerland</t>
  </si>
  <si>
    <t>Argentina</t>
  </si>
  <si>
    <t>Bahamas</t>
  </si>
  <si>
    <t>Barbados</t>
  </si>
  <si>
    <t>Belize</t>
  </si>
  <si>
    <t>Bolivia</t>
  </si>
  <si>
    <t>Chile</t>
  </si>
  <si>
    <t>Colombia</t>
  </si>
  <si>
    <t>Costa Rica</t>
  </si>
  <si>
    <t>Cuba</t>
  </si>
  <si>
    <t>Curacao</t>
  </si>
  <si>
    <t>Dominican Republic</t>
  </si>
  <si>
    <t>Ecuador</t>
  </si>
  <si>
    <t>El Salvador</t>
  </si>
  <si>
    <t>Guatemala</t>
  </si>
  <si>
    <t>Guyana</t>
  </si>
  <si>
    <t>Haiti</t>
  </si>
  <si>
    <t>Honduras</t>
  </si>
  <si>
    <t>Jamaica</t>
  </si>
  <si>
    <t>Mexico</t>
  </si>
  <si>
    <t>Nicaragua</t>
  </si>
  <si>
    <t>Panama</t>
  </si>
  <si>
    <t>Paraguay</t>
  </si>
  <si>
    <t>Peru</t>
  </si>
  <si>
    <t>Suriname</t>
  </si>
  <si>
    <t>Trinidad and Tobago</t>
  </si>
  <si>
    <t>Uruguay</t>
  </si>
  <si>
    <t>Venezuela</t>
  </si>
  <si>
    <t>Algeria</t>
  </si>
  <si>
    <t>Iran</t>
  </si>
  <si>
    <t>Jordan</t>
  </si>
  <si>
    <t>Lebanon</t>
  </si>
  <si>
    <t>Libya</t>
  </si>
  <si>
    <t>Mauritania</t>
  </si>
  <si>
    <t>Oman</t>
  </si>
  <si>
    <t>Qatar</t>
  </si>
  <si>
    <t>Syria</t>
  </si>
  <si>
    <t>Yemen</t>
  </si>
  <si>
    <t>Armenia</t>
  </si>
  <si>
    <t>Azerbaijan</t>
  </si>
  <si>
    <t>Belarus</t>
  </si>
  <si>
    <t>Kazakhstan</t>
  </si>
  <si>
    <t>Kyrgyzstan</t>
  </si>
  <si>
    <t>Moldova</t>
  </si>
  <si>
    <t>Russia</t>
  </si>
  <si>
    <t>Tajikistan</t>
  </si>
  <si>
    <t>Turkmenistan</t>
  </si>
  <si>
    <t>Uzbekistan</t>
  </si>
  <si>
    <t>Bangladesh</t>
  </si>
  <si>
    <t>Maldives</t>
  </si>
  <si>
    <t>Pakistan</t>
  </si>
  <si>
    <t>Sri Lanka</t>
  </si>
  <si>
    <t>Andorra</t>
  </si>
  <si>
    <t>Antigua and Barbuda</t>
  </si>
  <si>
    <t>Bhutan</t>
  </si>
  <si>
    <t>Comoros</t>
  </si>
  <si>
    <t>Dominica</t>
  </si>
  <si>
    <t>Federated States of Micronesia</t>
  </si>
  <si>
    <t>Fiji</t>
  </si>
  <si>
    <t>Grenada</t>
  </si>
  <si>
    <t>Kiribati</t>
  </si>
  <si>
    <t>Liechtenstein</t>
  </si>
  <si>
    <t>Marshall Islands</t>
  </si>
  <si>
    <t>Monaco</t>
  </si>
  <si>
    <t>Nauru</t>
  </si>
  <si>
    <t>Palau</t>
  </si>
  <si>
    <t>Palestine</t>
  </si>
  <si>
    <t>Puerto Rico</t>
  </si>
  <si>
    <t>Saint Kitts and Nevis</t>
  </si>
  <si>
    <t>Saint Lucia</t>
  </si>
  <si>
    <t>Saint Vincent and the Grenadines</t>
  </si>
  <si>
    <t>Samoa</t>
  </si>
  <si>
    <t>San Marino</t>
  </si>
  <si>
    <t>Sao Tom and Principe</t>
  </si>
  <si>
    <t>Solomon Islands</t>
  </si>
  <si>
    <t>Timor-Leste</t>
  </si>
  <si>
    <t>Tonga</t>
  </si>
  <si>
    <t>Tuvalu</t>
  </si>
  <si>
    <t>Vanuatu</t>
  </si>
  <si>
    <t>Vatican City</t>
  </si>
  <si>
    <t>Western Sahara</t>
  </si>
  <si>
    <t>Other Lift Types</t>
  </si>
  <si>
    <t>Rolling Stock</t>
  </si>
  <si>
    <t>Platform Piloting</t>
  </si>
  <si>
    <t>Not Applicable2</t>
  </si>
  <si>
    <t>Training Ship</t>
  </si>
  <si>
    <t>EW Swarm Drones</t>
  </si>
  <si>
    <t>Anti-Personnel Mine</t>
  </si>
  <si>
    <t>Armoured All-Terrain Vehicle</t>
  </si>
  <si>
    <t>Combat Engineering Vehicles</t>
  </si>
  <si>
    <t>Cyber Offense</t>
  </si>
  <si>
    <t>Anti-Tank Mine</t>
  </si>
  <si>
    <t>Rotary Wing Scout</t>
  </si>
  <si>
    <t>Construction Vehicles</t>
  </si>
  <si>
    <t>Rockets</t>
  </si>
  <si>
    <t>Engineering Equipment</t>
  </si>
  <si>
    <t>Border Defense System</t>
  </si>
  <si>
    <t>Mine Dispersal System</t>
  </si>
  <si>
    <t>NBC Equipment</t>
  </si>
  <si>
    <t>Companies</t>
  </si>
  <si>
    <t>Column1</t>
  </si>
  <si>
    <t>22nd Century Tech</t>
  </si>
  <si>
    <t>A&amp;P Group</t>
  </si>
  <si>
    <t>A&amp;R Pacific -Garney Federal</t>
  </si>
  <si>
    <t>Aardvark Clear</t>
  </si>
  <si>
    <t>AASKI Technology</t>
  </si>
  <si>
    <t>AAVCO</t>
  </si>
  <si>
    <t>Abacus Tech Corp</t>
  </si>
  <si>
    <t>Abdallah Al-Faris</t>
  </si>
  <si>
    <t>Abeking Rasmuss</t>
  </si>
  <si>
    <t>ABG Shipyards</t>
  </si>
  <si>
    <t>ABM Shipyard</t>
  </si>
  <si>
    <t>Absher Construction Co.</t>
  </si>
  <si>
    <t>Abu Dhabi MAR</t>
  </si>
  <si>
    <t>Abu Dhabi SB</t>
  </si>
  <si>
    <t>Accenture</t>
  </si>
  <si>
    <t>Accurate Energetic Systems</t>
  </si>
  <si>
    <t>ACE Technology</t>
  </si>
  <si>
    <t>Aceinfo Solutions</t>
  </si>
  <si>
    <t>ACHILE Consortium</t>
  </si>
  <si>
    <t>Achleitner</t>
  </si>
  <si>
    <t>ACMI</t>
  </si>
  <si>
    <t>ACT-Corp</t>
  </si>
  <si>
    <t>ActioNet</t>
  </si>
  <si>
    <t>ADCOM Systems</t>
  </si>
  <si>
    <t>ADI Group</t>
  </si>
  <si>
    <t>Admiralty Ship</t>
  </si>
  <si>
    <t>Advanced Navigation and Positioning Corp.</t>
  </si>
  <si>
    <t>Advanced Technology International</t>
  </si>
  <si>
    <t>AdvElect Co (AEC)</t>
  </si>
  <si>
    <t>AECOM</t>
  </si>
  <si>
    <t>Aegis Technologies</t>
  </si>
  <si>
    <t>Aeraccess</t>
  </si>
  <si>
    <t>Aero Def Systems</t>
  </si>
  <si>
    <t>Aero Synergie</t>
  </si>
  <si>
    <t>Aero Vodochody</t>
  </si>
  <si>
    <t>Aerodata AG</t>
  </si>
  <si>
    <t>Aerodyca</t>
  </si>
  <si>
    <t>Aeromaritime Grp</t>
  </si>
  <si>
    <t>Aeromot</t>
  </si>
  <si>
    <t>Aeronautical Development Establishment</t>
  </si>
  <si>
    <t>Aeronautics Defense Systems</t>
  </si>
  <si>
    <t>Aerospace Corp</t>
  </si>
  <si>
    <t>Aerostar</t>
  </si>
  <si>
    <t>Aerostar S.A.</t>
  </si>
  <si>
    <t>Aerotree</t>
  </si>
  <si>
    <t>AeroVolga</t>
  </si>
  <si>
    <t>Affigent</t>
  </si>
  <si>
    <t>Africa Automotive Distribution Service</t>
  </si>
  <si>
    <t>Agat</t>
  </si>
  <si>
    <t>AgEagle</t>
  </si>
  <si>
    <t>Agiliti Health</t>
  </si>
  <si>
    <t>AICI-Archirodon JV</t>
  </si>
  <si>
    <t>AIDC</t>
  </si>
  <si>
    <t>AIM Defence</t>
  </si>
  <si>
    <t>Air Center Helicopters</t>
  </si>
  <si>
    <t>Air Tractor</t>
  </si>
  <si>
    <t>Airbus-Rheinmetall</t>
  </si>
  <si>
    <t>Airborne Tactical Advantage Co.</t>
  </si>
  <si>
    <t>Aircell</t>
  </si>
  <si>
    <t>AirRobot</t>
  </si>
  <si>
    <t>AIS Engineering</t>
  </si>
  <si>
    <t>Akkodis</t>
  </si>
  <si>
    <t>Albadeey</t>
  </si>
  <si>
    <t>Albatross Industria Aeronautica Ltd.</t>
  </si>
  <si>
    <t>Alcatel-Lucent</t>
  </si>
  <si>
    <t>Alcock Ashdown</t>
  </si>
  <si>
    <t>Alexandria Ship</t>
  </si>
  <si>
    <t>Alion Science</t>
  </si>
  <si>
    <t>Allen-Vanguard</t>
  </si>
  <si>
    <t>Alpine Armoring Inc.</t>
  </si>
  <si>
    <t>Altawest</t>
  </si>
  <si>
    <t>Altec Industries</t>
  </si>
  <si>
    <t>ALTECH Services</t>
  </si>
  <si>
    <t>Aleut Federal</t>
  </si>
  <si>
    <t>Alzchem Trostberg</t>
  </si>
  <si>
    <t>Amazon</t>
  </si>
  <si>
    <t>American International Contractors</t>
  </si>
  <si>
    <t>American States Utilities Services</t>
  </si>
  <si>
    <t>American SysCorp</t>
  </si>
  <si>
    <t>AMESYS</t>
  </si>
  <si>
    <t>AMI Industries</t>
  </si>
  <si>
    <t>AMO ZIL</t>
  </si>
  <si>
    <t>Amper Group</t>
  </si>
  <si>
    <t>AMSL Aero</t>
  </si>
  <si>
    <t>AMX International</t>
  </si>
  <si>
    <t>Amyx Inc</t>
  </si>
  <si>
    <t>AMZ-Kutno</t>
  </si>
  <si>
    <t>Anadolu Shipyard</t>
  </si>
  <si>
    <t>Analytic Services</t>
  </si>
  <si>
    <t>Ananda Shipyard</t>
  </si>
  <si>
    <t>Andrea Systems</t>
  </si>
  <si>
    <t>Anduril Industries</t>
  </si>
  <si>
    <t>Antonov</t>
  </si>
  <si>
    <t>ANVL</t>
  </si>
  <si>
    <t>AOI</t>
  </si>
  <si>
    <t>Applied Mechanics</t>
  </si>
  <si>
    <t>Applied Technology</t>
  </si>
  <si>
    <t>Applied Visual Technology</t>
  </si>
  <si>
    <t>APS</t>
  </si>
  <si>
    <t>Aquacopters</t>
  </si>
  <si>
    <t>Aquila Aerospace</t>
  </si>
  <si>
    <t>Arab Contractors</t>
  </si>
  <si>
    <t>Arcfield Canada</t>
  </si>
  <si>
    <t>Archer Aviation</t>
  </si>
  <si>
    <t>Arcturus UAV</t>
  </si>
  <si>
    <t>ARES Shipyard</t>
  </si>
  <si>
    <t>Aresa Shipyard</t>
  </si>
  <si>
    <t>ARGE K-130</t>
  </si>
  <si>
    <t xml:space="preserve">ARGE NNbS Consortium </t>
  </si>
  <si>
    <t>ARGE DiNa 155</t>
  </si>
  <si>
    <t>ARIS</t>
  </si>
  <si>
    <t>Arma</t>
  </si>
  <si>
    <t>Armenian Air Force Institute</t>
  </si>
  <si>
    <t>American Electronics Warfare Associates</t>
  </si>
  <si>
    <t>Armour International</t>
  </si>
  <si>
    <t>Armoured Car Sys</t>
  </si>
  <si>
    <t>ARMSCOR</t>
  </si>
  <si>
    <t>Arnold Defense and Elec</t>
  </si>
  <si>
    <t>ARO SA</t>
  </si>
  <si>
    <t>Arotech Corp</t>
  </si>
  <si>
    <t>Arquus</t>
  </si>
  <si>
    <t>Array Information</t>
  </si>
  <si>
    <t>Arrow Edge LLC</t>
  </si>
  <si>
    <t>AR-SAT</t>
  </si>
  <si>
    <t>Arsenal d' Marinha</t>
  </si>
  <si>
    <t>Arsenal JSCO</t>
  </si>
  <si>
    <t>ARTEC</t>
  </si>
  <si>
    <t>ARTEL, Inc</t>
  </si>
  <si>
    <t>ASC Pty Ltd</t>
  </si>
  <si>
    <t>Ascent Flight Training Consotium</t>
  </si>
  <si>
    <t>Ascom Group</t>
  </si>
  <si>
    <t>Aselsan</t>
  </si>
  <si>
    <t>ASENAV</t>
  </si>
  <si>
    <t>Asian ArmoredVeh</t>
  </si>
  <si>
    <t>ASIMAR</t>
  </si>
  <si>
    <t>ASISGUARD</t>
  </si>
  <si>
    <t>Ashot Ashkelon</t>
  </si>
  <si>
    <t>ASL Group</t>
  </si>
  <si>
    <t>Aslemetals Oy</t>
  </si>
  <si>
    <t>ASMAR</t>
  </si>
  <si>
    <t>ASRY</t>
  </si>
  <si>
    <t>Assurance Tech</t>
  </si>
  <si>
    <t>Aster Engineering</t>
  </si>
  <si>
    <t>Astilleros Armon Vigo SA</t>
  </si>
  <si>
    <t>Astilleros Navales</t>
  </si>
  <si>
    <t>ASTIMAR</t>
  </si>
  <si>
    <t>Astronics Test Systems</t>
  </si>
  <si>
    <t>ASTRUM</t>
  </si>
  <si>
    <t>A-techSYN</t>
  </si>
  <si>
    <t>Atheeb Integraph Saudi Co.</t>
  </si>
  <si>
    <t>Atlas</t>
  </si>
  <si>
    <t>Atlas Elektronik</t>
  </si>
  <si>
    <t>Atlas Group</t>
  </si>
  <si>
    <t>ATR</t>
  </si>
  <si>
    <t>August Schell Enterprises</t>
  </si>
  <si>
    <t>Aurora Flight Sciences</t>
  </si>
  <si>
    <t>Australian Target Systems</t>
  </si>
  <si>
    <t>Autoespar SA</t>
  </si>
  <si>
    <t>Automotive Ind Ltd</t>
  </si>
  <si>
    <t>AUVERLAND</t>
  </si>
  <si>
    <t>Aviation Repair Technologies</t>
  </si>
  <si>
    <t>Aviation Systems Engineering</t>
  </si>
  <si>
    <t>Aviation Training Consulting</t>
  </si>
  <si>
    <t>Avibras</t>
  </si>
  <si>
    <t>AVIC</t>
  </si>
  <si>
    <t>AVNL</t>
  </si>
  <si>
    <t>Avtech Corporation</t>
  </si>
  <si>
    <t>Avtokraz Holding Co</t>
  </si>
  <si>
    <t>AWEIL</t>
  </si>
  <si>
    <t>AWSR Shipping</t>
  </si>
  <si>
    <t>B&amp;F</t>
  </si>
  <si>
    <t>Babcock Group</t>
  </si>
  <si>
    <t>Ball Corporation</t>
  </si>
  <si>
    <t>Baltic Workboats</t>
  </si>
  <si>
    <t>BAMS</t>
  </si>
  <si>
    <t>Bangkok Dock</t>
  </si>
  <si>
    <t>Barrett Comm</t>
  </si>
  <si>
    <t>Basler</t>
  </si>
  <si>
    <t>Bason Shipyard</t>
  </si>
  <si>
    <t>Baud Telecom Co</t>
  </si>
  <si>
    <t>Baykar</t>
  </si>
  <si>
    <t>Becker Avionics</t>
  </si>
  <si>
    <t>Beechcraft</t>
  </si>
  <si>
    <t>Beherman Demoen</t>
  </si>
  <si>
    <t>Beijing JeepCorp</t>
  </si>
  <si>
    <t>Bell</t>
  </si>
  <si>
    <t>Bellanca</t>
  </si>
  <si>
    <t>BEML-India</t>
  </si>
  <si>
    <t>Bender Shipbldg</t>
  </si>
  <si>
    <t>Bergen Group</t>
  </si>
  <si>
    <t>Beriev</t>
  </si>
  <si>
    <t>BGI-ASI JV</t>
  </si>
  <si>
    <t>Bharat Dynamics</t>
  </si>
  <si>
    <t>Bharat Elec Ltd</t>
  </si>
  <si>
    <t>Bharat Heavy Electricals</t>
  </si>
  <si>
    <t>Bharat Sanchar</t>
  </si>
  <si>
    <t>Bharati Shipyard</t>
  </si>
  <si>
    <t>Bigelow Family Holdings</t>
  </si>
  <si>
    <t>Bin Jabr Group</t>
  </si>
  <si>
    <t>Bird Aerosystems</t>
  </si>
  <si>
    <t>Birdon</t>
  </si>
  <si>
    <t>Bittium</t>
  </si>
  <si>
    <t>BL Halbert International</t>
  </si>
  <si>
    <t>Black Box Corp</t>
  </si>
  <si>
    <t>Black Micro Corp</t>
  </si>
  <si>
    <t>Black River Systems</t>
  </si>
  <si>
    <t>Blackberry</t>
  </si>
  <si>
    <t>Blackned</t>
  </si>
  <si>
    <t>BlackSky</t>
  </si>
  <si>
    <t>BlindermanPower</t>
  </si>
  <si>
    <t>Blue Air Training</t>
  </si>
  <si>
    <t>Blue Ivy Partners</t>
  </si>
  <si>
    <t>Blue River Consortium</t>
  </si>
  <si>
    <t>Blue Tech Inc</t>
  </si>
  <si>
    <t>Bluebird</t>
  </si>
  <si>
    <t>BlueHalo</t>
  </si>
  <si>
    <t>Boelwerf Shipyard</t>
  </si>
  <si>
    <t>Bollinger Shipyard</t>
  </si>
  <si>
    <t>Bombardier</t>
  </si>
  <si>
    <t>Boresight</t>
  </si>
  <si>
    <t>Boustead DCNS JV</t>
  </si>
  <si>
    <t>Boustead Holding</t>
  </si>
  <si>
    <t>Bowhead</t>
  </si>
  <si>
    <t>Brahmos Ltd</t>
  </si>
  <si>
    <t>BrainGu LLC</t>
  </si>
  <si>
    <t>Bridgestone Aircraft Tire Inc.</t>
  </si>
  <si>
    <t>Britten-Norman</t>
  </si>
  <si>
    <t>Brodosplit Shipyard</t>
  </si>
  <si>
    <t>Brooke Marine</t>
  </si>
  <si>
    <t>Bryan 77 Construction</t>
  </si>
  <si>
    <t>BSVT</t>
  </si>
  <si>
    <t>BSVT-NT</t>
  </si>
  <si>
    <t>BT Group</t>
  </si>
  <si>
    <t>BUAA</t>
  </si>
  <si>
    <t>BwFuhrparkService</t>
  </si>
  <si>
    <t>BWI</t>
  </si>
  <si>
    <t>By Light</t>
  </si>
  <si>
    <t>Cairns Slipways</t>
  </si>
  <si>
    <t>Calian</t>
  </si>
  <si>
    <t>Calidus</t>
  </si>
  <si>
    <t>Cambridge Intl Systems</t>
  </si>
  <si>
    <t>Cammell Laird SB</t>
  </si>
  <si>
    <t>Canadair</t>
  </si>
  <si>
    <t>Cantieri Navali</t>
  </si>
  <si>
    <t>Carahsoft Inc.</t>
  </si>
  <si>
    <t>Cardama</t>
  </si>
  <si>
    <t>Carnegie Mellon University</t>
  </si>
  <si>
    <t>CASC</t>
  </si>
  <si>
    <t>CASIC</t>
  </si>
  <si>
    <t>C-Astral Aerospace</t>
  </si>
  <si>
    <t>C-AT</t>
  </si>
  <si>
    <t>Caterpillar</t>
  </si>
  <si>
    <t>CATIC</t>
  </si>
  <si>
    <t>CDO Technologies</t>
  </si>
  <si>
    <t>CDW Corporation</t>
  </si>
  <si>
    <t>CEA Tech Pty Ltd</t>
  </si>
  <si>
    <t>Celier Aviation</t>
  </si>
  <si>
    <t>CENTECH GROUP</t>
  </si>
  <si>
    <t>Cerbair</t>
  </si>
  <si>
    <t>Cessna</t>
  </si>
  <si>
    <t>CFM International</t>
  </si>
  <si>
    <t>CGI</t>
  </si>
  <si>
    <t>Chaiseri Metal &amp; Rubber</t>
  </si>
  <si>
    <t>Changhe</t>
  </si>
  <si>
    <t>Chantier Davie Ship</t>
  </si>
  <si>
    <t>Chas Kurz</t>
  </si>
  <si>
    <t>Chengdu</t>
  </si>
  <si>
    <t>Chowgule and Company</t>
  </si>
  <si>
    <t>Chrysler Group</t>
  </si>
  <si>
    <t>Chung Shan Inst</t>
  </si>
  <si>
    <t>CINAR</t>
  </si>
  <si>
    <t>CIO</t>
  </si>
  <si>
    <t>Cirrus Aircraft</t>
  </si>
  <si>
    <t>Cisco Systems</t>
  </si>
  <si>
    <t>CM de N (France)</t>
  </si>
  <si>
    <t>CNF Technologies</t>
  </si>
  <si>
    <t>CNIM</t>
  </si>
  <si>
    <t>CNN Navigation</t>
  </si>
  <si>
    <t>Coastal Defense Inc.</t>
  </si>
  <si>
    <t>Cobham</t>
  </si>
  <si>
    <t>Cochin Shipyard</t>
  </si>
  <si>
    <t>CODALTEC</t>
  </si>
  <si>
    <t>Codan</t>
  </si>
  <si>
    <t>Cohort plc</t>
  </si>
  <si>
    <t>Cohu Inc</t>
  </si>
  <si>
    <t>Colby Co. LLC</t>
  </si>
  <si>
    <t>Colt's Manufacturing Co.</t>
  </si>
  <si>
    <t>Columbia Helicopters Inc.</t>
  </si>
  <si>
    <t>COM DEV International</t>
  </si>
  <si>
    <t>Comlenia</t>
  </si>
  <si>
    <t>Commander Aircraft Corporation</t>
  </si>
  <si>
    <t>Commtact</t>
  </si>
  <si>
    <t>Computacentre</t>
  </si>
  <si>
    <t>CompQsoft</t>
  </si>
  <si>
    <t>Computer World Services</t>
  </si>
  <si>
    <t>COMSOFT</t>
  </si>
  <si>
    <t>ComtechTelecomm</t>
  </si>
  <si>
    <t>Conco Inc.</t>
  </si>
  <si>
    <t>Conlog Group</t>
  </si>
  <si>
    <t>Conoship Intl</t>
  </si>
  <si>
    <t>Conquest USA</t>
  </si>
  <si>
    <t>Consigli Construction</t>
  </si>
  <si>
    <t>Conti Federal Services</t>
  </si>
  <si>
    <t>Core Tech International</t>
  </si>
  <si>
    <t>Core4ce</t>
  </si>
  <si>
    <t>Corporacion De La Industria Aeronautica Colombiana</t>
  </si>
  <si>
    <t>Corvid Technologies</t>
  </si>
  <si>
    <t>COTECMAR</t>
  </si>
  <si>
    <t>CounterTrade</t>
  </si>
  <si>
    <t>CoVant Technologies</t>
  </si>
  <si>
    <t>CPMIEC</t>
  </si>
  <si>
    <t>Credence Mgmnt Sol</t>
  </si>
  <si>
    <t>Creotech</t>
  </si>
  <si>
    <t>CRIST</t>
  </si>
  <si>
    <t>Criterion Solutions</t>
  </si>
  <si>
    <t>CRL Technologies</t>
  </si>
  <si>
    <t>CRSA</t>
  </si>
  <si>
    <t>Crystal</t>
  </si>
  <si>
    <t>CSBC Corp., Taiwan</t>
  </si>
  <si>
    <t>CSC</t>
  </si>
  <si>
    <t>Cukurova Holding</t>
  </si>
  <si>
    <t>Cummins Inc.</t>
  </si>
  <si>
    <t>Curt Nyberg</t>
  </si>
  <si>
    <t>Curtiss-Wright</t>
  </si>
  <si>
    <t>Cybaero AB</t>
  </si>
  <si>
    <t>Dae Sun Shipbldg</t>
  </si>
  <si>
    <t>Daewoo</t>
  </si>
  <si>
    <t>Daher</t>
  </si>
  <si>
    <t>Daimler AG</t>
  </si>
  <si>
    <t>Dakota Creek</t>
  </si>
  <si>
    <t>Dalnyaya Radio</t>
  </si>
  <si>
    <t>Damen Shipyards</t>
  </si>
  <si>
    <t>DAMEX Shipbldg</t>
  </si>
  <si>
    <t>Danbury Mission Technologies</t>
  </si>
  <si>
    <t>Danish Maritime</t>
  </si>
  <si>
    <t>Danish Yacht</t>
  </si>
  <si>
    <t>Danyard Aalborg</t>
  </si>
  <si>
    <t>Darkhive</t>
  </si>
  <si>
    <t>DARPA</t>
  </si>
  <si>
    <t>Dassault</t>
  </si>
  <si>
    <t>Dassault Dornier</t>
  </si>
  <si>
    <t>Data Link Solutions</t>
  </si>
  <si>
    <t>Data Sys Analysts</t>
  </si>
  <si>
    <t>Datamir</t>
  </si>
  <si>
    <t>DataPath</t>
  </si>
  <si>
    <t>Day &amp; Zimmerman Lone Star</t>
  </si>
  <si>
    <t>Dayton T. Brown Inc.</t>
  </si>
  <si>
    <t>DCCA</t>
  </si>
  <si>
    <t>DCD-DORBYL</t>
  </si>
  <si>
    <t>DCI</t>
  </si>
  <si>
    <t>DCNS Odebrecht</t>
  </si>
  <si>
    <t>De Havilland Canada</t>
  </si>
  <si>
    <t>Dearsan Shipyard</t>
  </si>
  <si>
    <t>Decisive Analytics</t>
  </si>
  <si>
    <t>Deep Trekker</t>
  </si>
  <si>
    <t>Defense Ind Org</t>
  </si>
  <si>
    <t>Defense Industries Organization Of Iran</t>
  </si>
  <si>
    <t>Defense Solutions</t>
  </si>
  <si>
    <t>Defense Technology Institute</t>
  </si>
  <si>
    <t>Defenture</t>
  </si>
  <si>
    <t>Deftools</t>
  </si>
  <si>
    <t>Delaware Nation Industries Emerging Technologies</t>
  </si>
  <si>
    <t>Dell Inc</t>
  </si>
  <si>
    <t>Deloitte</t>
  </si>
  <si>
    <t>Denel</t>
  </si>
  <si>
    <t>Derecktor Shipyard</t>
  </si>
  <si>
    <t>DESA</t>
  </si>
  <si>
    <t>Destini Berhad</t>
  </si>
  <si>
    <t>DEW Ltd</t>
  </si>
  <si>
    <t>DFDS Group</t>
  </si>
  <si>
    <t>Diamond Aircraft</t>
  </si>
  <si>
    <t>DIANCA</t>
  </si>
  <si>
    <t>DIDEP</t>
  </si>
  <si>
    <t>Diehl</t>
  </si>
  <si>
    <t>Digital Angel Corp</t>
  </si>
  <si>
    <t>Digital Management</t>
  </si>
  <si>
    <t>Diligent Consulting</t>
  </si>
  <si>
    <t>Divelink Underwater</t>
  </si>
  <si>
    <t>Diversified Tech Svcs</t>
  </si>
  <si>
    <t>DJI</t>
  </si>
  <si>
    <t>DKW Communications</t>
  </si>
  <si>
    <t>DOF ASA</t>
  </si>
  <si>
    <t>Domo Tactical Communications</t>
  </si>
  <si>
    <t>Doosan Group</t>
  </si>
  <si>
    <t>Dornier</t>
  </si>
  <si>
    <t>Draken</t>
  </si>
  <si>
    <t>Draper Labs</t>
  </si>
  <si>
    <t>DRB-HICOM</t>
  </si>
  <si>
    <t>DRDC Canada</t>
  </si>
  <si>
    <t>DRDO</t>
  </si>
  <si>
    <t>Drew Marine USA</t>
  </si>
  <si>
    <t>DSD Laboratories</t>
  </si>
  <si>
    <t>DSG</t>
  </si>
  <si>
    <t>DSN Corp</t>
  </si>
  <si>
    <t>DSTA</t>
  </si>
  <si>
    <t>Ducommun Inc.</t>
  </si>
  <si>
    <t>DXC Technology</t>
  </si>
  <si>
    <t>Dynamic Systems</t>
  </si>
  <si>
    <t>Dynamics Resrch</t>
  </si>
  <si>
    <t>Dynamit Nobel</t>
  </si>
  <si>
    <t>Eastern Shipbuilding</t>
  </si>
  <si>
    <t>ECAN</t>
  </si>
  <si>
    <t>ECRN</t>
  </si>
  <si>
    <t>Emcube Inc</t>
  </si>
  <si>
    <t>Edgar Brothers</t>
  </si>
  <si>
    <t>Edge Autonomy</t>
  </si>
  <si>
    <t>EDGE Group</t>
  </si>
  <si>
    <t>Edison Chouest</t>
  </si>
  <si>
    <t>EFR Ltd</t>
  </si>
  <si>
    <t>eGlobalTech</t>
  </si>
  <si>
    <t>EID S.A.</t>
  </si>
  <si>
    <t>Eire Forge and Steel</t>
  </si>
  <si>
    <t>EINSA</t>
  </si>
  <si>
    <t>ELAC Sonar GmbH</t>
  </si>
  <si>
    <t>ELBO</t>
  </si>
  <si>
    <t>Elebra</t>
  </si>
  <si>
    <t>Electra</t>
  </si>
  <si>
    <t>Electric Boat Corp.</t>
  </si>
  <si>
    <t>Electro Optic Systems</t>
  </si>
  <si>
    <t>Elettronica SpA</t>
  </si>
  <si>
    <t>ELINC</t>
  </si>
  <si>
    <t>EllisDon</t>
  </si>
  <si>
    <t>EM Solutions</t>
  </si>
  <si>
    <t>Embraer</t>
  </si>
  <si>
    <t>EMESEC</t>
  </si>
  <si>
    <t>EMGEPRON</t>
  </si>
  <si>
    <t>Emit Aviation</t>
  </si>
  <si>
    <t>EMPL Austria</t>
  </si>
  <si>
    <t>EMPORDEF</t>
  </si>
  <si>
    <t>EMS Tech</t>
  </si>
  <si>
    <t>EMT</t>
  </si>
  <si>
    <t>EMW</t>
  </si>
  <si>
    <t>ENAER</t>
  </si>
  <si>
    <t>EnerSys Energy Products</t>
  </si>
  <si>
    <t>Engility Corporation</t>
  </si>
  <si>
    <t>Engine Eng Oman</t>
  </si>
  <si>
    <t>ENICS</t>
  </si>
  <si>
    <t>Enstrom Helicopter</t>
  </si>
  <si>
    <t>Entrol</t>
  </si>
  <si>
    <t>Environics Oy</t>
  </si>
  <si>
    <t>Envision Technology</t>
  </si>
  <si>
    <t>Envisioneering Inc.</t>
  </si>
  <si>
    <t>EONIC</t>
  </si>
  <si>
    <t>EOS</t>
  </si>
  <si>
    <t>EPC2 Consortium</t>
  </si>
  <si>
    <t>EPE</t>
  </si>
  <si>
    <t>EPIIC Consortium</t>
  </si>
  <si>
    <t>Eprius</t>
  </si>
  <si>
    <t>EPS Corporation</t>
  </si>
  <si>
    <t>Epsilon Systems</t>
  </si>
  <si>
    <t>ESSI/SEI</t>
  </si>
  <si>
    <t>Esterline</t>
  </si>
  <si>
    <t>Eurofighter</t>
  </si>
  <si>
    <t>EuroMIDS</t>
  </si>
  <si>
    <t>EUROPAAMS</t>
  </si>
  <si>
    <t>Eurosam</t>
  </si>
  <si>
    <t>Euroshop SA</t>
  </si>
  <si>
    <t>EuroSpike</t>
  </si>
  <si>
    <t>Exail</t>
  </si>
  <si>
    <t>Excellus Solutions</t>
  </si>
  <si>
    <t>Exeter Group</t>
  </si>
  <si>
    <t>Extra</t>
  </si>
  <si>
    <t>FABREQUIPA</t>
  </si>
  <si>
    <t>Fabryka Broni</t>
  </si>
  <si>
    <t>FAdeA</t>
  </si>
  <si>
    <t>Fairchild</t>
  </si>
  <si>
    <t>Famae</t>
  </si>
  <si>
    <t>FAME SAC</t>
  </si>
  <si>
    <t>Fasharkan Ship</t>
  </si>
  <si>
    <t>Fassmer</t>
  </si>
  <si>
    <t>FAW Group</t>
  </si>
  <si>
    <t>FCN Technology Sol</t>
  </si>
  <si>
    <t>FEDITC</t>
  </si>
  <si>
    <t>FedStore Corp</t>
  </si>
  <si>
    <t>FemmeCompInc</t>
  </si>
  <si>
    <t>Fenix Air Inc.</t>
  </si>
  <si>
    <t>FFA</t>
  </si>
  <si>
    <t>FFA Emmen</t>
  </si>
  <si>
    <t>Firestorm Labs</t>
  </si>
  <si>
    <t>Five Rivers Analytics</t>
  </si>
  <si>
    <t>Fiat Group</t>
  </si>
  <si>
    <t>Fiat-Leonardo</t>
  </si>
  <si>
    <t>Flatter Inc.</t>
  </si>
  <si>
    <t>Fidelity Technologies</t>
  </si>
  <si>
    <t>Fischer Panda</t>
  </si>
  <si>
    <t>Flensburger Fahrzeugbau</t>
  </si>
  <si>
    <t>Flensburger SB</t>
  </si>
  <si>
    <t>Flight Technologies</t>
  </si>
  <si>
    <t>Flightcell Intl</t>
  </si>
  <si>
    <t>Flyer</t>
  </si>
  <si>
    <t>Flying Legend</t>
  </si>
  <si>
    <t>FMA</t>
  </si>
  <si>
    <t>FN Herstal</t>
  </si>
  <si>
    <t>FNSS</t>
  </si>
  <si>
    <t>Fokker</t>
  </si>
  <si>
    <t>Force 3</t>
  </si>
  <si>
    <t>Ford Motor Co.</t>
  </si>
  <si>
    <t>Forum Energy Technologies</t>
  </si>
  <si>
    <t>FREIRE Shipyard</t>
  </si>
  <si>
    <t>Frequentis GmbH</t>
  </si>
  <si>
    <t>Fresia SPA</t>
  </si>
  <si>
    <t>Frontgrade Technologies</t>
  </si>
  <si>
    <t>Frontier Electronic Systems</t>
  </si>
  <si>
    <t>FSC Lublin Auto</t>
  </si>
  <si>
    <t>FSUE Neptune</t>
  </si>
  <si>
    <t>Fujitsu</t>
  </si>
  <si>
    <t>Furuno Electric</t>
  </si>
  <si>
    <t>G &amp; F Technology</t>
  </si>
  <si>
    <t>G1 Aviation</t>
  </si>
  <si>
    <t>Gabler Maschine</t>
  </si>
  <si>
    <t>GAF</t>
  </si>
  <si>
    <t>Game Composites</t>
  </si>
  <si>
    <t>Garden Reach SB</t>
  </si>
  <si>
    <t>Garmin</t>
  </si>
  <si>
    <t>Gate Elektronik</t>
  </si>
  <si>
    <t>GC Rieber Shipping</t>
  </si>
  <si>
    <t>GDELS-Mowag</t>
  </si>
  <si>
    <t>GECI</t>
  </si>
  <si>
    <t>Gemelli</t>
  </si>
  <si>
    <t>Genasys</t>
  </si>
  <si>
    <t>GenCorp</t>
  </si>
  <si>
    <t>General Motors</t>
  </si>
  <si>
    <t>Generic Supplier</t>
  </si>
  <si>
    <t>Geneset Powerplants</t>
  </si>
  <si>
    <t>German Naval Yards</t>
  </si>
  <si>
    <t>GESPI</t>
  </si>
  <si>
    <t>GFE</t>
  </si>
  <si>
    <t>Gibbs &amp; Cox Inc.</t>
  </si>
  <si>
    <t>GIDS</t>
  </si>
  <si>
    <t>Gilbane Federal</t>
  </si>
  <si>
    <t>GKN Aerospace</t>
  </si>
  <si>
    <t>Gladding-Hearn</t>
  </si>
  <si>
    <t>Global GndSpt LLC</t>
  </si>
  <si>
    <t>Global Military Products</t>
  </si>
  <si>
    <t>Global Services LLC</t>
  </si>
  <si>
    <t>Global Tech Res</t>
  </si>
  <si>
    <t>Global Technical Sys</t>
  </si>
  <si>
    <t>Globecomm</t>
  </si>
  <si>
    <t>GMV Aerospace and Defense</t>
  </si>
  <si>
    <t>Goa Shipyard Ltd</t>
  </si>
  <si>
    <t>Golcuk</t>
  </si>
  <si>
    <t>Goodyear Tire and Rubber Co.</t>
  </si>
  <si>
    <t>Grabba</t>
  </si>
  <si>
    <t>Granta Autonomy</t>
  </si>
  <si>
    <t>Grevicom SAC</t>
  </si>
  <si>
    <t>Grob</t>
  </si>
  <si>
    <t>GRYFIA</t>
  </si>
  <si>
    <t>GTRI</t>
  </si>
  <si>
    <t>Guimbal</t>
  </si>
  <si>
    <t>Guizhou</t>
  </si>
  <si>
    <t>Gulf Island Marine Fabricators LLC</t>
  </si>
  <si>
    <t>Guyco Inc.</t>
  </si>
  <si>
    <t>GZAS</t>
  </si>
  <si>
    <t>Hadean</t>
  </si>
  <si>
    <t>Hai Minh Corporation</t>
  </si>
  <si>
    <t>Haivision Systems Inc.</t>
  </si>
  <si>
    <t>HAL</t>
  </si>
  <si>
    <t>Hanjin Indust'l SB</t>
  </si>
  <si>
    <t>Hanwha</t>
  </si>
  <si>
    <t>Harbin</t>
  </si>
  <si>
    <t>Harland &amp; Wolff</t>
  </si>
  <si>
    <t>Harris</t>
  </si>
  <si>
    <t>Harwar International Aviation Technology</t>
  </si>
  <si>
    <t>Hatehof</t>
  </si>
  <si>
    <t>Hawaiian Rock Products Corp.</t>
  </si>
  <si>
    <t>HB Utveckling AB</t>
  </si>
  <si>
    <t>HAVELSAN</t>
  </si>
  <si>
    <t>HDT Expeditionary Systems</t>
  </si>
  <si>
    <t>Head/Diaz 2022</t>
  </si>
  <si>
    <t>Heavy Ind. Taxila</t>
  </si>
  <si>
    <t>Heckler &amp; Koch</t>
  </si>
  <si>
    <t>Helibras</t>
  </si>
  <si>
    <t>Helicentro Peru SAC</t>
  </si>
  <si>
    <t>Hellenic Aerospace Industries</t>
  </si>
  <si>
    <t>Hellfire LLC</t>
  </si>
  <si>
    <t>Hensoldt</t>
  </si>
  <si>
    <t>HESA</t>
  </si>
  <si>
    <t>HexagonComposite</t>
  </si>
  <si>
    <t>Hinduja Group</t>
  </si>
  <si>
    <t>Hindustan Ship</t>
  </si>
  <si>
    <t>Hi-Q Engineering</t>
  </si>
  <si>
    <t>Hisdesat SA</t>
  </si>
  <si>
    <t>Hitachi</t>
  </si>
  <si>
    <t>Hitachi Kokusai</t>
  </si>
  <si>
    <t>Hitzler Werft</t>
  </si>
  <si>
    <t>HKV</t>
  </si>
  <si>
    <t>Hodges Transportation</t>
  </si>
  <si>
    <t>Hong Ha Shipbuilding</t>
  </si>
  <si>
    <t>Hong Leong Group</t>
  </si>
  <si>
    <t>Hongdu</t>
  </si>
  <si>
    <t>Horizon Technologies</t>
  </si>
  <si>
    <t>Howe and Howe</t>
  </si>
  <si>
    <t>HP</t>
  </si>
  <si>
    <t>HPI Solutions</t>
  </si>
  <si>
    <t>HTX Labs</t>
  </si>
  <si>
    <t>Hughes Comm</t>
  </si>
  <si>
    <t>Humbert Aviation</t>
  </si>
  <si>
    <t>Huneed Tech</t>
  </si>
  <si>
    <t>Huta Stalowa Wola</t>
  </si>
  <si>
    <t>HV Joint Venture</t>
  </si>
  <si>
    <t>Hydra Technologies</t>
  </si>
  <si>
    <t>Hydrema</t>
  </si>
  <si>
    <t>Hyundai</t>
  </si>
  <si>
    <t>Hyundai J Comm</t>
  </si>
  <si>
    <t>IAI</t>
  </si>
  <si>
    <t>IAR</t>
  </si>
  <si>
    <t>IBM</t>
  </si>
  <si>
    <t>ICF</t>
  </si>
  <si>
    <t>Icom Inc.</t>
  </si>
  <si>
    <t>ICOMM Tele Ltd.</t>
  </si>
  <si>
    <t>IdeaForge</t>
  </si>
  <si>
    <t>iGOV</t>
  </si>
  <si>
    <t>IHI</t>
  </si>
  <si>
    <t>II-VI Aerospace and Defense</t>
  </si>
  <si>
    <t>Ilyushin</t>
  </si>
  <si>
    <t>ImagineOneT&amp;M</t>
  </si>
  <si>
    <t>IMBEL</t>
  </si>
  <si>
    <t>IMC Group</t>
  </si>
  <si>
    <t>IMCO</t>
  </si>
  <si>
    <t>immixGroup</t>
  </si>
  <si>
    <t>IMMSI SPA</t>
  </si>
  <si>
    <t>Imtech Marine</t>
  </si>
  <si>
    <t>INACE</t>
  </si>
  <si>
    <t>Indonesian Aerospace</t>
  </si>
  <si>
    <t>Indra</t>
  </si>
  <si>
    <t>Indrasoft</t>
  </si>
  <si>
    <t>INDUS Technology</t>
  </si>
  <si>
    <t>InfoReliance Corp</t>
  </si>
  <si>
    <t>Infotron</t>
  </si>
  <si>
    <t>Inmarsat</t>
  </si>
  <si>
    <t>Innocon</t>
  </si>
  <si>
    <t>Innnovaero</t>
  </si>
  <si>
    <t>Insta ILS</t>
  </si>
  <si>
    <t>Institute of International Education</t>
  </si>
  <si>
    <t>INTA</t>
  </si>
  <si>
    <t>Integ Surv Tech</t>
  </si>
  <si>
    <t>Integral Consulting Services</t>
  </si>
  <si>
    <t>Integral Systems</t>
  </si>
  <si>
    <t>Integrated Convoy</t>
  </si>
  <si>
    <t>Integrated Defense Solutions/Greit</t>
  </si>
  <si>
    <t>Integrated Dynamic</t>
  </si>
  <si>
    <t>Integrated Dynamics</t>
  </si>
  <si>
    <t>Integrated Surveillance and Defense</t>
  </si>
  <si>
    <t>Intelligent Decisions</t>
  </si>
  <si>
    <t>Intelligent Waves</t>
  </si>
  <si>
    <t>INTELSAT</t>
  </si>
  <si>
    <t>Inter-Coastal Electronics</t>
  </si>
  <si>
    <t>InterCaribbean Airways</t>
  </si>
  <si>
    <t>Intermarine</t>
  </si>
  <si>
    <t>International Business Machines Corp.</t>
  </si>
  <si>
    <t>Intl Shipholding Corp</t>
  </si>
  <si>
    <t>Intman SA</t>
  </si>
  <si>
    <t>Intracom SA</t>
  </si>
  <si>
    <t>INVAP</t>
  </si>
  <si>
    <t>Invariant Corp.</t>
  </si>
  <si>
    <t>INVISIO</t>
  </si>
  <si>
    <t>IOMAX</t>
  </si>
  <si>
    <t>IPS Inc</t>
  </si>
  <si>
    <t>Iridium Satellite</t>
  </si>
  <si>
    <t>Iron Bow Tech</t>
  </si>
  <si>
    <t>Irving Shipbldg</t>
  </si>
  <si>
    <t>Israel Military Industries</t>
  </si>
  <si>
    <t>Israel Shipyards</t>
  </si>
  <si>
    <t>ISRO Internal</t>
  </si>
  <si>
    <t>Istanbul Shipyard</t>
  </si>
  <si>
    <t>Isuzu Motor Co</t>
  </si>
  <si>
    <t>Italcantieri</t>
  </si>
  <si>
    <t>Italtel</t>
  </si>
  <si>
    <t>Italthai Marine</t>
  </si>
  <si>
    <t>ITG</t>
  </si>
  <si>
    <t>ITI Limited</t>
  </si>
  <si>
    <t>ITP Aero</t>
  </si>
  <si>
    <t>ITT</t>
  </si>
  <si>
    <t>Iveco Defence Vehicles</t>
  </si>
  <si>
    <t>Iveco-Oto Melara Consortium</t>
  </si>
  <si>
    <t>IVEMA</t>
  </si>
  <si>
    <t>IWI</t>
  </si>
  <si>
    <t>IXBlue</t>
  </si>
  <si>
    <t>Izhmash Unmanned Systems</t>
  </si>
  <si>
    <t>Jacobs Eng Group</t>
  </si>
  <si>
    <t>Jacobs/B&amp;V JV</t>
  </si>
  <si>
    <t>James Fisher</t>
  </si>
  <si>
    <t>Jankel</t>
  </si>
  <si>
    <t>Japan Marine United</t>
  </si>
  <si>
    <t>Japan Steel Works</t>
  </si>
  <si>
    <t>Javelin JV Team</t>
  </si>
  <si>
    <t>JCB</t>
  </si>
  <si>
    <t>Jelcz-Komponenty</t>
  </si>
  <si>
    <t>Jet Tekno</t>
  </si>
  <si>
    <t>JetZero</t>
  </si>
  <si>
    <t>JF Taylor</t>
  </si>
  <si>
    <t>JHU/APL</t>
  </si>
  <si>
    <t>Joby Aviation</t>
  </si>
  <si>
    <t>Jong Shyn Ship</t>
  </si>
  <si>
    <t>JRC Group</t>
  </si>
  <si>
    <t>JSC Almaz-Antey</t>
  </si>
  <si>
    <t>JSC Kurganmashzavod</t>
  </si>
  <si>
    <t>JSC Tactical Missiles Corp</t>
  </si>
  <si>
    <t>Junghans Microtec</t>
  </si>
  <si>
    <t>Jupiter Wagons Ltd.</t>
  </si>
  <si>
    <t>KADDB</t>
  </si>
  <si>
    <t>Kader</t>
  </si>
  <si>
    <t>KAI</t>
  </si>
  <si>
    <t>Kaman</t>
  </si>
  <si>
    <t>KAMAZ</t>
  </si>
  <si>
    <t>Kamov</t>
  </si>
  <si>
    <t>Kangnam Corp</t>
  </si>
  <si>
    <t>Karachi Shipyard (KSEW)</t>
  </si>
  <si>
    <t>Katmerciler</t>
  </si>
  <si>
    <t>KATO Engineering</t>
  </si>
  <si>
    <t>Kawasaki</t>
  </si>
  <si>
    <t>Kazakhstan Eng</t>
  </si>
  <si>
    <t>Kazan</t>
  </si>
  <si>
    <t>KBM Kolumna</t>
  </si>
  <si>
    <t>KBP Instrument</t>
  </si>
  <si>
    <t>Keppel Corp</t>
  </si>
  <si>
    <t>Kerametal</t>
  </si>
  <si>
    <t>Kership</t>
  </si>
  <si>
    <t>Khan ResLabs</t>
  </si>
  <si>
    <t>Kharkiv Morozov</t>
  </si>
  <si>
    <t>Khulna Shipyard</t>
  </si>
  <si>
    <t>Kiewit-Alberici SIOP MACC</t>
  </si>
  <si>
    <t>King ICT</t>
  </si>
  <si>
    <t>King Technologies</t>
  </si>
  <si>
    <t>KIRINTEC</t>
  </si>
  <si>
    <t>KNDS</t>
  </si>
  <si>
    <t>Knight Sky</t>
  </si>
  <si>
    <t>Knights Armament Co.</t>
  </si>
  <si>
    <t>Koam Engineering</t>
  </si>
  <si>
    <t>Koc Group</t>
  </si>
  <si>
    <t>KomatsuIndustries</t>
  </si>
  <si>
    <t>KONSTRUKTA</t>
  </si>
  <si>
    <t>Kord Technologies</t>
  </si>
  <si>
    <t>Korea Shipbuilding &amp; Offshore Engineering</t>
  </si>
  <si>
    <t>Agency for Defense Development</t>
  </si>
  <si>
    <t>Korean Air Aerospace Division</t>
  </si>
  <si>
    <t>KRAS - India</t>
  </si>
  <si>
    <t>Krasmashzavod</t>
  </si>
  <si>
    <t>Kronshtadt Group</t>
  </si>
  <si>
    <t>Krauss-Maffei Wegmann</t>
  </si>
  <si>
    <t>Kryukov Car Bldg</t>
  </si>
  <si>
    <t>KT Consulting</t>
  </si>
  <si>
    <t>KVH Industries</t>
  </si>
  <si>
    <t>Kyndryl Finland</t>
  </si>
  <si>
    <t>Lancair</t>
  </si>
  <si>
    <t>Landmarc</t>
  </si>
  <si>
    <t>Lane Construction Corp.</t>
  </si>
  <si>
    <t>Larsen &amp; Toubro</t>
  </si>
  <si>
    <t>LET</t>
  </si>
  <si>
    <t>Level 3 Comm</t>
  </si>
  <si>
    <t>Life Cycle Engineering</t>
  </si>
  <si>
    <t>LG Group</t>
  </si>
  <si>
    <t>LIG Nex1 Co</t>
  </si>
  <si>
    <t>LinTech Pragmatics JV</t>
  </si>
  <si>
    <t>Lite Comms LLC</t>
  </si>
  <si>
    <t>LOM PRAHA</t>
  </si>
  <si>
    <t>Long Wave Inc</t>
  </si>
  <si>
    <t>Longbow LLC</t>
  </si>
  <si>
    <t>Loral</t>
  </si>
  <si>
    <t>Lumen</t>
  </si>
  <si>
    <t>Lumenier</t>
  </si>
  <si>
    <t>Lung Teh Shipbldg</t>
  </si>
  <si>
    <t>Lurssen Group</t>
  </si>
  <si>
    <t>Lutch</t>
  </si>
  <si>
    <t>Lutsk</t>
  </si>
  <si>
    <t>M Ship Co</t>
  </si>
  <si>
    <t>M2 Technologies</t>
  </si>
  <si>
    <t>M7 Aerospace</t>
  </si>
  <si>
    <t>Mach Industry Grp</t>
  </si>
  <si>
    <t>Mack Defense</t>
  </si>
  <si>
    <t>Mackay Comm</t>
  </si>
  <si>
    <t>MAESTRAL</t>
  </si>
  <si>
    <t>Maestranza AMSU</t>
  </si>
  <si>
    <t>MAG Aerospace</t>
  </si>
  <si>
    <t>Magellan Aerospace Corporation</t>
  </si>
  <si>
    <t>Mahindra</t>
  </si>
  <si>
    <t>MA Mortenson</t>
  </si>
  <si>
    <t>MAN</t>
  </si>
  <si>
    <t>Manhattan Construction</t>
  </si>
  <si>
    <t>Mapiex Aviation</t>
  </si>
  <si>
    <t>Marine Alutech Oy</t>
  </si>
  <si>
    <t>Marine United</t>
  </si>
  <si>
    <t>MarineTec</t>
  </si>
  <si>
    <t>MARS Shipyards</t>
  </si>
  <si>
    <t>Marsh Aviation</t>
  </si>
  <si>
    <t>Marshall Aerospace</t>
  </si>
  <si>
    <t>MARSS</t>
  </si>
  <si>
    <t>Marsun Company</t>
  </si>
  <si>
    <t>Martifer Group</t>
  </si>
  <si>
    <t>Marvin Land System</t>
  </si>
  <si>
    <t>Mastodon Design</t>
  </si>
  <si>
    <t>Mathtech</t>
  </si>
  <si>
    <t>Maule Air</t>
  </si>
  <si>
    <t>MAV</t>
  </si>
  <si>
    <t>Maxar Technologies</t>
  </si>
  <si>
    <t>Mazagon Dock</t>
  </si>
  <si>
    <t>MBB</t>
  </si>
  <si>
    <t>McCrone Associates</t>
  </si>
  <si>
    <t>McDermott Marine</t>
  </si>
  <si>
    <t>McLean Contracting</t>
  </si>
  <si>
    <t>MDA Space</t>
  </si>
  <si>
    <t>MDT Armour</t>
  </si>
  <si>
    <t>MechDB S Africa</t>
  </si>
  <si>
    <t>Mectron</t>
  </si>
  <si>
    <t>MEDAV GmbH</t>
  </si>
  <si>
    <t>Mercedes-Benz</t>
  </si>
  <si>
    <t>Mercer Engineering Research Centre</t>
  </si>
  <si>
    <t>Mercury Systems Inc.</t>
  </si>
  <si>
    <t>Merlin Labs Inc.</t>
  </si>
  <si>
    <t>Merwede</t>
  </si>
  <si>
    <t>Mesko</t>
  </si>
  <si>
    <t>MESIT holding</t>
  </si>
  <si>
    <t>Messer Construction</t>
  </si>
  <si>
    <t>Metal Shark</t>
  </si>
  <si>
    <t>MetalCraft Marine</t>
  </si>
  <si>
    <t>Metalnor SA</t>
  </si>
  <si>
    <t>Meyer Werft</t>
  </si>
  <si>
    <t>Michelin</t>
  </si>
  <si>
    <t>Micro Aviation</t>
  </si>
  <si>
    <t>Microdis Electronics</t>
  </si>
  <si>
    <t>Micropol Fiberoptic AB</t>
  </si>
  <si>
    <t>Microsoft</t>
  </si>
  <si>
    <t>MicroTech</t>
  </si>
  <si>
    <t>Middle East Def</t>
  </si>
  <si>
    <t>Mikal Group</t>
  </si>
  <si>
    <t>Mikoyan</t>
  </si>
  <si>
    <t>Mil</t>
  </si>
  <si>
    <t>MilDef</t>
  </si>
  <si>
    <t>Milenium Veladi Corp.</t>
  </si>
  <si>
    <t>Millenium Space</t>
  </si>
  <si>
    <t>MilSOFT Software</t>
  </si>
  <si>
    <t>MineWolf Systems</t>
  </si>
  <si>
    <t>MISC Berhad</t>
  </si>
  <si>
    <t>Mission1st</t>
  </si>
  <si>
    <t>Mistral Inc.</t>
  </si>
  <si>
    <t>Mitie</t>
  </si>
  <si>
    <t>Mitsubishi</t>
  </si>
  <si>
    <t>Mitsui SB</t>
  </si>
  <si>
    <t>MKEK</t>
  </si>
  <si>
    <t>MMIST</t>
  </si>
  <si>
    <t>MNDI Pacific JV</t>
  </si>
  <si>
    <t>MO Porte-Avions</t>
  </si>
  <si>
    <t>Modern Technology Solutions</t>
  </si>
  <si>
    <t>Moller-Maersk</t>
  </si>
  <si>
    <t>Moog Inc.</t>
  </si>
  <si>
    <t>MorseCorp Inc.</t>
  </si>
  <si>
    <t>Morye Shipyard</t>
  </si>
  <si>
    <t>Motorola Solutions</t>
  </si>
  <si>
    <t>MSI</t>
  </si>
  <si>
    <t>Mudry</t>
  </si>
  <si>
    <t>Mugin</t>
  </si>
  <si>
    <t>MVL USA</t>
  </si>
  <si>
    <t>MW Builders</t>
  </si>
  <si>
    <t>Mythics</t>
  </si>
  <si>
    <t>Nakilat</t>
  </si>
  <si>
    <t>Nakupuna Consulting</t>
  </si>
  <si>
    <t>NAMC</t>
  </si>
  <si>
    <t>Nan Inc.</t>
  </si>
  <si>
    <t>Nanchang</t>
  </si>
  <si>
    <t>National Academy of Sciences of Belarus</t>
  </si>
  <si>
    <t>National Steel and Shipbuilding</t>
  </si>
  <si>
    <t>Natl Radio Telecom</t>
  </si>
  <si>
    <t>Nautica Nova</t>
  </si>
  <si>
    <t>Naval Gijon Ship</t>
  </si>
  <si>
    <t>Naval Group</t>
  </si>
  <si>
    <t>Naval Shipyard Gdynia</t>
  </si>
  <si>
    <t>Navantia</t>
  </si>
  <si>
    <t>Naviris</t>
  </si>
  <si>
    <t>Navistar International</t>
  </si>
  <si>
    <t>Navmar</t>
  </si>
  <si>
    <t>NCI Info Sys</t>
  </si>
  <si>
    <t>NCSIST</t>
  </si>
  <si>
    <t>ND Defense</t>
  </si>
  <si>
    <t>NDMA</t>
  </si>
  <si>
    <t>NEC</t>
  </si>
  <si>
    <t>Neiva</t>
  </si>
  <si>
    <t>Neorion Group</t>
  </si>
  <si>
    <t>NES Associates</t>
  </si>
  <si>
    <t>Netline Comm</t>
  </si>
  <si>
    <t>New Directions Technologies</t>
  </si>
  <si>
    <t>NewSpace India</t>
  </si>
  <si>
    <t>NEWTEC</t>
  </si>
  <si>
    <t>Nexter</t>
  </si>
  <si>
    <t>NGV Tech</t>
  </si>
  <si>
    <t>NH Industries</t>
  </si>
  <si>
    <t>NICCO Comm</t>
  </si>
  <si>
    <t>Nigerian Dockyard</t>
  </si>
  <si>
    <t>NII STT</t>
  </si>
  <si>
    <t>Niigata Shipbuilding</t>
  </si>
  <si>
    <t>NIMR Auto</t>
  </si>
  <si>
    <t>Nissan</t>
  </si>
  <si>
    <t>nLIGHT Nutronics</t>
  </si>
  <si>
    <t>Noble Supply and Logistics</t>
  </si>
  <si>
    <t>Noblis MSD</t>
  </si>
  <si>
    <t>Nokia</t>
  </si>
  <si>
    <t>Nordic Terrain Solutions</t>
  </si>
  <si>
    <t>Norinco</t>
  </si>
  <si>
    <t>Norma Precision AB</t>
  </si>
  <si>
    <t>Nortel</t>
  </si>
  <si>
    <t>North Sea Boats</t>
  </si>
  <si>
    <t>Northstar Aviation</t>
  </si>
  <si>
    <t>Nostromo</t>
  </si>
  <si>
    <t>Novadem</t>
  </si>
  <si>
    <t>NP Aerospace</t>
  </si>
  <si>
    <t>NPO Elektro'ka</t>
  </si>
  <si>
    <t>NPO Lavochkin</t>
  </si>
  <si>
    <t>NRL</t>
  </si>
  <si>
    <t>NSSL</t>
  </si>
  <si>
    <t>NSWC</t>
  </si>
  <si>
    <t>NT Service</t>
  </si>
  <si>
    <t>NTConcepts</t>
  </si>
  <si>
    <t>NTT Group</t>
  </si>
  <si>
    <t>NUBURU</t>
  </si>
  <si>
    <t>Nurol Co.</t>
  </si>
  <si>
    <t>NVL Group</t>
  </si>
  <si>
    <t>Oakwell Engineer</t>
  </si>
  <si>
    <t>OBRUM</t>
  </si>
  <si>
    <t>OCEA Group</t>
  </si>
  <si>
    <t>Ocean Tech Sys</t>
  </si>
  <si>
    <t>Oceaneering</t>
  </si>
  <si>
    <t>OCR Global</t>
  </si>
  <si>
    <t>Odebrecht Group</t>
  </si>
  <si>
    <t>Odyssey Systems Consulting Group</t>
  </si>
  <si>
    <t>OGMA</t>
  </si>
  <si>
    <t>OHB System AG</t>
  </si>
  <si>
    <t>OIP Land Systems</t>
  </si>
  <si>
    <t>Old North Utility Services</t>
  </si>
  <si>
    <t>Omnisec AG</t>
  </si>
  <si>
    <t>Omnisys</t>
  </si>
  <si>
    <t>Ondas</t>
  </si>
  <si>
    <t>Optics1 Inc.</t>
  </si>
  <si>
    <t>Optima Government Solutions</t>
  </si>
  <si>
    <t>Orbit Technologies</t>
  </si>
  <si>
    <t>Orizzonte Sistemi Navali</t>
  </si>
  <si>
    <t>Orskov Group</t>
  </si>
  <si>
    <t>OSI</t>
  </si>
  <si>
    <t>Otobus Karoseri</t>
  </si>
  <si>
    <t>Otokar</t>
  </si>
  <si>
    <t>OTT Technologies</t>
  </si>
  <si>
    <t>Out of Business</t>
  </si>
  <si>
    <t>Overaasen AS</t>
  </si>
  <si>
    <t>Ovzon</t>
  </si>
  <si>
    <t>PAC</t>
  </si>
  <si>
    <t>Paccar</t>
  </si>
  <si>
    <t>Pacific Aerospace</t>
  </si>
  <si>
    <t>Pacific Rim Constructors</t>
  </si>
  <si>
    <t>Pacifics Propeller International</t>
  </si>
  <si>
    <t>Pakistan Aeronautical Complex</t>
  </si>
  <si>
    <t>Palantir Technologies</t>
  </si>
  <si>
    <t>Palantir USG</t>
  </si>
  <si>
    <t>Palfinger</t>
  </si>
  <si>
    <t>PAMA-SP</t>
  </si>
  <si>
    <t>PanAmSat</t>
  </si>
  <si>
    <t>Panavia</t>
  </si>
  <si>
    <t>Panha</t>
  </si>
  <si>
    <t>Paramount Group</t>
  </si>
  <si>
    <t>Parker-Hannifin</t>
  </si>
  <si>
    <t>Parrot</t>
  </si>
  <si>
    <t>Parsons Government Services</t>
  </si>
  <si>
    <t>Patria</t>
  </si>
  <si>
    <t>PCCI</t>
  </si>
  <si>
    <t>PCM</t>
  </si>
  <si>
    <t>Pearson Engineering</t>
  </si>
  <si>
    <t>Peerless Technologies</t>
  </si>
  <si>
    <t>Pelatron</t>
  </si>
  <si>
    <t>Pelegrin</t>
  </si>
  <si>
    <t>Penman Company</t>
  </si>
  <si>
    <t>Persistent Systems</t>
  </si>
  <si>
    <t>Peterson Bldrs</t>
  </si>
  <si>
    <t>PGSUS</t>
  </si>
  <si>
    <t>PGZ</t>
  </si>
  <si>
    <t>PGZ-PILICA Consortium</t>
  </si>
  <si>
    <t>PGZ-NAREW Consortium</t>
  </si>
  <si>
    <t>Phacil Inc</t>
  </si>
  <si>
    <t>Phoenix Air Group</t>
  </si>
  <si>
    <t>Philippine Telephone</t>
  </si>
  <si>
    <t>Piaggio</t>
  </si>
  <si>
    <t>Pilatus</t>
  </si>
  <si>
    <t>Pindad</t>
  </si>
  <si>
    <t>Piper</t>
  </si>
  <si>
    <t>Pipistrel</t>
  </si>
  <si>
    <t>Piriou Naval Svcs</t>
  </si>
  <si>
    <t>PJ Aviation</t>
  </si>
  <si>
    <t>Plath</t>
  </si>
  <si>
    <t>PN Dockyard</t>
  </si>
  <si>
    <t>Polaris Industries</t>
  </si>
  <si>
    <t>Polish Defence Holding</t>
  </si>
  <si>
    <t>Polska Grupa</t>
  </si>
  <si>
    <t>Poly Technologies</t>
  </si>
  <si>
    <t>Polyot</t>
  </si>
  <si>
    <t>Polysentry</t>
  </si>
  <si>
    <t>Pragmatics</t>
  </si>
  <si>
    <t>Presidio</t>
  </si>
  <si>
    <t>Priboy</t>
  </si>
  <si>
    <t>PRIMA Research</t>
  </si>
  <si>
    <t>Proforce Defence</t>
  </si>
  <si>
    <t>Programs Management Analytics and Technologies</t>
  </si>
  <si>
    <t>Propmech Corp</t>
  </si>
  <si>
    <t>Prox Dynamics</t>
  </si>
  <si>
    <t>PS Engineering</t>
  </si>
  <si>
    <t>PSI</t>
  </si>
  <si>
    <t>PSM</t>
  </si>
  <si>
    <t>PT Batam</t>
  </si>
  <si>
    <t>Pt Bhinneka Dwi Persada</t>
  </si>
  <si>
    <t>PT Citra Barahi Shipyard</t>
  </si>
  <si>
    <t>PT Daya Radar Utama</t>
  </si>
  <si>
    <t>PT Dirgantara</t>
  </si>
  <si>
    <t>PT Dumas Shipyard</t>
  </si>
  <si>
    <t>PT Kodja Bahari</t>
  </si>
  <si>
    <t>PT PAL Indonesia</t>
  </si>
  <si>
    <t>PT Palindo</t>
  </si>
  <si>
    <t>PT Republik Defensindo</t>
  </si>
  <si>
    <t>PZL-Mielec</t>
  </si>
  <si>
    <t>PZL-Okęcie</t>
  </si>
  <si>
    <t>PZL-Swidnik</t>
  </si>
  <si>
    <t>Q-Techn LLC</t>
  </si>
  <si>
    <t>Qbase, LLC.</t>
  </si>
  <si>
    <t>Qioptiq</t>
  </si>
  <si>
    <t>Qods Aviation Industries</t>
  </si>
  <si>
    <t>Quad City Aircraft</t>
  </si>
  <si>
    <t>QualX Corp.</t>
  </si>
  <si>
    <t>Quantum Research</t>
  </si>
  <si>
    <t>Quantum Systems</t>
  </si>
  <si>
    <t>QuantX Labs</t>
  </si>
  <si>
    <t>Qwest</t>
  </si>
  <si>
    <t>R&amp;W Contractors</t>
  </si>
  <si>
    <t>Radiance Tech</t>
  </si>
  <si>
    <t>Radmor SA</t>
  </si>
  <si>
    <t>Rafael</t>
  </si>
  <si>
    <t>RAMET</t>
  </si>
  <si>
    <t>Range Generation Next</t>
  </si>
  <si>
    <t>Rannoch Corp</t>
  </si>
  <si>
    <t>Rauma Marine</t>
  </si>
  <si>
    <t>Ravenswood Solutions Inc.</t>
  </si>
  <si>
    <t>RAVN Group</t>
  </si>
  <si>
    <t>RC Construction</t>
  </si>
  <si>
    <t>Rebellion Defense</t>
  </si>
  <si>
    <t>ReconCraft LLC</t>
  </si>
  <si>
    <t>Record Steel &amp; Construction</t>
  </si>
  <si>
    <t xml:space="preserve">Red Peak Technical Services </t>
  </si>
  <si>
    <t>Red River Computer</t>
  </si>
  <si>
    <t>Redflex Group</t>
  </si>
  <si>
    <t>Redwire</t>
  </si>
  <si>
    <t>Regional One</t>
  </si>
  <si>
    <t>Reims-Cessna</t>
  </si>
  <si>
    <t>Reiser</t>
  </si>
  <si>
    <t>Reliance Defence</t>
  </si>
  <si>
    <t>Reliance Test and Technology</t>
  </si>
  <si>
    <t>Remdiesel</t>
  </si>
  <si>
    <t>Remontowa Group</t>
  </si>
  <si>
    <t>Remoy Shipping</t>
  </si>
  <si>
    <t>Renk America</t>
  </si>
  <si>
    <t>Repkon USA-Defense</t>
  </si>
  <si>
    <t>Reshetnev Company</t>
  </si>
  <si>
    <t>Ressenig</t>
  </si>
  <si>
    <t>Reunert</t>
  </si>
  <si>
    <t>Revolution Aviation</t>
  </si>
  <si>
    <t>Rh-Alan</t>
  </si>
  <si>
    <t>RHEA Group</t>
  </si>
  <si>
    <t>Rheinmetall</t>
  </si>
  <si>
    <t>Rheinmetall BAE Systems Land</t>
  </si>
  <si>
    <t>Rheinmetall Denel</t>
  </si>
  <si>
    <t>Rheinmetall MAN</t>
  </si>
  <si>
    <t>Ribcraft USA</t>
  </si>
  <si>
    <t>Riga Shipyard</t>
  </si>
  <si>
    <t>RIO Design Bureau</t>
  </si>
  <si>
    <t>Rio Santiago Shipyard</t>
  </si>
  <si>
    <t>Rise8 Inc.</t>
  </si>
  <si>
    <t>RiverHawk Group</t>
  </si>
  <si>
    <t>Robertson Fuel Systems</t>
  </si>
  <si>
    <t>Robin Radar Systems</t>
  </si>
  <si>
    <t>Robinson</t>
  </si>
  <si>
    <t>Roboteam</t>
  </si>
  <si>
    <t>Rocket Lab National Security LLC</t>
  </si>
  <si>
    <t>Rodman Group</t>
  </si>
  <si>
    <t>Rohde &amp; Schwarz</t>
  </si>
  <si>
    <t xml:space="preserve">Roke </t>
  </si>
  <si>
    <t>Roketsan</t>
  </si>
  <si>
    <t>Roman Brasov</t>
  </si>
  <si>
    <t>ROMARM</t>
  </si>
  <si>
    <t>Rosomak</t>
  </si>
  <si>
    <t>Rostec</t>
  </si>
  <si>
    <t>Rothe Development</t>
  </si>
  <si>
    <t>Rovsing A/S</t>
  </si>
  <si>
    <t>RQ Construction</t>
  </si>
  <si>
    <t>RS-UAS</t>
  </si>
  <si>
    <t>RTX</t>
  </si>
  <si>
    <t>RUAG</t>
  </si>
  <si>
    <t>RV Connex</t>
  </si>
  <si>
    <t>RWG Repair &amp; Overhauls USA</t>
  </si>
  <si>
    <t>Sabiex Group</t>
  </si>
  <si>
    <t>Sabre Systems</t>
  </si>
  <si>
    <t>Sabreliner Corporation</t>
  </si>
  <si>
    <t>SAFAT</t>
  </si>
  <si>
    <t>Sagemcom</t>
  </si>
  <si>
    <t>Sako</t>
  </si>
  <si>
    <t>SAL</t>
  </si>
  <si>
    <t>SAN</t>
  </si>
  <si>
    <t>San Yang</t>
  </si>
  <si>
    <t>Sandia Nat Labs</t>
  </si>
  <si>
    <t>Sanmina-SCI</t>
  </si>
  <si>
    <t>Sanska</t>
  </si>
  <si>
    <t>Santana Motors</t>
  </si>
  <si>
    <t>Santierul Naval</t>
  </si>
  <si>
    <t>SANUKI Shipbldg</t>
  </si>
  <si>
    <t>SAPURA</t>
  </si>
  <si>
    <t>Sapura Thales</t>
  </si>
  <si>
    <t>Sarco Defense</t>
  </si>
  <si>
    <t>Sasebo Heavy Ind</t>
  </si>
  <si>
    <t>Satuma</t>
  </si>
  <si>
    <t>Savox Communications</t>
  </si>
  <si>
    <t>SBIC</t>
  </si>
  <si>
    <t>Scandinavian Avionics</t>
  </si>
  <si>
    <t>Scania</t>
  </si>
  <si>
    <t>Scheepvaart KB</t>
  </si>
  <si>
    <t>Schiebel</t>
  </si>
  <si>
    <t>Schweizer</t>
  </si>
  <si>
    <t>Science and Engineering Services</t>
  </si>
  <si>
    <t>Scientia Global</t>
  </si>
  <si>
    <t>Scorpene JV</t>
  </si>
  <si>
    <t>SCOTTY Group</t>
  </si>
  <si>
    <t>SCR</t>
  </si>
  <si>
    <t>SEA</t>
  </si>
  <si>
    <t>Seabird Aviation</t>
  </si>
  <si>
    <t>Sealift Inc</t>
  </si>
  <si>
    <t>Seaspan Marine</t>
  </si>
  <si>
    <t>Seaward Marine Services</t>
  </si>
  <si>
    <t>Second-Hand</t>
  </si>
  <si>
    <t>Sectra Comm Sys</t>
  </si>
  <si>
    <t>SecuriGence</t>
  </si>
  <si>
    <t>Sedef Shipbuilding</t>
  </si>
  <si>
    <t>Seed Innovations</t>
  </si>
  <si>
    <t>Seemann Composites LLC</t>
  </si>
  <si>
    <t>Sefine Shipyard</t>
  </si>
  <si>
    <t>Segue Technologies</t>
  </si>
  <si>
    <t>Selah Shipbuilding</t>
  </si>
  <si>
    <t>SELEX Elsag</t>
  </si>
  <si>
    <t>Selex ES</t>
  </si>
  <si>
    <t>SEMAN Peru</t>
  </si>
  <si>
    <t>SEPECAT</t>
  </si>
  <si>
    <t>SEPI</t>
  </si>
  <si>
    <t>Sepura</t>
  </si>
  <si>
    <t>Serbian State</t>
  </si>
  <si>
    <t>SES</t>
  </si>
  <si>
    <t>SETEL/REMSCO</t>
  </si>
  <si>
    <t>SGJV</t>
  </si>
  <si>
    <t>Shaanxi</t>
  </si>
  <si>
    <t>Shaanxi Auto Grp</t>
  </si>
  <si>
    <t>Shenyang</t>
  </si>
  <si>
    <t>Shijiazhuang</t>
  </si>
  <si>
    <t>Shin Maywa Industries</t>
  </si>
  <si>
    <t>Shin Yang</t>
  </si>
  <si>
    <t>Shoft Shipyard</t>
  </si>
  <si>
    <t>Short Brothers</t>
  </si>
  <si>
    <t>SI Systems Technologies</t>
  </si>
  <si>
    <t>SICC</t>
  </si>
  <si>
    <t>Sielman S.A.</t>
  </si>
  <si>
    <t>Siemens</t>
  </si>
  <si>
    <t>Sigen Consortium</t>
  </si>
  <si>
    <t>Silent Sentinel</t>
  </si>
  <si>
    <t>Silver Ships Inc.</t>
  </si>
  <si>
    <t>SIMA Peru</t>
  </si>
  <si>
    <t>Singapore Tech.</t>
  </si>
  <si>
    <t>SingTel Group</t>
  </si>
  <si>
    <t>SISDEF</t>
  </si>
  <si>
    <t>Sistemprom</t>
  </si>
  <si>
    <t>Sisu Auto</t>
  </si>
  <si>
    <t>SITAB Consortium</t>
  </si>
  <si>
    <t>SK Holdings</t>
  </si>
  <si>
    <t>Skanska</t>
  </si>
  <si>
    <t>SkyAlyne</t>
  </si>
  <si>
    <t>Skydio</t>
  </si>
  <si>
    <t>Slingsby</t>
  </si>
  <si>
    <t>SmartShooter</t>
  </si>
  <si>
    <t>SMS Data Products</t>
  </si>
  <si>
    <t>SNC-Lavalin</t>
  </si>
  <si>
    <t>SNVI</t>
  </si>
  <si>
    <t>Sobeca</t>
  </si>
  <si>
    <t>Soby Vaerft</t>
  </si>
  <si>
    <t>Socarenam</t>
  </si>
  <si>
    <t>Socata</t>
  </si>
  <si>
    <t>Sodexo Management Inc.</t>
  </si>
  <si>
    <t>SOFIS-TRG</t>
  </si>
  <si>
    <t>SOFRAME</t>
  </si>
  <si>
    <t>Sojitz Corporation</t>
  </si>
  <si>
    <t>Soko</t>
  </si>
  <si>
    <t>Solar Industries</t>
  </si>
  <si>
    <t>Solers</t>
  </si>
  <si>
    <t>Solstad Offshore</t>
  </si>
  <si>
    <t>SONAK</t>
  </si>
  <si>
    <t>Sonalysts Inc.</t>
  </si>
  <si>
    <t>Songthu Corporation</t>
  </si>
  <si>
    <t>Southern African Ship</t>
  </si>
  <si>
    <t>Southern Maryland Electric Cooperative</t>
  </si>
  <si>
    <t>Southern Resc'h</t>
  </si>
  <si>
    <t>Soviet Tank Plant</t>
  </si>
  <si>
    <t>Sozvezdie JSC</t>
  </si>
  <si>
    <t>SPA</t>
  </si>
  <si>
    <t>Spaceflux</t>
  </si>
  <si>
    <t>Spanish Missile Systems</t>
  </si>
  <si>
    <t>Special Technology Ctr</t>
  </si>
  <si>
    <t>Spectra</t>
  </si>
  <si>
    <t>Spectrum Comm</t>
  </si>
  <si>
    <t>SpearUAV</t>
  </si>
  <si>
    <t>SpeedCast</t>
  </si>
  <si>
    <t>Sprint</t>
  </si>
  <si>
    <t>SR Telecom</t>
  </si>
  <si>
    <t>SRC</t>
  </si>
  <si>
    <t>ST Aerospace</t>
  </si>
  <si>
    <t>Stauder Technologies</t>
  </si>
  <si>
    <t>Sterling Computers</t>
  </si>
  <si>
    <t>Steyr</t>
  </si>
  <si>
    <t>STG</t>
  </si>
  <si>
    <t>Stinger ProjectGP</t>
  </si>
  <si>
    <t>STM Group</t>
  </si>
  <si>
    <t>Streit Group</t>
  </si>
  <si>
    <t>STS International</t>
  </si>
  <si>
    <t>STX Corporation</t>
  </si>
  <si>
    <t>Subaru</t>
  </si>
  <si>
    <t>Submarine Manufacturing and Products</t>
  </si>
  <si>
    <t>Sukhoi</t>
  </si>
  <si>
    <t>Sumaria Systems</t>
  </si>
  <si>
    <t>Sumidagawa Ship</t>
  </si>
  <si>
    <t>Sumitomo</t>
  </si>
  <si>
    <t>Summit Aviation</t>
  </si>
  <si>
    <t>Sunair</t>
  </si>
  <si>
    <t>Supacat</t>
  </si>
  <si>
    <t>Superior Govt Sol</t>
  </si>
  <si>
    <t>Superior Marine Ways</t>
  </si>
  <si>
    <t>Surrey Satellite Technology</t>
  </si>
  <si>
    <t>Survey Copter</t>
  </si>
  <si>
    <t>Suzuki Motor Corp</t>
  </si>
  <si>
    <t>SVI Engineering</t>
  </si>
  <si>
    <t>Swan Hunter</t>
  </si>
  <si>
    <t>Swecon</t>
  </si>
  <si>
    <t>Swede Ship</t>
  </si>
  <si>
    <t>SwedishSpace Cp</t>
  </si>
  <si>
    <t>Symetrics</t>
  </si>
  <si>
    <t>Synectic Group</t>
  </si>
  <si>
    <t>Sypaq Systems</t>
  </si>
  <si>
    <t>Sypris Solutions</t>
  </si>
  <si>
    <t>Sys for Def/GVS</t>
  </si>
  <si>
    <t>System Studies &amp; Simulation</t>
  </si>
  <si>
    <t>Systematic</t>
  </si>
  <si>
    <t>Systems Planning and Analysis</t>
  </si>
  <si>
    <t>T. Mariotti</t>
  </si>
  <si>
    <t>Tactical Engineer</t>
  </si>
  <si>
    <t>TADANO</t>
  </si>
  <si>
    <t>TAE Aerospace</t>
  </si>
  <si>
    <t>TAI</t>
  </si>
  <si>
    <t>Talbert Manufacturing Inc.</t>
  </si>
  <si>
    <t>Target Technologia</t>
  </si>
  <si>
    <t>Taskizak Shipyard</t>
  </si>
  <si>
    <t>TAT Technologies</t>
  </si>
  <si>
    <t>Tata Advanced Systems</t>
  </si>
  <si>
    <t>Tata Group</t>
  </si>
  <si>
    <t>TATRA</t>
  </si>
  <si>
    <t>Taurus Systems</t>
  </si>
  <si>
    <t>Taylor Defense Products</t>
  </si>
  <si>
    <t>TCG</t>
  </si>
  <si>
    <t>TCIL</t>
  </si>
  <si>
    <t>TDW GmbH</t>
  </si>
  <si>
    <t>TDX International</t>
  </si>
  <si>
    <t>Technica Corp</t>
  </si>
  <si>
    <t>Technical Comms</t>
  </si>
  <si>
    <t>Technology Unlim</t>
  </si>
  <si>
    <t>Tecnam</t>
  </si>
  <si>
    <t>TECNOBIT</t>
  </si>
  <si>
    <t>Tekever</t>
  </si>
  <si>
    <t>Telecomm Systems</t>
  </si>
  <si>
    <t>Teledyne FLIR</t>
  </si>
  <si>
    <t>Telephonics Corp.</t>
  </si>
  <si>
    <t>Telespazio</t>
  </si>
  <si>
    <t>Teletronics Technology</t>
  </si>
  <si>
    <t>Telia Finland</t>
  </si>
  <si>
    <t>Tellumat</t>
  </si>
  <si>
    <t>Telos Corp</t>
  </si>
  <si>
    <t>Telstra</t>
  </si>
  <si>
    <t>Terberg Group</t>
  </si>
  <si>
    <t>Terma A/S</t>
  </si>
  <si>
    <t>Tesat Spacecom</t>
  </si>
  <si>
    <t>TESCO INDOMARITIM</t>
  </si>
  <si>
    <t>TESLA</t>
  </si>
  <si>
    <t>TESS Defence</t>
  </si>
  <si>
    <t>Tesseract Ventures</t>
  </si>
  <si>
    <t>TETRAEDR</t>
  </si>
  <si>
    <t>Texas A&amp;M</t>
  </si>
  <si>
    <t>Thales Alenia Sp</t>
  </si>
  <si>
    <t>ThalesRaytheon</t>
  </si>
  <si>
    <t>TWPG</t>
  </si>
  <si>
    <t>THEON International</t>
  </si>
  <si>
    <t>ThirdEye</t>
  </si>
  <si>
    <t>Thrane &amp; Thrane</t>
  </si>
  <si>
    <t>Threod Systems</t>
  </si>
  <si>
    <t>Thuraya</t>
  </si>
  <si>
    <t>ThyssenKrupp AG</t>
  </si>
  <si>
    <t>Titan Aircraft</t>
  </si>
  <si>
    <t>TKC Global Solutions</t>
  </si>
  <si>
    <t>TNO</t>
  </si>
  <si>
    <t>Tobyhanna Army</t>
  </si>
  <si>
    <t>Tomahawk Robotics</t>
  </si>
  <si>
    <t>Top Aces</t>
  </si>
  <si>
    <t>Toshiba</t>
  </si>
  <si>
    <t>Toyota Motor Corp</t>
  </si>
  <si>
    <t>Trans-Ce Cargo SA</t>
  </si>
  <si>
    <t>Transall</t>
  </si>
  <si>
    <t>Transas Group</t>
  </si>
  <si>
    <t>Transbit</t>
  </si>
  <si>
    <t>Transfield Services</t>
  </si>
  <si>
    <t>TRAX International</t>
  </si>
  <si>
    <t>TrellisWare Tech</t>
  </si>
  <si>
    <t>Trideum Corp</t>
  </si>
  <si>
    <t>Triman Industries</t>
  </si>
  <si>
    <t>Triton Group Hold</t>
  </si>
  <si>
    <t>TRU Simulation Plus Training</t>
  </si>
  <si>
    <t>TRX System</t>
  </si>
  <si>
    <t>TSS Solutions</t>
  </si>
  <si>
    <t>TTC TELEKOM</t>
  </si>
  <si>
    <t>TUBITAK</t>
  </si>
  <si>
    <t>Tupolev</t>
  </si>
  <si>
    <t>Turkish AFF</t>
  </si>
  <si>
    <t>Turner Construction</t>
  </si>
  <si>
    <t>Twin Commander Aircraft</t>
  </si>
  <si>
    <t>TYBRIN</t>
  </si>
  <si>
    <t>Tyco Intl</t>
  </si>
  <si>
    <t>Tyovene</t>
  </si>
  <si>
    <t>Tyto Athene</t>
  </si>
  <si>
    <t>Tyvak International</t>
  </si>
  <si>
    <t>UAV Communications</t>
  </si>
  <si>
    <t>UAV Solutions</t>
  </si>
  <si>
    <t>Uavision Aeronautics</t>
  </si>
  <si>
    <t>UCOCAR</t>
  </si>
  <si>
    <t>Uconsystem</t>
  </si>
  <si>
    <t>UK Docks Marine Services</t>
  </si>
  <si>
    <t>Ukraine Weapons</t>
  </si>
  <si>
    <t>UkraineTank Plant</t>
  </si>
  <si>
    <t>Ukroboronprom</t>
  </si>
  <si>
    <t>Ukrspecsystems</t>
  </si>
  <si>
    <t>Ulijanovsk</t>
  </si>
  <si>
    <t>UltiSat</t>
  </si>
  <si>
    <t>Ultra Dimensions Pvt. Ltd.</t>
  </si>
  <si>
    <t>Ultra I&amp;C</t>
  </si>
  <si>
    <t>Ultra Maritime</t>
  </si>
  <si>
    <t>UMM</t>
  </si>
  <si>
    <t>Umoe Group</t>
  </si>
  <si>
    <t>Unicom</t>
  </si>
  <si>
    <t>Unicom Government</t>
  </si>
  <si>
    <t>Unified Industries</t>
  </si>
  <si>
    <t>UNIMO Technology</t>
  </si>
  <si>
    <t>Unimor Radiocom</t>
  </si>
  <si>
    <t>Unisys</t>
  </si>
  <si>
    <t>Unit Co.</t>
  </si>
  <si>
    <t>United Crane and Excavation Inc.</t>
  </si>
  <si>
    <t>United Electronics</t>
  </si>
  <si>
    <t>Univ of Texas</t>
  </si>
  <si>
    <t>Univ of Toronto</t>
  </si>
  <si>
    <t>Universal Shipbldg</t>
  </si>
  <si>
    <t>Unman'dDynamics</t>
  </si>
  <si>
    <t>Ural Works Civil Aviation</t>
  </si>
  <si>
    <t>Uralvagonzavod</t>
  </si>
  <si>
    <t>URC Systems</t>
  </si>
  <si>
    <t>UROVESA</t>
  </si>
  <si>
    <t>US Marine Inc</t>
  </si>
  <si>
    <t>USCG YARD</t>
  </si>
  <si>
    <t>UTVA</t>
  </si>
  <si>
    <t>UVision Global Aero</t>
  </si>
  <si>
    <t>Valero Marketing and Supply</t>
  </si>
  <si>
    <t>Valkyrie Aero</t>
  </si>
  <si>
    <t>Van's Aircraft</t>
  </si>
  <si>
    <t>Vector Scientific</t>
  </si>
  <si>
    <t>Vector Solutions</t>
  </si>
  <si>
    <t>Vega Company</t>
  </si>
  <si>
    <t>Vencore</t>
  </si>
  <si>
    <t>Veritas Capital</t>
  </si>
  <si>
    <t>Verizon</t>
  </si>
  <si>
    <t>Vertex Standard</t>
  </si>
  <si>
    <t>Vestel</t>
  </si>
  <si>
    <t>Victory Solutions Inc.</t>
  </si>
  <si>
    <t>VideoRay LLC</t>
  </si>
  <si>
    <t>Viettel Group</t>
  </si>
  <si>
    <t>Viking Air</t>
  </si>
  <si>
    <t>Viking Arms</t>
  </si>
  <si>
    <t>Vimpel</t>
  </si>
  <si>
    <t>Vladimir Radio</t>
  </si>
  <si>
    <t>Volkswagen Group</t>
  </si>
  <si>
    <t>Volvo Group</t>
  </si>
  <si>
    <t>Von Wolf</t>
  </si>
  <si>
    <t>VOP 025</t>
  </si>
  <si>
    <t>VOP 026 Sternberk</t>
  </si>
  <si>
    <t>VPK</t>
  </si>
  <si>
    <t>VSE Corp.</t>
  </si>
  <si>
    <t>Vulcanair</t>
  </si>
  <si>
    <t>V2X</t>
  </si>
  <si>
    <t>Watterson Construction Co.</t>
  </si>
  <si>
    <t>WB Electronics</t>
  </si>
  <si>
    <t>WBA Blindajes Alemanes</t>
  </si>
  <si>
    <t>West Sea Shipyard</t>
  </si>
  <si>
    <t>Weststar Group</t>
  </si>
  <si>
    <t>WG Yates and Sons</t>
  </si>
  <si>
    <t>Wildflower Intl</t>
  </si>
  <si>
    <t>Windmill Intl</t>
  </si>
  <si>
    <t>World Wide Tech</t>
  </si>
  <si>
    <t>WZE</t>
  </si>
  <si>
    <t>WZM</t>
  </si>
  <si>
    <t>X-Bow</t>
  </si>
  <si>
    <t>Xian</t>
  </si>
  <si>
    <t>Xian ASN Technical Group</t>
  </si>
  <si>
    <t>XTAR</t>
  </si>
  <si>
    <t>Yakovlev</t>
  </si>
  <si>
    <t>Yamaha</t>
  </si>
  <si>
    <t>Yaroslavl Radio</t>
  </si>
  <si>
    <t>Yeonhab Precision</t>
  </si>
  <si>
    <t>Yokohama Yacht</t>
  </si>
  <si>
    <t>Yoland Corp.</t>
  </si>
  <si>
    <t>Yonca-Onuk</t>
  </si>
  <si>
    <t>Yugoimport-SDPR</t>
  </si>
  <si>
    <t>Zala</t>
  </si>
  <si>
    <t>Zamil Offshore</t>
  </si>
  <si>
    <t>Zen Technologies</t>
  </si>
  <si>
    <t>Zenair LTD</t>
  </si>
  <si>
    <t>Zenit Shipyard</t>
  </si>
  <si>
    <t>Zenith</t>
  </si>
  <si>
    <t>Zlin</t>
  </si>
  <si>
    <t>Zwijnenburg</t>
  </si>
  <si>
    <t>ZyXEL Comm</t>
  </si>
  <si>
    <t>Ametek Programmable Power</t>
  </si>
  <si>
    <t>Yulista Services</t>
  </si>
  <si>
    <t>Twin Disc</t>
  </si>
  <si>
    <t>ś</t>
  </si>
  <si>
    <t>Meggitt Polymers and Composites</t>
  </si>
  <si>
    <t>General Electric Aviation</t>
  </si>
  <si>
    <t>ACME/RHB</t>
  </si>
  <si>
    <t>Management Services</t>
  </si>
  <si>
    <t>Collins Elbit Vision Systems</t>
  </si>
  <si>
    <t>AKIMA Logistics Services</t>
  </si>
  <si>
    <t>Altamira Technologies</t>
  </si>
  <si>
    <t>CTC Enterprise Ventures</t>
  </si>
  <si>
    <t>Cabras Marine Corp</t>
  </si>
  <si>
    <t>Boeing Space</t>
  </si>
  <si>
    <t>Delaware Resource Group of Oklahoma</t>
  </si>
  <si>
    <t>Raytheon Co., Intelligence, Information and Services</t>
  </si>
  <si>
    <t>NetCentric Technology</t>
  </si>
  <si>
    <t>Solpac Construction</t>
  </si>
  <si>
    <t>Date</t>
  </si>
  <si>
    <t>Contract Number</t>
  </si>
  <si>
    <t>4th January</t>
  </si>
  <si>
    <t>FA8810-18-C-0005</t>
  </si>
  <si>
    <t>FA8575-21-F-0001</t>
  </si>
  <si>
    <t>N40192-21-C-1300</t>
  </si>
  <si>
    <t>5th January</t>
  </si>
  <si>
    <t>N00024-21-C-5119</t>
  </si>
  <si>
    <t>N68520-21-D-0002</t>
  </si>
  <si>
    <t>N00019-19-C-0033</t>
  </si>
  <si>
    <t>SAFE Boats International</t>
  </si>
  <si>
    <t>6th January</t>
  </si>
  <si>
    <t>N68936-21-D-0009</t>
  </si>
  <si>
    <t>7th January</t>
  </si>
  <si>
    <t>W9124G-17-C-0005</t>
  </si>
  <si>
    <t>N00019-20-C-0052</t>
  </si>
  <si>
    <t>N00019-19-F-4058</t>
  </si>
  <si>
    <t>8th January</t>
  </si>
  <si>
    <t>N69450-20-C-0016</t>
  </si>
  <si>
    <t>FA4890-21-C-0002</t>
  </si>
  <si>
    <t>HR0011-20-C-0038</t>
  </si>
  <si>
    <t>11th January</t>
  </si>
  <si>
    <t>N00024-21-C-5411</t>
  </si>
  <si>
    <t>12th January</t>
  </si>
  <si>
    <t>FA8625-11-C-6600</t>
  </si>
  <si>
    <t>13th January</t>
  </si>
  <si>
    <t>N00019-18-C-1007</t>
  </si>
  <si>
    <t>14th January</t>
  </si>
  <si>
    <t>N00421-21-D-0010</t>
  </si>
  <si>
    <t>N00421-17-C-0044</t>
  </si>
  <si>
    <t>N00024-19-C-6402</t>
  </si>
  <si>
    <t>HQ0857-20-9-0001</t>
  </si>
  <si>
    <t>15th January</t>
  </si>
  <si>
    <t>HQ0147-19-C-5001</t>
  </si>
  <si>
    <t>N00024-21-D-4103</t>
  </si>
  <si>
    <t>N61340-18-D-0002</t>
  </si>
  <si>
    <t>W58RGZ-16-C-0016</t>
  </si>
  <si>
    <t>1st September</t>
  </si>
  <si>
    <t>N00383-21-D-ZN01</t>
  </si>
  <si>
    <t>N00383-21-D-ZQ01</t>
  </si>
  <si>
    <t>W9128F-21-C-0041</t>
  </si>
  <si>
    <t>FA8620-18-C-1000</t>
  </si>
  <si>
    <t>2nd September</t>
  </si>
  <si>
    <t>N62473-21-C-1011</t>
  </si>
  <si>
    <t>N62473-18-D-5852</t>
  </si>
  <si>
    <t>FA8523-21-D-0007</t>
  </si>
  <si>
    <t>W31P4Q-19-C-0003</t>
  </si>
  <si>
    <t>3rd September</t>
  </si>
  <si>
    <t>N0001920D0013</t>
  </si>
  <si>
    <t>N00189-21-D-Z046</t>
  </si>
  <si>
    <t>N0001919C0013</t>
  </si>
  <si>
    <t>N00039-18-D-0001</t>
  </si>
  <si>
    <t>N0001921F0042</t>
  </si>
  <si>
    <t>HC1028-21-D-0002</t>
  </si>
  <si>
    <t>HQ0856-21-D-0001</t>
  </si>
  <si>
    <t>7th September</t>
  </si>
  <si>
    <t>FA8689-21-F-2800</t>
  </si>
  <si>
    <t>HR001120C0028</t>
  </si>
  <si>
    <t>8th September</t>
  </si>
  <si>
    <t>HQ0855-21-D-0001</t>
  </si>
  <si>
    <t>9th September</t>
  </si>
  <si>
    <t>W9124J-21-C-0021</t>
  </si>
  <si>
    <t>10th September</t>
  </si>
  <si>
    <t>W31P4Q-18-C-0130</t>
  </si>
  <si>
    <t>N0001918C1021</t>
  </si>
  <si>
    <t>M67854-16-0006</t>
  </si>
  <si>
    <t>M67854-19-C-0043</t>
  </si>
  <si>
    <t>13th September</t>
  </si>
  <si>
    <t>N0001921C0020</t>
  </si>
  <si>
    <t>N0001921D0001</t>
  </si>
  <si>
    <t>14th September</t>
  </si>
  <si>
    <t>FA9422-21-D-0001</t>
  </si>
  <si>
    <t>HQ0860-21-D-0001</t>
  </si>
  <si>
    <t>N0001921C0044</t>
  </si>
  <si>
    <t>N0001920C0007</t>
  </si>
  <si>
    <t>N0042118D0004</t>
  </si>
  <si>
    <t>15th September</t>
  </si>
  <si>
    <t>HQ0851-20-C-0002</t>
  </si>
  <si>
    <t>Can we include this contract</t>
  </si>
  <si>
    <t>FA8730-21-C-0019</t>
  </si>
  <si>
    <t>No, this would not be included as it is for machinery to produce medical equipment</t>
  </si>
  <si>
    <t>United States Military Aircraft Designations</t>
  </si>
  <si>
    <t>Letter:</t>
  </si>
  <si>
    <t>Meaning:</t>
  </si>
  <si>
    <t>A</t>
  </si>
  <si>
    <t>Attack</t>
  </si>
  <si>
    <t>B</t>
  </si>
  <si>
    <t>C</t>
  </si>
  <si>
    <t>Cargo/Transport</t>
  </si>
  <si>
    <t>E</t>
  </si>
  <si>
    <t>Special Electronic Installation</t>
  </si>
  <si>
    <t>F</t>
  </si>
  <si>
    <t>Examples:</t>
  </si>
  <si>
    <t>H</t>
  </si>
  <si>
    <t>Helicopter</t>
  </si>
  <si>
    <t>K</t>
  </si>
  <si>
    <t>UH-</t>
  </si>
  <si>
    <t>60M</t>
  </si>
  <si>
    <t>L</t>
  </si>
  <si>
    <r>
      <t xml:space="preserve">Laser </t>
    </r>
    <r>
      <rPr>
        <b/>
        <u/>
        <sz val="11"/>
        <color rgb="FF000000"/>
        <rFont val="Open Sans Light"/>
        <family val="2"/>
      </rPr>
      <t>OR</t>
    </r>
    <r>
      <rPr>
        <sz val="11"/>
        <color rgb="FF000000"/>
        <rFont val="Open Sans Light"/>
        <family val="2"/>
      </rPr>
      <t xml:space="preserve"> Cold Weather</t>
    </r>
  </si>
  <si>
    <t>EA-</t>
  </si>
  <si>
    <t>18G</t>
  </si>
  <si>
    <t>M</t>
  </si>
  <si>
    <t>Multimission</t>
  </si>
  <si>
    <t>CH-</t>
  </si>
  <si>
    <t>47D</t>
  </si>
  <si>
    <t>O</t>
  </si>
  <si>
    <t>Observation</t>
  </si>
  <si>
    <t>AC-</t>
  </si>
  <si>
    <t>130J</t>
  </si>
  <si>
    <t>P</t>
  </si>
  <si>
    <t>Patrol</t>
  </si>
  <si>
    <t>F-</t>
  </si>
  <si>
    <t>16C/D</t>
  </si>
  <si>
    <t>Q</t>
  </si>
  <si>
    <t>Unmanned Aerial Vehicle (UAV)</t>
  </si>
  <si>
    <t>R</t>
  </si>
  <si>
    <t>Reconnaissance</t>
  </si>
  <si>
    <t>S</t>
  </si>
  <si>
    <r>
      <t xml:space="preserve">Anti-Submarine </t>
    </r>
    <r>
      <rPr>
        <b/>
        <u/>
        <sz val="11"/>
        <color rgb="FF000000"/>
        <rFont val="Open Sans Light"/>
        <family val="2"/>
      </rPr>
      <t>OR</t>
    </r>
    <r>
      <rPr>
        <sz val="11"/>
        <color rgb="FF000000"/>
        <rFont val="Open Sans Light"/>
        <family val="2"/>
      </rPr>
      <t xml:space="preserve"> Spaceplane</t>
    </r>
  </si>
  <si>
    <t>T</t>
  </si>
  <si>
    <t>Trainer</t>
  </si>
  <si>
    <t>U</t>
  </si>
  <si>
    <t>Utility</t>
  </si>
  <si>
    <t>V</t>
  </si>
  <si>
    <r>
      <t xml:space="preserve">Vertical/Short Take-Off and Landing </t>
    </r>
    <r>
      <rPr>
        <b/>
        <u/>
        <sz val="11"/>
        <color rgb="FF000000"/>
        <rFont val="Open Sans Light"/>
        <family val="2"/>
      </rPr>
      <t>OR</t>
    </r>
    <r>
      <rPr>
        <sz val="11"/>
        <color rgb="FF000000"/>
        <rFont val="Open Sans Light"/>
        <family val="2"/>
      </rPr>
      <t xml:space="preserve"> VIP Transport</t>
    </r>
  </si>
  <si>
    <t>W</t>
  </si>
  <si>
    <t>Weather</t>
  </si>
  <si>
    <t>X</t>
  </si>
  <si>
    <r>
      <t xml:space="preserve">Research </t>
    </r>
    <r>
      <rPr>
        <b/>
        <u/>
        <sz val="11"/>
        <color rgb="FF000000"/>
        <rFont val="Open Sans Light"/>
        <family val="2"/>
      </rPr>
      <t>OR</t>
    </r>
    <r>
      <rPr>
        <sz val="11"/>
        <color rgb="FF000000"/>
        <rFont val="Open Sans Light"/>
        <family val="2"/>
      </rPr>
      <t xml:space="preserve"> Experimental</t>
    </r>
  </si>
  <si>
    <t>Y</t>
  </si>
  <si>
    <t>Z</t>
  </si>
  <si>
    <r>
      <t xml:space="preserve">Lighter-than-Air </t>
    </r>
    <r>
      <rPr>
        <b/>
        <u/>
        <sz val="11"/>
        <color rgb="FF000000"/>
        <rFont val="Open Sans Light"/>
        <family val="2"/>
      </rPr>
      <t>OR</t>
    </r>
    <r>
      <rPr>
        <sz val="11"/>
        <color rgb="FF000000"/>
        <rFont val="Open Sans Light"/>
        <family val="2"/>
      </rPr>
      <t xml:space="preserve"> Planning</t>
    </r>
  </si>
  <si>
    <t>Lease</t>
  </si>
  <si>
    <t>Service</t>
  </si>
  <si>
    <t>NATO</t>
  </si>
  <si>
    <t>EU</t>
  </si>
  <si>
    <t>IFU</t>
  </si>
  <si>
    <t xml:space="preserve">Unknown </t>
  </si>
  <si>
    <t>Value (US$ Million)</t>
  </si>
  <si>
    <t>R&amp;D</t>
  </si>
  <si>
    <t>Yen</t>
  </si>
  <si>
    <t>Mitsubishi Heavy Industries awarded contract for R&amp;D of “target observation rounds” to search, detect, identify, and collect information on the ground target or enemy vessels while avoiding and breaking through enemy’s air defense network and moving into the vicinity of the target.</t>
  </si>
  <si>
    <t>This one sounds very unusual - almost like missiles designed to do ISR. I am 85-90% sure these 4 contracts are differnt to the other 4 Japanese missile procuremetn and R&amp;D contracts from April</t>
  </si>
  <si>
    <t>https://thediplomat.com/2023/06/japan-awards-kawasaki-heavy-industries-243-million-contract-for-homegrown-version-of-tomahawk-missile/             ;            https://militaryleak.com/2023/06/07/mitsubishi-and-kawasaki-awarded-2-3-billion-contracts-to-develop-standoff-missiles/</t>
  </si>
  <si>
    <t>Hyper Velocity Gliding Projectile (HVGP) project "Block II"</t>
  </si>
  <si>
    <t>Mitsubishi Heavy Industries awarded contract for R&amp;D of Hypersonic glide vehicle called the Hyper Velocity Gliding Projectile (HVGP) project or "Block II" from FY2023-FY2027. It will be used to defend the southwestern Islands.</t>
  </si>
  <si>
    <t>I am 85-90% sure these 4 contracts are differnt to the other 4 Japanese missile procuremetn and R&amp;D contracts from April</t>
  </si>
  <si>
    <t>Hypersonic missile</t>
  </si>
  <si>
    <t>Mitsubishi Heavy Industries awarded contract for R&amp;D of hypersonic missile from FY2023 to FY2026</t>
  </si>
  <si>
    <t>"New SSM"</t>
  </si>
  <si>
    <t>Kawasaki Heavy Industries awarded contract to research and develop a a new type of surface-to-ship missile (SSM), a "New SSM" that will be the Japanese version of the Tomahawk</t>
  </si>
  <si>
    <t>Hypersonic Glide Vehicle</t>
  </si>
  <si>
    <t>Unkown</t>
  </si>
  <si>
    <t>Contract for Hypersonic glide vehicle procurement</t>
  </si>
  <si>
    <t>Mass Production' (no number given) - PART (4/4) OF A 387 BILLION YEN ($2.84 BILLION) CONTRACT</t>
  </si>
  <si>
    <t>https://aviationweek.com/defense-space/missile-defense-weapons/mitsubishi-heavy-awarded-28b-contract-deliver-standoff ,                      https://www.mod.go.jp/j/press/news/2023/04/11b.pdf       ;      https://thediplomat.com/2023/04/japan-awards-mitsubishi-heavy-industries-2-86-billion-contract-for-new-standoff-weapons/</t>
  </si>
  <si>
    <t>Long-range submarine-launched anti-ship missile</t>
  </si>
  <si>
    <t>Contract for development of Submarine launched guided missiles</t>
  </si>
  <si>
    <t xml:space="preserve">PART (3/4) OF A 387 BILLION YEN ($2.84 BILLION) CONTRACT. </t>
  </si>
  <si>
    <t>Type-12</t>
  </si>
  <si>
    <t>Contract for the development of advanced Type 12 missiles</t>
  </si>
  <si>
    <t xml:space="preserve">Marked as surface to ship but contract Is for development of advanced Type-12 anti-ship missiles that are surface, ship and air launched - PART (1/4) OF A 387 BILLION YEN ($2.84 BILLION) CONTRACT. </t>
  </si>
  <si>
    <t>https://aviationweek.com/defense-space/missile-defense-weapons/mitsubishi-heavy-awarded-28b-contract-deliver-standoff ,                      https://www.mod.go.jp/j/press/news/2023/04/11b.pdf     ;      https://thediplomat.com/2023/04/japan-awards-mitsubishi-heavy-industries-2-86-billion-contract-for-new-standoff-weapons/</t>
  </si>
  <si>
    <t>Contract for Type 12 surafce to ship missile procurment</t>
  </si>
  <si>
    <t xml:space="preserve">Mass Production' (no official number given, but local media reports state that Japan wants 500 missiles) - PART (1/4) OF A 387 BILLION YEN ($2.84 BILLION) CONTRACT. </t>
  </si>
  <si>
    <t>Bell 412</t>
  </si>
  <si>
    <t>US$</t>
  </si>
  <si>
    <t>2 Bell 412s to Honduras in addtion to H145Ms.</t>
  </si>
  <si>
    <t>Unsure if B2G or G2G (I believe they are second hand)</t>
  </si>
  <si>
    <t>https://www.infodefensa.com/texto-diario/mostrar/4276606/fuerza-aerea-hondurena-adquirira-seis-helicopteros-airbus-h145</t>
  </si>
  <si>
    <t>H145</t>
  </si>
  <si>
    <t>H145M</t>
  </si>
  <si>
    <t>6 H145Ms to the Honduran Air Force</t>
  </si>
  <si>
    <t>Glide Phase Intercept (GPI) concept</t>
  </si>
  <si>
    <t>Raytheon Missiles and Defense, Tucson, Arizona, is being awarded a firm-fixed-price modification to a previously awarded other transaction prototype agreement to extend the existing period of performance. The value of this modification is $17,700,482, which increases the total value of the agreement to $152,808,447. Under this modification, the performer will continue to develop and refine their Glide Phase Intercept (GPI) concept during the technology development phase. The work will be performed in Tucson, Arizona; El Dorado Hills, California; Aurora, Colorado; Tewksbury, Massachusetts; Woburn, Massachusetts; Andover, Massachusetts; McKinney, Texas; and Huntsville, Alabama. The modification period of performance is from April 28, 2023, through March 12, 2024. This initial agreement was competitively awarded using Other Transaction Authority provided by 10 U.S. Code 4022 through the Enhanced Hypersonic Defense Broad Agency Announcement with Glide Phase Interceptor Special Topic, HQ0851-21-S-0001. Research, development, test, and evaluation funds will be used to fund the modification. The government will obligate the amount of $17,700,482 at the time of award. The Missile Defense Agency, Dahlgren, Virginia, is the contracting activity (HQ08512290003).</t>
  </si>
  <si>
    <t>MODIFICATION THAT BRINGS TOTAL CONTRACT VALUE TO $152,808,447</t>
  </si>
  <si>
    <t>Northrop Grumman Corp., Chandler, Arizona, is being awarded a firm-fixed-price modification to a previously awarded other transaction prototype agreement to extend the existing period of performance. The value of this modification is $29,361,147, which increases the total value of the agreement to $155,659,655. Under this modification, the performer will continue to develop and refine their Glide Phase Intercept (GPI) concept during the technology development phase.  The work will be performed in Chandler, Arizona; Colorado Springs, Colorado; Huntsville, Alabama; San Diego, California; and Linthicum, Maryland. The modification period of performance is from April 28, 2023, through March 12, 2024. This initial agreement was competitively awarded using Other Transaction Authority provided by 10 U.S. Code 4022 through the Enhanced Hypersonic Defense Broad Agency Announcement with Glide Phase Interceptor Special Topic, HQ0851-21-S-0001. Research, development, test, and evaluation funds will be used to fund the modification. The government will obligate in the amount of $29,361,147 at the time of award. The Missile Defense Agency, Dahlgren, Virginia, is the contracting activity (HQ08512290002).</t>
  </si>
  <si>
    <t>MODIFICATION THAT BRINGS TOTAL CONTRACT VALUE TO $155,659,655</t>
  </si>
  <si>
    <t>Lockheed Martin Corp., Grand Prairie, Texas, was awarded a $64,448,906 modification (PZ0008) to contract W31P4Q-22-C-0047 for production of High Mobility Artillery Rocket Systems. Work will be performed in Grand Prairie, Texas; Archbald, Pennsylvania; Camden, Arkansas; Palm Bay, Florida; York, Pennsylvania; Brownsboro, Alabama; Boca Raton, Florida; Clearwater, Florida; Dallas, Texas; Whippany, New Jersey; and Jackson, Mississippi, with an estimated completion date of March 31, 2025. Fiscal 2023 operation and maintenance, Recovery Act funds in the amount of $64,448,906 were obligated at the time of the award. U.S. Army Contracting Command, Redstone Arsenal, Alabama, is the contracting activity.</t>
  </si>
  <si>
    <t>Modification to a previous contract for HIMARS (W31P4Q-22-C-0047)</t>
  </si>
  <si>
    <t>Helicopter servos</t>
  </si>
  <si>
    <t>Parker-Hannifin Corp., Irvine, California, was awarded a $221,525,069 firm-fixed-price contract for maintenance and overhaul of helicopter servos. Bids were solicited via the internet with one received. Work locations and funding will be determined with each order, with an estimated completion date of April 27, 2028. U.S. Army Contracting Command, Redstone Arsenal, Alabama, is the contracting activity (W58RGZ-23-D-0033).</t>
  </si>
  <si>
    <t>No specific type of helicopter given so just marked th system name as 'servos'.</t>
  </si>
  <si>
    <t>Combat Capabilities Development Command Ground Vehicle Systems Center</t>
  </si>
  <si>
    <t>DCS Corp., Alexandria, Virginia, was awarded a $2,090,987,106 cost-plus-fixed-fee contract for technical and engineering services support for the Combat Capabilities Development Command Ground Vehicle Systems Center. Bids were solicited via the internet with three received. Work locations and funding will be determined with each order, with an estimated completion date of April 27, 2031. U.S. Army Contracting Command, Detroit Arsenal, Michigan, is the contracting activity (W56HZV-23-D-0017).</t>
  </si>
  <si>
    <t>Very unsure of how to classify as it is a such a large order. Funds to be be determined with each order</t>
  </si>
  <si>
    <t>Drew Marine USA Inc., Whippany, New Jersey, is awarded an $83,131,866 firm-fixed-price contract (N3220523D7000) to provide products and incidental services for shipboard chemical treatment of diesel, gas turbine and steam powered ships. The government is contracting not only for specific products and incidental services, but also for the delivery of these products and services on a worldwide basis within specific time constraints defined by the contract. The contract contains a five-year ordering period. The contract will be performed on a worldwide basis beginning April 28, 2023, and will conclude on April 27, 2028.  This contract was full and open competition with proposals solicited via the Government Point of Entry website and one proposal received. The Navy’s Military Sealift Command, Norfolk, Virginia, is the contracting activity.</t>
  </si>
  <si>
    <t>MRO - chemical treatment of diesel, gas turbine and steam powered ships. Unsure of how to categorise this. Just marked as Other Maritime</t>
  </si>
  <si>
    <t>BAE Systems Land &amp; Armaments L.P., York, Pennsylvania, was awarded an $87,963,612 modification (P00137) to contract W56HZV-17-C-0001 for the production and delivery of M109A7 and M992A3 vehicles. Work will be performed in York, Pennsylvania, with an estimated completion date of March 19, 2024. Fiscal 2023 weapons and tracked combat vehicle procurement, Army funds; and Overseas Contingency Operations Transfer funds in the amount of $87,963,612 were obligated at the time of the award. U.S. Army Contracting Command, Detroit Arsenal, Michigan, is the contracting activity.</t>
  </si>
  <si>
    <t>Modification to previous contract. Both Artillery system vehicles (M109A7) and Support vehicles (M992A3) both included in this contract with no separation in terms of value. ANOTHER SMALL MODIFICATION FOR THIS CONTRACT FROM 12TH MAY 2023:
BAE Systems Land &amp; Armaments L.P., York, Pennsylvania, was awarded a $9,638,559 modification (P00132) to contract W56HZV-17-C-0001 for the production and delivery of M109A7 and M992A3 vehicles. Work will be performed in York, Pennsylvania, with an estimated completion date of March 19, 2024. Fiscal 2023 operation and maintenance, defense-wide funds in the amount of $9,638,559 were obligated at the time of the award. Army Contracting Command, Detroit Arsenal, Michigan, is the contracting activity.</t>
  </si>
  <si>
    <t>Lockheed Martin Corp., Grand Prairie, Texas, was awarded a $615,958,506 modification (P00005) to contract W31P4Q-23-C-0006 for production of High Mobility Artillery Rocket Systems. Work will be performed in Grand Prairie, Texas; Archbald, Pennsylvania; Camden, Arkansas; York, Pennsylvania; Palm Bay, Florida; Brownsboro, Alabama; Boca Raton, Florida; Whippany, New Jersey; Clearwater, Florida; Dallas, Texas; and Jackson, Mississippi, with an estimated completion date of May 30, 2026. Fiscal operation and maintenance, Recovery Act funds in the amount of $207,921,658 were obligated at the time of the award. U.S. Army Contracting Command, Redstone Arsenal, Alabama, is the contracting activity.</t>
  </si>
  <si>
    <t xml:space="preserve">Modification to a previous contract for HIMARS (W31P4Q-23-C-0006) </t>
  </si>
  <si>
    <t>Lockheed Martin Corp., Lockheed Martin Aeronautics Co., Fort Worth, Texas, is awarded a $7,795,532,764 fixed-price incentive (firm target), firm-fixed-fee modification (P00026) to a previously awarded advanced acquisition contract (N0001920C0009). This modification exercises options for the production and delivery of 126 Lot 17 F-35 aircraft to include 81 F-35A aircraft (43 for the U.S. Air Force, eight for the Government of Finland, seven for the Government of Italy, six for the Government of The Netherlands, six for the Government of Poland, four for the Government of Japan, four for the Government of Belgium, and three for the Government of Denmark); 26 F-35B aircraft (15 for the U.S. Marine Corps, seven for the Government of the United Kingdom, two for the Government of Italy, and two for the Government of Japan); and 19 F-35C (13 for the U.S. Navy and six for the U.S. Marine Corps). Additionally, this modification exercises options to provide for air system diminishing manufacturing sources integration, software data loads, critical safety items, and red gear for the Air Force, Marine Corps, Navy, non-Department of Defense (DOD) participants, and Foreign Military Sales (FMS) customers. Work will be performed in Fort Worth, Texas (57%); El Segundo, California (14%); Warton, United Kingdom (9%); Cameri, Italy (4%); Orlando, Florida (4%); Nashua, New Hampshire (3%); Baltimore, Maryland (3%); San Diego, California (2%); Nagoya, Japan (2%); and various location outside the continental U.S. (2%), and is expected to be completed in August 2026. Fiscal 2023 aircraft procurement (Air Force) funding in the amount $2,561,714,872; fiscal 2023 aircraft procurement (Navy) funds in the amount of $2,410,665,589; fiscal 2021 aircraft procurement (Air Force) funds in the amount of $10,665,612; fiscal 2021 aircraft procurement (Navy) funds in the amount of $10,665,612; FMS customer funds in the amount of $1,497,071,084; and non-DOD participant funds in the amount of $1,300,749,995 will be obligated at the time of award, $21,331,224‬ of which will expire at the end of the current fiscal year. The Naval Air Systems Command, Patuxent River, Maryland, is the contracting activity.</t>
  </si>
  <si>
    <t>FOR THE MARINES. Contract is exercising existing options Value estimated based on DoD budget flyaway cost per aircraft x quantity</t>
  </si>
  <si>
    <t>FOR THE NAVY NAVY. Contract is exercising existing options. Part of $7.8 billion contract for 126 F-35s. Value estimated based on DoD budget flyaway cost per aircraft x quantity</t>
  </si>
  <si>
    <t>Contract is exercising existing options. Contains FMS to Japan. Part of $7.8 billion contract for 126 F-35s. Value estimated based on DoD budget flyaway cost per aircraft x quantity</t>
  </si>
  <si>
    <t>Contract is exercising existing options. Contains FMS to Italy. Part of $7.8 billion contract for 126 F-35s. Value estimated based on DoD budget flyaway cost per aircraft x quantity</t>
  </si>
  <si>
    <t>Contract is exercising existing options. Contains FMS to UK. Part of $7.8 billion contract for 126 F-35s. Value estimated based on DoD budget flyaway cost per aircraft x quantity</t>
  </si>
  <si>
    <t>Contract is exercising existing options. Part of $7.8 billion contract for 126 F-35s. Value estimated based on DoD budget flyaway cost per aircraft x quantity</t>
  </si>
  <si>
    <t>Contract is exercising existing options. Contains FMS to Denmark. Part of $7.8 billion contract for 126 F-35s. Value estimated based on DoD budget flyaway cost per aircraft x quantity</t>
  </si>
  <si>
    <t>Contract is exercising existing options. Contains FMS to Belgium. Part of $7.8 billion contract for 126 F-35s. Value estimated based on DoD budget flyaway cost per aircraft x quantity</t>
  </si>
  <si>
    <t>Contract is exercising existing options. Contains FMS to Poland. Part of $7.8 billion contract for 126 F-35s. Value estimated based on DoD budget flyaway cost per aircraft x quantity</t>
  </si>
  <si>
    <t>Contract is exercising existing options. Contains FMS to Netherlands. Part of $7.8 billion contract for 126 F-35s. Value estimated based on DoD budget flyaway cost per aircraft x quantity</t>
  </si>
  <si>
    <t>Contract is exercising existing options. Contains FMS to Finland. Part of $7.8 billion contract for 126 F-35s. Value estimated based on DoD budget flyaway cost per aircraft x quantity</t>
  </si>
  <si>
    <t>eVTOL aircraft</t>
  </si>
  <si>
    <t xml:space="preserve">Joby Aviation has received a $55 million Agility Prime contract extension to deliver electric vertical take-off and landing (eVTOL) aircraft to the US Air Force. Two aircraft will be delivered to Edwards Air Force Base in early 2024, the first electric-powered air taxis to be operated at a US military base.
</t>
  </si>
  <si>
    <t xml:space="preserve">This contract didn't show up on DoD but is an extention that brings the total funding of this programme up to $131 million. The total overall contract is for the povision of up to 9 vehicles https://scramble.nl/military-news/usaf-s-first-evtol-to-be-delivered-early-2024. </t>
  </si>
  <si>
    <t>https://www.thedefensepost.com/2023/04/28/us-evtol-air-taxi-joby/</t>
  </si>
  <si>
    <t>Northrop Grumman Systems Corp., Linthicum Heights, Maryland, has been awarded an $28,662,064 cost-plus-fixed-fee modification (P00077) to contract FA8615-17-C-6047 for Active Electronically Scanned Array radars of Air Force F-16 aircraft. This modification is for continued radar development. The modification brings the total cumulative face value of the contract to $1,509,974,169. Work will be performed in Linthicum Heights, Maryland, and is expected to be completed April 28, 2025. Fiscal 2022 research, development, test and evaluation funds in the amount of $8,624,197, for a total of $1,445,401,537, are being obligated at the time of award. Air Force Life Cycle Management Center, Wright-Patterson Air Force Base, Ohio, is the contracting activity.</t>
  </si>
  <si>
    <t>MODIFICAITON to an exisitng contract with a cululative value of $1.5 billion</t>
  </si>
  <si>
    <t>PSR-A Pilica</t>
  </si>
  <si>
    <t>PSR-A Pilica+</t>
  </si>
  <si>
    <t>PLN</t>
  </si>
  <si>
    <t xml:space="preserve">22 PSR-A PILICA+ anti-aircraft systems </t>
  </si>
  <si>
    <t>https://www.defense-aerospace.com/poland-awards-3-1-billion-contracts-to-complete-air-defense-overhaul/</t>
  </si>
  <si>
    <t>iLauncher launchers and CAMM missiles</t>
  </si>
  <si>
    <t xml:space="preserve">44 launcher + several hundred CAMM missiles </t>
  </si>
  <si>
    <t>GBP£</t>
  </si>
  <si>
    <t>iLauncher launchers and several hundred CAMM missiles for anti-air defence</t>
  </si>
  <si>
    <t>This contract is for the launchers AND the missiles so I have just put it in as one system. seen reports of 44 launchers + several hundred CAMM missiles . It is in support of 22 PILICA+ systems which each have 2 launchers on.</t>
  </si>
  <si>
    <t>General Dynamics Electric Boat Corp., Groton, Connecticut, was awarded $53,520,506 cost-plus-fixed-fee contract for New England Maintenance Manpower Initiative to support non-nuclear maintenance of submarines based at Naval Submarine Support Facility New London. This contract includes options which, if exercised, would bring the cumulative value to $273,472,009. Work will be performed in Groton, Connecticut, and is expected to be completed by April 2024. If all options are exercised, work will continue through April 2028. Fiscal 2023 operations and maintenance (Navy) funds in the amount of $30,150,000 will be obligated at time of award and will expire at the end of the current fiscal year. This contract was not competitively procured in accordance with 10 U.S. Code 3204(a)(1), only one responsible source and no other supplies and services will satisfy agency requirements. The Naval Sea Systems Command, Washington, D.C., is the contracting activity (N00024-23-C-4300). (Awarded April 25, 2023)</t>
  </si>
  <si>
    <t>Includes potential for options worth about $220 million</t>
  </si>
  <si>
    <t xml:space="preserve"> </t>
  </si>
  <si>
    <t>Terminal High Altitude Area Defense (THAAD) Interceptors</t>
  </si>
  <si>
    <t>Lockheed Martin Corp. Missiles and Fire Control, Dallas, Texas, is being awarded a $180,361,391 modification (P00062) to a previously-awarded contract (HQ0147-17-C-0032) for the production of Terminal High Altitude Area Defense (THAAD) Interceptors and associated one-shot devices to support the U.S. government. The THAAD Interceptors and associated one-shot devices will be procured under fixed-price incentive (firm target) contract line items. The value of this contract is increased from $8,141,500,094 to $8,321,861,484. The work will be performed in Dallas, Texas; Sunnyvale, California; Huntsville, Alabama; Camden, Arkansas; and Troy, Alabama, with an expected completion date of March 1, 2028. Fiscal 2023 U.S. government procurement funds in the amount of $180,361,391 are being obligated at time of award. The Missile Defense Agency, Huntsville, Alabama, is the contracting activity.</t>
  </si>
  <si>
    <t>Guided Multiple Launch Rocket System (Lots 18 and 19)</t>
  </si>
  <si>
    <t xml:space="preserve">Lockheed Martin Corporation, Grand Prairie, Texas, was awarded a $4,791,431,928 modification (P00003) to contract W31P4Q-23-D-0003 for Lots 18 and 19 for the Guided Multiple Launch Rocket System. Work locations and funding will be determined with each order, with an estimated completion date of Oct. 30, 2026. U.S. Army Contracting Command, Redstone Arsenal, Alabama, is the contracting activity. </t>
  </si>
  <si>
    <t>MODIFICATION TO PREVIOUS CONTRACT WITH FUNDS DETERMINED WITH EACH ORDER</t>
  </si>
  <si>
    <t>Bayraktar TB2</t>
  </si>
  <si>
    <t>18 Bayraktar TB2 drones to Romanian Air Force</t>
  </si>
  <si>
    <t>https://www.thedefensepost.com/2023/04/26/romania-combat-drone-contract-baykar/             ;            https://ted.europa.eu/udl?uri=TED:NOTICE:243865-2023:TEXT:EN:HTML&amp;src=0</t>
  </si>
  <si>
    <t>RQ-4 Global Hawk</t>
  </si>
  <si>
    <t>Northrop Grumman Systems Corp., San Diego, California, was awarded a $158,126,213 definitized contract action for Global Hawk (RQ-4) aircraft sustainment. The contract provides for contractor logistics support as well as two engineering change proposals to support diminishing manufacturing sources. Work will be performed in the Republic of Korea and San Diego, California, and is expected to be completed by March 31, 2026. This contract involves Foreign Military Sales (FMS) to the Republic of Korea. This contract was a sole source acquisition. FMS funds in the amount of $158,126,213 are being obligated at the time of award. Air Force Life Cycle Management Center, Wright-Patterson Air Force Base, Ohio, is the contracting activity (FA8690-23-C-1001).</t>
  </si>
  <si>
    <t>T408-GE-400 (T408) turboshaft engines</t>
  </si>
  <si>
    <t>General Electric Aviation, Lynn, Massachusetts, is awarded a $683,716,135 firm-fixed-price, cost-plus-fixed-fee contract for the production and delivery of 169 T408-GE-400 (T408) turboshaft engines, to include 65 full rate production Lot 8 (54: Navy, 11: government of Israel); 51 full rate production Lot 7 (39: Navy, 12: government of Israel); and 53 low rate initial production Lot 6 (36: Navy, 17: government of Israel) in support of CH-53K production helicopter and spare engine inventory. Additionally, this contract provides associated engine, programmatic, and logistics support, as well as cost reduction initiatives. Work will be performed in Lynn, Massachusetts, and is expected to be completed in June 2027. Fiscal 2023 aircraft procurement (Navy) funds in the amount of $172,954,622; fiscal 2022 aircraft procurement (Navy) funds in the amount of $162,223,977; fiscal 2021 aircraft procurement funds in the amount of $11,629,534; and Foreign Military Sales customer funds in the amount of $153,746,944 will be obligated at the time of award, $11,629,534 of which will expire at the end of the current fiscal year. This contract was not competitively procured pursuant to Federal Acquisition Regulation 6.302-1. The Naval Air Systems Command, Patuxent River, Maryland, is the contracting activity (N0001923C0013).</t>
  </si>
  <si>
    <t>Estimated value based on % of engines to each country and applied that % (31%) to the total contract value. Other values are are written in the contract details. Also, marked as rotary wing other but I think we may need a new category for engines</t>
  </si>
  <si>
    <t>Istanbul-Class Frigate</t>
  </si>
  <si>
    <t>TCG Izmit</t>
  </si>
  <si>
    <t>Istanbul-Class frigate for the Turkish Navy. Part of MILGEM program</t>
  </si>
  <si>
    <t>Low-confidence estimate. MILGEM corvette around $250 million and are 80% the size of the firgate. Applying this percentage size difference to the value of corvettes to get the estimated value of the frigates.</t>
  </si>
  <si>
    <t>https://www.defense-aerospace.com/turkeys-stm-shipyards-win-order-for-next-three-milgem-frigates/            ;             https://www.defense-aerospace.com/turkeys-stm-shipyards-win-order-for-next-three-milgem-frigates/          ;                     https://dfnc.ru/en/world-news/tcg-istanbul-f-515-turkey-s-first-indigenous-vessel/                        ;                 https://www.defenceturk.net/milgem-i-sinifi-firkateyn</t>
  </si>
  <si>
    <t>TCH Icel</t>
  </si>
  <si>
    <t>TCG Izmir</t>
  </si>
  <si>
    <t>NT$</t>
  </si>
  <si>
    <t>Nonstandard parts for F-16s and aviation materials.</t>
  </si>
  <si>
    <t>(Part 2/2) of Taiwanese fighter MRO contracts. Assuming F-16s. Unsure of F-16 variant and supplier?</t>
  </si>
  <si>
    <t>https://www.taipeitimes.com/News/front/archives/2023/04/23/2003798448</t>
  </si>
  <si>
    <t>Spare parts for F-16s</t>
  </si>
  <si>
    <t>(Part 1/2) of Taiwanese fighter MRO contracts. Assuming F-16s. Unsure of F-16 variant and supplier?</t>
  </si>
  <si>
    <t>BvS-10</t>
  </si>
  <si>
    <t>BAE Systems Hägglunds (Swedish subsidiary of BAE) selling 227 BvS10 vehicles to Germany. Deliveries 2024-2030</t>
  </si>
  <si>
    <t>BAE systems website says the deal is worth AROUND $400 million so putting that as the confirmeed value for now.</t>
  </si>
  <si>
    <t xml:space="preserve">https://www.baesystems.com/en/article/germany-buys-227-additional-bae-systems-bvs10s-through-framework-agreement              ;                  https://www.defense-aerospace.com/germany-buys-227-additional-bae-systems-bvs10s-through-framework-agreement/       </t>
  </si>
  <si>
    <t>40-foot patrol boats</t>
  </si>
  <si>
    <t>ReconCraft LLC,* Anchorage, Alaska, is awarded a $35,920,405 firm-fixed-price contract for 12 40-foot patrol boats. This contract includes options which, if exercised, would bring the cumulative value of this contract to $36,141,587. Work will be performed in Clackamas, Oregon, and is expected to be completed by September 2025. Fiscal 2022 other procurement (Navy) funds in the amount of $28,977,570 (81%); and fiscal 2023 other procurement (Navy) funds in the amount of $6,942,835 (19%) will be obligated at time of award and will not expire at the end of the current fiscal year. This contract was not competitively procured in accordance with Section 8(a) of the Small Business Act (15 U.S.C § 637(a)) and the Federal Acquisition Regulation (FAR) Part 19.8. The Naval Sea Systems Command, Washington, D.C., is the contracting activity (N00024-23-C-2201).</t>
  </si>
  <si>
    <t>Los Angeles Class Submarine</t>
  </si>
  <si>
    <t>Huntington Ingalls Industries, Newport News Shipbuilding, Newport News, Virginia, is awarded a $115,000,000 cost-plus-fixed-fee modification to previously awarded contract N00024-15-C-4301 for continued execution of the USS Columbus (SSN 762) engineered overhaul. Work will be performed in Newport News, Virginia, and is expected to be completed by December 2023. Fiscal 2023 operations and maintenance (Navy) funds in the amount of $115,000,000 will be obligated at the time of award and will expire at the end of the current fiscal year. The Naval Sea Systems Command, Washington, D.C., is the contracting activity.</t>
  </si>
  <si>
    <t>28m CPC</t>
  </si>
  <si>
    <t>6 FMS-funded CPCs to Egytptian Navy for local assembly</t>
  </si>
  <si>
    <t>https://swiftships.com/news/swiftships-awarded-22-million-for-six-more-vessels-for-egypt/</t>
  </si>
  <si>
    <t>Littoral Combat Ship Component Based Total Ship System – 21st Century (COMBATSS-21)</t>
  </si>
  <si>
    <t>Lockheed Martin, Rotary and Mission Systems, Moorestown, New Jersey, was awarded a $100,672,908 cost-plus-incentive-fee, cost-only modification to previously-awarded contract N00024-20-C-5601 to exercise options for sustainment of the Littoral Combat Ship Component Based Total Ship System – 21st Century (COMBATSS-21) and associated Combat System elements. Work will be performed in Moorestown, New Jersey (84%); Camden, New Jersey (5%); Virginia Beach, Virginia (5%); Deer Creek, Colorado (2%); Manassas, Virginia (1%); Orlando, Florida (1%); and various other locations under 1% (2%), and is expected to be completed by April 2024. Fiscal 2023 research, development, test and evaluation (Navy) funds in the amount of $10,059,292 (78%); and fiscal 2023 operations and maintenance (Navy) funding in the amount of $2,873,099 (22%) will be obligated at time of award and $2,873,099 will expire at the end of the current fiscal year. The Naval Sea Systems Command, Washington, D.C., is the contracting activity. (Awarded April 18, 2023)</t>
  </si>
  <si>
    <t>Contract option (not included in orginal contract value) excercised with some of the funds obligated at the time</t>
  </si>
  <si>
    <t>General Dynamics - NASSCO, Norfolk, Virginia, is awarded a $847,262,229 cost-plus-fixed-fee, cost-plus-award-fee, indefinite-delivery/indefinite-quantity contract to support emergent work, continuous maintenance availabilities, pre-refueling complex overhaul availabilities, ship terminal offload program availabilities, and Chief of Naval Operations scheduled availabilities for Navy aircraft carriers in the Mid-Atlantic region, and is expected to be completed by April 2030. No funds will be obligated at the time of award; funds will be obligated on individual orders as they are issued. This contract was competitively procured and solicited via the System for Award Management (SAM) website. The Naval Sea Systems Command, Washington Navy Yard, Washington, D.C., is the contracting activity (N00024-23-D-4100).</t>
  </si>
  <si>
    <t>IDIQ with no funds obligated at the time</t>
  </si>
  <si>
    <t>Family of Weapons Sights-Sniper Improved Night/Day Observation Device Block III system</t>
  </si>
  <si>
    <t xml:space="preserve">DRS Network and Imaging Systems LLC, Melbourne, Florida, was awarded a $94,800,000 firm-fixed-price contract for the Family of Weapons Sights-Sniper Improved Night/Day Observation Device Block III system. Bids were solicited via the internet with one received. Work locations and funding will be determined with each order, with an estimated completion date of April 17, 2028. U.S. Army Contracting Command, Aberdeen Proving Ground, Maryland, is the contracting activity (W91CRB-23-D-0007). </t>
  </si>
  <si>
    <t>Says it is a firm-fixed-price contract but then says  funding will be determined with each order?</t>
  </si>
  <si>
    <t>PATRIOT missiles</t>
  </si>
  <si>
    <t>Lockheed Martin, Grand Prairie, Texas, was awarded a $2,451,432,304 modification (P00084) to contract W31P4Q-20-C-0023 for Phased Array Tracking Radar Intercept on Target (PATRIOT) Advanced Capability-3 missile production. Work will be performed in Grand Prairie, Texas, with an estimated completion date of Dec. 31, 2029. Fiscal 2023 missile procurement, Army funds; and 2023 Foreign Military Sales funds in the amount of $2,451,432,304 were obligated at the time of the award. U.S. Army Contracting Command, Redstone Arsenal, Alabama, is the contracting activity.</t>
  </si>
  <si>
    <t>All funds are obligated through FMS but no country mentioned - very likely bet is Germany</t>
  </si>
  <si>
    <t>Boeing 787</t>
  </si>
  <si>
    <t>Boeing 787-8</t>
  </si>
  <si>
    <t>Mexican Pesos</t>
  </si>
  <si>
    <t>Mexico sells presidential plane to the government of Tajikistan</t>
  </si>
  <si>
    <t>https://www.infodefensa.com/texto-diario/mostrar/4261168/gobierno-mexicano-vende-avion-presidencial-tayikistan</t>
  </si>
  <si>
    <t>ATMOS</t>
  </si>
  <si>
    <t>Unknown number of howitzers to Colombian Army. Customer idenitity figured out through budget documentation.</t>
  </si>
  <si>
    <t>Likely 25-26 ATMOS howitzers ordered based on price and price per unit of order delivered to the phillipines https://www.janes.com/defence-news/news-detail/philippine-army-deploys-atmos-2000-howitzers-for-operational-tasking</t>
  </si>
  <si>
    <t>https://www.defense-aerospace.com/elbit-wins-order-for-battallions-worth-of-atmos-self-propelled-guns/         ;                  https://www.zona-militar.com/2023/04/20/elbit-systems-habria-confirmado-la-venta-del-sistema-de-artilleria-autopropulsado-atmos-al-ejercito-colombiano/</t>
  </si>
  <si>
    <t>Counter-UAS</t>
  </si>
  <si>
    <t>Ku-band Radio Frequency Sensors (KuRFS) and Coyote effectors</t>
  </si>
  <si>
    <t>Contract for counter-UAS systems consisting of both a combination of Ku-band Radio Frequency Sensors (KuRFS) fixed-site and mobile systems as well as a quantity of coyote effectors</t>
  </si>
  <si>
    <t>Did not show up in DoD contracts but found on Raytheon website</t>
  </si>
  <si>
    <t>https://www.rtx.com/news/news-center/2023/04/19/raytheon-technologies-awarded-237-million-counter-uas-contract</t>
  </si>
  <si>
    <t>Black Micro Corp., Barrigada, Guam, is awarded a $221,690,757 firm-fixed-price contract for construction at Tinian International Airport, Tinian, Commonwealth of Northern Mariana Islands (CNMI). The work to be performed provides for the construction of a cargo pad with taxiway extension, fuel tanks with receipt pipeline and hydrant system, airfield development Phase I roads, and a maintenance support facility, under the Asia Pacific Stability Initiative. Work will be performed in CNMI, and is expected to be completed by October 2026. Fiscal 2019 military construction (MILCON) (Air Force) funds in the amount of $86,470,507 will be obligated at time of award and will expire at the end of the current fiscal year. Fiscal 2020 MILCON (Air Force) funds in the amount of $12,663,908 will be obligated at time of award and will not expire at the end of the current fiscal year. Fiscal 2023 MILCON (Air Force) funds in the amount of $82,503,810 are obligated on this award and will not expire at the end of the current fiscal year. Fiscal 2020 MILCON (Air Force) in the amount of $20,163,124, and fiscal 2024 MILCON (Air Force) in the amount $19,889,408, will complete the total contract obligation amount for construction of the fuel tanks with receipt pipeline and hydrant system. The contract also includes one option item, construction of the maintenance support facility, that is being exercised at time of award, and is included in the fiscal 2019 MILCON (Air Force) funds of $86,470,507. The contract also contains three unexercised options, which if exercised, would increase cumulative contract value to $225,667,367. This contract was competitively procured via the Sam.gov website, with one proposal received. The Naval Facilities Engineering Systems Command Pacific, Joint Base Pearl Harbor-Hickam, Hawaii, is the contracting activity (N62742-23-C-1314).</t>
  </si>
  <si>
    <t>Zumwalt-Class</t>
  </si>
  <si>
    <t>Raytheon Missiles &amp; Defense, Tewksbury, Massachusetts, is awarded a $308,456,187 cost-plus-incentive-fee, cost-plus-fixed-fee, and cost-only modification to previously awarded contract N00024-22-C-5522 for an option exercise of Combat System engineering, miscellaneous material, and travel supporting Combat System installation, integration, development, testing, correction, maintenance, and modernization of Zumwalt-class mission systems and mission system equipment. Work will be performed in Tewksbury, Massachusetts (37%); Portsmouth, Rhode Island (37%); San Diego, California (22%); Nashua, New Hampshire (2%); Pascagoula, Mississippi (1%); and Fort Wayne, Indiana (1%), and is expected to be completed by April 2024. Fiscal 2023 operations and maintenance (Navy) funds in the amount of $17,806,180 (44%); fiscal 2023 shipbuilding and conversion (Navy) funds in the amount of $12,311,437 (30%); fiscal 2022 other procurement (Navy) funds in the amount of $5,613,206 (14%); fiscal 2023 research, development, test and evaluation (Navy) funds in the amount of $3,452,543 (9%); and fiscal 2023 other procurement (Navy) funds in the amount of $1,040,537 (3%) will be obligated at time of award, and $17,806,180 will expire at the end of the current fiscal year. In accordance with 10 U.S. Code 2304(c)(1), contract N00024-22-C-5522 for Zumwalt Combat System activation, sustainment, and modernization was not competitively awarded. Raytheon Missiles &amp; Defense is the only responsible source, and no other supplies or services could fulfill the Navy’s requirement. The Naval Sea Systems Command, Washington, D.C., is the contracting activity.</t>
  </si>
  <si>
    <t>Exercise of modification NOT included in original contract value</t>
  </si>
  <si>
    <t>F/A-18 E/F</t>
  </si>
  <si>
    <t>The Boeing Co., St. Louis, Missouri, is awarded a $313,434,366 modification (P00046) to a previously awarded cost-plus-incentive-fee, cost-plus-fixed-fee, indefinite-delivery/indefinite-quantity contract (N0001918D0001). This modification increases the ceiling to provide non-recurring engineering, system engineering program management, and additional aircraft inductions in support of extending the service life for up to 25 F/A-18 E/F Super Hornets from 6,000 flight hours to 10,000 flight hours and incorporating Block III avionics capabilities. Work will be performed in San Antonio, Texas (95%); and St. Louis, Missouri (5%), and is expected to be completed in February 2025. No funds are being obligated at time of award; funds will be obligated on individual orders as they are issued. The Naval Air Systems Command, Patuxent River, Maryland, is the contracting activity.</t>
  </si>
  <si>
    <t>Modification to increase ceiling - NO FUNDS OBLIGATED AT THIS TIME</t>
  </si>
  <si>
    <t>B-21 Radio Frequency Facility</t>
  </si>
  <si>
    <t>The US Army Corps of Engineers has awarded Conti Federal Services a $70.5 million contract to construct a new B-21 Radio Frequency Facility (RF Hangar) at Ellsworth Air Force Base in South Dakota.</t>
  </si>
  <si>
    <t>https://www.thedefensepost.com/2023/04/19/us-ellsworth-radio-frequency-facility/</t>
  </si>
  <si>
    <t>ADV Guidance</t>
  </si>
  <si>
    <t>AUD$</t>
  </si>
  <si>
    <t>Commercial ship purchased from Solstad Offshore to aid undersea surveillance system trials, including the launch of undersea crewed and uncrewed vehicles and robotic and autonomous systems for the Australian Navy. Ship to be named Australian Defence Vessel (ADV) Guidance.</t>
  </si>
  <si>
    <t>https://www.thedefensepost.com/2023/04/11/australia-norway-ship-undersea-ops/        ;         https://www.abc.net.au/news/2023-04-08/defence-spends-110-million-on-second-hand-vessel/102201502</t>
  </si>
  <si>
    <t xml:space="preserve">air defence radars </t>
  </si>
  <si>
    <t>Contract to maintain air defence radars and provide day-to-day operation of remote radar heads for five years. Lockheed martin as a subcontractor</t>
  </si>
  <si>
    <t>https://www.shephardmedia.com/news/landwarfareintl/uk-looks-to-serco-to-maintain-and-operate-air-defence-radars/?utm_source=Newsletter&amp;utm_medium=email&amp;utm_content=Daily+Defence+News+Alert&amp;utm_campaign=Daily+News+Alert+22+Nov+2021+%28no+sponsor%29</t>
  </si>
  <si>
    <t>Puma</t>
  </si>
  <si>
    <t>Euros</t>
  </si>
  <si>
    <t>Retrofit upgrade of 143 Puma IFVs for German Army. This contract is an exercise of options contained in an original June 2021 1.04 billion euro contract for the retrofitting of 154 Puma IFVs to S1 design status. Regarding the original contract: "Rheinmetall said in a press release on 29 June that the contract was worth EUR1.04 billion (USD1.23 billion), adding that work would begin immediately in July and was scheduled for completion in 2029. The contract includes an option to upgrade another 143 IFVs for EUR820 million. Rheinmetall said this would bring most of the 350 Pumas so far delivered up to the S1 enhanced design status, including the 40 IFVs already upgraded, with only 13 driver training vehicles not included."</t>
  </si>
  <si>
    <t>Projekt System &amp; Management GmbH (PSM) is a 50:50 Joint venture of Rheinmetall and Krauss-Maffei Wegmann</t>
  </si>
  <si>
    <t>https://www.defense-aerospace.com/bundeswehr-orders-upgrade-of-143-puma-infantry-fighting-vehicles/      ;          https://www.janes.com/defence-news/news-detail/bundeswehr-awards-contract-to-upgrade-puma-ifvs</t>
  </si>
  <si>
    <t xml:space="preserve">planning yard support </t>
  </si>
  <si>
    <t>Huntington Ingalls Inc., Ingalls Shipbuilding Division, Pascagoula, Mississippi, is being awarded a $64,087,795 hybrid cost-plus award fee, cost-plus fixed fee with a special performance incentive, and cost only modification to previously awarded contract N00024-21-C-4205 to exercise options for planning yard support for LPD 17 amphibious transport dock ships, LHD 1/LHA 6 amphibious assault ships, LSD 41/49 dock landing ships and LCC 19 amphibious command ship. Work will be performed in Pascagoula, Mississippi, with on-site technical support for Chief of Naval Operations availabilities at Mayport, Florida; Norfolk, Virginia; San Diego, California; and Sasebo, Japan. Work is expected to be completed by May 2024. No funding will be obligated at the time of award. This contract was competitively procured. The Naval Sea Systems Command, Washington, D.C., is the contracting activity.</t>
  </si>
  <si>
    <t>Pansarterrängbil 300</t>
  </si>
  <si>
    <t>SEK</t>
  </si>
  <si>
    <t>20 APCs to Sweden under joint European multinational Common Armored Vehicle Systems (CAVS) program</t>
  </si>
  <si>
    <t>Value estimated based on unit cost of 11 million SEK mentioned in article.</t>
  </si>
  <si>
    <t>https://www.defensenews.com/global/europe/2023/04/17/sweden-orders-20-armored-vehicles-under-joint-european-program/?utm_campaign=dfn-ebb&amp;utm_medium=email&amp;utm_source=sailthru&amp;SToverlay=2002c2d9-c344-4bbb-8610-e5794efcfa7d</t>
  </si>
  <si>
    <t>AT-802</t>
  </si>
  <si>
    <t>AT-802F</t>
  </si>
  <si>
    <t>4 AT-801F firefighting planes for Slovenian Air Force</t>
  </si>
  <si>
    <t>Value estimated based of articles reporting the value to be over 23 million Euros</t>
  </si>
  <si>
    <t>https://scramble.nl/military-news/slovenia-orders-fire-fighting-aircraft     ;    https://www.rtvslo.si/radio-si/news/slovenia-buys-four-firefighting-planes/665192</t>
  </si>
  <si>
    <t>Flexible Cyber-Secure Radio Systems</t>
  </si>
  <si>
    <t>Tomahawk Robotics Inc.,* Melbourne, Florida, is being awarded a $55,013,768 firm-fixed-price, indefinite-delivery/indefinite-quantity contract for production and post-production support of the Flexible Cyber-Secure Radio (FlexCSR) Systems. This contract includes options, which if exercised, would bring the cumulative value of this contract to $58,506,352. Work will be performed in Melbourne, Florida, and is expected to be completed by April 2028. No funds are being obligated at the indefinite-delivery/indefinite-quantity contract level. This contract was not competitively procured in accordance with 10 U.S. Code 3204(a)(1) (only one responsible source and no other supplies or services will satisfy agency requirements). The Naval Surface Warfare Center Indian Head Division, Indian Head, Maryland, is the contracting activity.</t>
  </si>
  <si>
    <t>Marked as procurement but included post-production support</t>
  </si>
  <si>
    <t>Airfield</t>
  </si>
  <si>
    <t>Environmental Chemical Corp., Burlingame, California, was awarded $60,294,968 for firm-fixed-price modification to an existing task order (N6247320F5226). This modification provides for increasing the maximum dollar value for the south airfield military construction project at Naval Air Weapons Station China Lake. After award of this modification, the total cumulative contract value will be $838,238,385. Work will be performed in China Lake, California, and is expected to be completed by May 2024. Fiscal 2020 military construction (Department of Defense) funds in the amount of $60,294,968 were obligated on this award, and will not expire at the end of the current fiscal year. The Naval Facilities Engineering Systems Command, Officer in Charge of Construction China Lake, China Lake, California, is the contracting activity (N62473-19-D-8025). (Awarded April 12, 2023)</t>
  </si>
  <si>
    <t>Is a contract for an airfield a procurement or other service? Part of a $838 million contract</t>
  </si>
  <si>
    <t>Lockheed Martin, Rotary and Missions Systems, Liverpool, New York, is awarded a $63,270,853 firm-fixed-price modification to previously-awarded contract N00024-20-C-5503 for option exercise of full rate production Surface Electronic Warfare Improvement Program AN/SLQ-32(V)6 and AN/SLQ-32C(V)6 systems. Work will be performed in Liverpool, New York (78%); and Lansdale, Pennsylvania (22%), and is expected to be completed by February 2025. Fiscal 2023 other procurement (Navy) funds in the amount of $43,721,001 (70%); fiscal 2022 shipbuilding and conversion (Navy) in the amount of $9,774,926 (15%); and fiscal 2023 shipbuilding and conversion (Navy) in the amount of $9,774,926 (15%) will be obligated at time of award and will not expire at the end of the current fiscal year. The Naval Sea Systems Command, Washington, D.C., is the contracting activity.</t>
  </si>
  <si>
    <t>Is it an electronic warfare suite as opposed to just 'attack'</t>
  </si>
  <si>
    <t>Bascule Bridge</t>
  </si>
  <si>
    <t>Archer Western Construction LLC, Tampa, Florida, was awarded a $59,565,868 firm-fixed-price contract for construction of a replacement bascule bridge. Bids were solicited via the internet with three received. Work will be performed in Chesapeake, Virginia, with an estimated completion date of April 17, 2026. Fiscal 2023 Civil Work Plan funds and non-federal sponsor-contributed funds in the amount of $59,565,868 were obligated at the time of the award. U.S. Army Corps of Engineers, Norfolk, Virginia, is the contracting activity (W91236-23-C-2001).</t>
  </si>
  <si>
    <t>Is a contract for a bridge a procurement or other service? Number or N/A for quantity</t>
  </si>
  <si>
    <t>Medical device systems</t>
  </si>
  <si>
    <t>Agiliti Health Inc., Eden Prairie, Minnesota, was awarded a $100,000,000 hybrid (cost-no-fee, firm-fixed-price, time and materials) contract to maintain and repair medical device systems. Bids were solicited via the internet with four received. Work locations and funding will be determined with each order, with an estimated completion date of April 30, 2028. U.S. Army Health Readiness Contracting Office, Fort Sam Houston, Texas, is the contracting activity (W81K04-23-D-0006).</t>
  </si>
  <si>
    <t>Is Maintenance of non-platforms MRO or other service?</t>
  </si>
  <si>
    <t>Operations Complex</t>
  </si>
  <si>
    <t>Manhattan Construction Co., Arlington, Virginia, was awarded a $108,862,913 firm-fixed-price contract for to construct an operations complex at Arlington National Cemetery. Bids were solicited via the internet with five received. Work will be performed in Arlington, Virginia, with an estimated completion date of Feb. 27, 2026. Fiscal 2022 cemeterial construction expenses, Army funds in the amount of $108,862,913 were obligated at the time of the award. U.S. Army Corps of Engineers, Norfolk, Virginia, is the contracting activity (W91236-23-C-2022).</t>
  </si>
  <si>
    <t>Is a contract for a building a procurement or other service?</t>
  </si>
  <si>
    <t>Global Military Products LLC, Tampa, Florida, was awarded a $431,007,300 firm-fixed-price contract for the procurement and delivery of ammunition. Bids were solicited via the internet with two received. Work locations and funding will be determined with each order, with an estimated completion date of Jan. 31, 2024. U.S. Army Contracting Command, Rock Island Arsenal, Illinois, is the contracting activity (W519TC-23-F-0196).</t>
  </si>
  <si>
    <t>GCAP</t>
  </si>
  <si>
    <t>Contract extension for development of the 6th Gen Tempest fighter for the Global Combat Air Programme (GCAP) programme.</t>
  </si>
  <si>
    <t>https://www.baesystems.com/en-uk/article/new-multi-million-pound-investment-to-boost-technologies-for-the-uk-s-future-combat-aircraft,     https://www.gov.uk/government/news/major-funding-boost-to-progress-future-fighter-jet-programme</t>
  </si>
  <si>
    <t>Army Multi-Purpose High Energy Laser (AMP-HEL) system</t>
  </si>
  <si>
    <t>Contract for the development of the Army Multi-Purpose High Energy Laser (AMP-HEL) system.</t>
  </si>
  <si>
    <t>https://bluehalo.com/press_release/amp-hel-ota/</t>
  </si>
  <si>
    <t>Contract to deliver critical infrastructure services to British military facilities in Cyprus.</t>
  </si>
  <si>
    <t>Should infrastructure  support services come under MRO or other?</t>
  </si>
  <si>
    <t>https://www.thedefensepost.com/2023/04/14/uk-infrastructure-service-cyprus-facilities/</t>
  </si>
  <si>
    <t>C-130J-30</t>
  </si>
  <si>
    <t xml:space="preserve">Lockheed Martin Aeronautics, Marietta, Georgia, is awarded a $62,223,836 modification (P00008) to a previously awarded, cost-plus-fixed-fee contract (N0001921C0041). This modification increases a contract line item to provide for rapid execution of non-recurring engineering, to include studies, engineering analysis, airframe analysis, and risk reduction of the C-130J-30 aircraft in support of identifying if the aircraft can meet E-XX capability requirements and the changes that will be required to the aircraft. Work will be performed in Marietta, Georgia, and is expected to be completed in June 2026. The Naval Air Systems Command, Patuxent River, Maryland, is the contracting activity. </t>
  </si>
  <si>
    <t>F-35 Block 4</t>
  </si>
  <si>
    <t>Lockheed Martin Corp., Lockheed Martin Aeronautics Co., Fort Worth, Texas is awarded a $172,100,266 modification (P00001) to a cost-plus-fixed-fee, firm-fixed-price order (N0001920F0002) against a previously issued basic ordering agreement (N0001919G0008). This modification definitizes the order and adds scope to provide special test/tooling equipment for increasing Block 4 manufacturing capacity, as well as procures material modification kits in support of removing life limits, correcting deficiencies, and retrofitting aircraft to incorporate Next Gen Distributed Aperture System hardware and associated Power and Thermal Management System modifications efforts. These modifications are in support of F-35 aircraft for the Air Force, Marine Corps, Navy, Foreign Military Sales (FMS) customers, and non-U.S. Department of Defense (DOD) participants. Work will be performed in Fort Worth, Texas, and is expected to be completed in December 2030. Fiscal 2023 aircraft procurement (Navy) funds in the amount of $208,445; fiscal 2022 aircraft procurement (Air Force) funds in the amount of $67,568,935; fiscal 2022 aircraft procurement (Navy) funds in the amount of $53,866,743; fiscal 2021 aircraft procurement (Navy) procurement funds in the amount of  $6,792,712; fiscal 2021 aircraft procurement (Air Force) funds in the amount of $5,148,444; FMS funds in the amount of $1,044,729; and non-U.S. DOD participants funds in the amount of $37,470,258 will be obligated at the time of award, $11,941,156 of which will expire at the end of the current fiscal year. The Naval Air Systems Command, Patuxent River, Maryland, is the contracting activity.</t>
  </si>
  <si>
    <t>Black Hornet 3</t>
  </si>
  <si>
    <t xml:space="preserve">FLIR Unmanned Aerial Systems, Hvalstad, Norway, was awarded a $93,889,000 firm-fixed-price contract for Black Hornet 3 unmanned aerial systems, spare parts and ancillary services. Bids were solicited via the internet with one received. Work locations and funding will be determined with each order, with an estimated completion date of April 11, 2028. U.S. Army Contracting Command, Aberdeen Proving Ground, Maryland, is the contracting activity (W91CRB-23-D-0008).
</t>
  </si>
  <si>
    <t>Marked as Uncrewed rotary wing scout as that is what it is used for but it is TINY! Contract seems to be for procurement but also includes spares and ancillary services.</t>
  </si>
  <si>
    <t>Reconfigurable Virtual Collective Trainer</t>
  </si>
  <si>
    <t>Cole Engineering Services Inc., Orlando, Florida, was awarded a $500,000,000 firm-fixed-price contract for the Reconfigurable Virtual Collective Trainer. Bids were solicited via the internet with one received. Work will be performed in Orlando, Florida, with an estimated completion date of April 12, 2026. Fiscal 2023 other procurement, Army funds in the amount of $139,271,047 were obligated at the time of the award. U.S. Army Contracting Command, Orlando, Florida, is the contracting activity (W900KK-23-9-0009).</t>
  </si>
  <si>
    <t>Piranha 5</t>
  </si>
  <si>
    <t>SFr.</t>
  </si>
  <si>
    <t>A second tranch of mortars (16) to the Swiss Army</t>
  </si>
  <si>
    <t>https://www.defense-aerospace.com/swiss-army-orders-additional-piranha-5-mortar-vehicles/</t>
  </si>
  <si>
    <t>JAS 39 Gripen</t>
  </si>
  <si>
    <t>JAS 39 Gripen C/D</t>
  </si>
  <si>
    <t>MRO-Support contract for Saab Gripens</t>
  </si>
  <si>
    <t>https://www.saab.com/newsroom/press-releases/2023/saab-receives-order-for-gripen-cd-development</t>
  </si>
  <si>
    <t>Mk 48</t>
  </si>
  <si>
    <t>Mk 48 Mod 7</t>
  </si>
  <si>
    <t>Contract for SAIC to continue supporting US Navy heavyweight torpedoes</t>
  </si>
  <si>
    <t>Didn't show up on US DoD daily contracts for some reason. Value estimated based on total contract value divided into 4 parts</t>
  </si>
  <si>
    <t>https://www.thedefensepost.com/2023/04/13/us-torpedo-program-support-saab/</t>
  </si>
  <si>
    <t>SPIKE Missiles</t>
  </si>
  <si>
    <t>Greece purchases SPIKE ATGMs from Rafael for 370 million Euros</t>
  </si>
  <si>
    <t>According to Defense aerospace 40 million euros will be used to pay to upgrade Greek apaches to accomodate the missiles. Similarly, this contract also includes the delivery of an unknown number of Orbiter 3 drones https://www.defense-aerospace.com/israel-confirms-greeces-e370m-order-for-spike-missiles/   ;     https://www.shephardmedia.com/news/uv-online/greece-gets-new-israeli-orbiter-3-drones-under-spike-deal/?utm_source=Newsletter&amp;utm_medium=email&amp;utm_content=Daily+Defence+News+Alert&amp;utm_campaign=Daily+News+Alert+22+Nov+2021+%28no+sponsor%29</t>
  </si>
  <si>
    <t>https://www.joint-forces.com/defence-equipment-news/63352-greece-purchases-spike-missiles; https://www.edrmagazine.eu/greek-purchases-spike-missiles-in-370-million-euro-deal#:~:text=The%20Israeli%20Ministry%20of%20Defense,.%20Gen.%20(Res.)</t>
  </si>
  <si>
    <t>David's Sling</t>
  </si>
  <si>
    <t>SAM system for Finnish defence forces fro Rafael advanced defense systems.</t>
  </si>
  <si>
    <t xml:space="preserve">Contract value is without VAT (Finnish MoD made a big deal of that). Also, the contract has not been signed yet, but the MoD has authorised the defense forces to procure the system and we have all the information so I am including it now. </t>
  </si>
  <si>
    <t>https://www.defmin.fi/en/topical/press_releases_and_news/new_long-range_air_defence_system_for_the_finnish_defence_forces.13506.news#361e9245</t>
  </si>
  <si>
    <t>Elbit awarded a contract to supply, among others, precision munitions, radio and defense electronics systems as well as maintenance services to a European Country, with a cumulative value of approximately $280 million</t>
  </si>
  <si>
    <t>Don't know the customer country, the exact breakdown of precision munitions vs. EW systems, or the type of precision munitions</t>
  </si>
  <si>
    <t>https://www.edrmagazine.eu/elbit-systems-awarded-contract-to-supply-precision-munitions-and-defense-electronics-systems-to-a-european-country-worth-approximately-280-million</t>
  </si>
  <si>
    <t>AUS$</t>
  </si>
  <si>
    <t>RWS (appears to be turrets) that can be integrated onto a variety of vehicles</t>
  </si>
  <si>
    <t>Really unsure of categorisation. Marked as integrated weapon system but I dont think it can really coutn as small arms if it is a heavy machine gun turret.</t>
  </si>
  <si>
    <t>https://www.thedefensepost.com/2023/04/06/ukraine-remote-weapon-australia/     ;    https://www.eos-aus.com/canberra-made-remote-weapons-system-to-be-sent-to-ukraine</t>
  </si>
  <si>
    <t>Modernization kits</t>
  </si>
  <si>
    <t>Lockheed Martin Corp., Syracuse, New York, is awarded a $73,117,937 cost-plus-incentive-fee delivery order N00024-23-F-6211 under indefinite-delivery/indefinite-quantity contract N00024-19-D-6200 for the procurement of submarine modernization kits, equipment, and installation. Work will be performed in Syracuse, New York, and is expected to be completed by August 2025. Fiscal 2023 other procurement (Navy) funds in the amount of $73,117,937 will be obligated at time of award and will not expire at the end of the current fiscal year. The Naval Sea Systems Command, Washington, D.C., is the contracting activity.</t>
  </si>
  <si>
    <t>Marked us 'upgrade' given they are buying 'modernization kits'. Assuming it is for deisel submarines as the technology is older than nuclear ones</t>
  </si>
  <si>
    <t xml:space="preserve">Auxiliary Personnel Lighter - Small </t>
  </si>
  <si>
    <t>Bollinger Mississippi Shipbuilding LLC, Pascagoula, Mississippi, is awarded a $68,000,000 firm-fixed-price modification to previously awarded contract N00024-18-C-2230 for detail design and construction of an Auxiliary Personnel Lighter-Small. Work will be performed in Pascagoula, Mississippi (65%); Boca Raton, Florida (26%); Mobile, Alabama (4%); Lucedale, Mississippi (3%); Pearl River, Louisiana (1%); and other locations (1%), and is expected to be completed by May 2025. Fiscal 2023 shipbuilding and conversion, Navy funding in the amount of $68,000,000 will be obligated at time of award and will not expire at the end of the current fiscal year. The Naval Sea Systems Command, Washington, D.C., is the contracting activity.</t>
  </si>
  <si>
    <t>Marked as other maritime</t>
  </si>
  <si>
    <t xml:space="preserve">RGM-84L-4 Harpoon </t>
  </si>
  <si>
    <t>RGM-84L-4 Harpoon BLOCK II</t>
  </si>
  <si>
    <t>The Boeing Co., St. Louis, Missouri, was awarded a $1,170,768,698 undefinitized modification (P00001) to a firm-fixed-price order (N0001922F0030) against a previously issued basic ordering agreement (N0001921G0006). This modification procures 400 RGM-84L-4 Harpoon Block II Update (HIIU) Grade B canister tactical missiles, four RTM-84L-4 Block II HIIU Grade B canister exercise missiles, 411 containers, four blast test vehicles, two Harpoon Weapon System (HWS) Joint Common Test Sets (JCTS), Harpoon Coastal Defense System (HCDS) spares, weapon station support equipment, JCTS spares, missile spares, HCDS training equipment, integrated logistics support and technical publications, field service representatives and training. Work will be performed in McKinney, Texas (24.43%); Pontiac, Michigan (12.93%); Annapolis, Maryland (9.20%); Pine Brook, New Jersey (4.96%); St. Louis, Missouri (3.49%); Randolph, Vermont (2.83%); Galena, Kansas (2.7%); Huntsville, Alabama (2.21%) Grove, Oklahoma (2.05%); Chandler, Arizona (1.80%); Setauket, New York (1.51%); Enumclaw, Washington (1.37%); Minneapolis, Minnesota (1.24%); St. Charles, Missouri (1.22%); Federal Way, Washington (1.15%); Union, Missouri (1.14%); and various locations within and outside the continental U.S. (25.77%), and is expected to be completed in March 2029. Foreign Military Sales funds in the amount of $629,776,662 will be obligated at the time of award, none of which will expire at the end of the current fiscal year. The Naval Air Systems Command, Patuxent River, Maryland, is the contracting activity.</t>
  </si>
  <si>
    <t>Contains FMS to Taiwan  of $630 million. Includes spares and training but the nulk of the contract seems to be for the missiles.</t>
  </si>
  <si>
    <t>https://www.defense-aerospace.com/china-slams-planned-us-sale-of-anti-ship-missiles-to-taiwan-as-playing-with-fire/</t>
  </si>
  <si>
    <t>Radio Frequency Facility</t>
  </si>
  <si>
    <t>Conti Federal Services LLC, Orlando, Florida, was awarded a $70,493,604 firm-fixed-price contract to construct a radio frequency facility. Bids were solicited via the internet with two received. Work will be performed at Ellsworth Air Force Base, South Dakota, with an estimated completion date of Sept. 9, 2025. Fiscal 2023 military construction, Air Force funds in the amount of $70,493,604 were obligated at the time of the award. U.S. Army Corps of Engineers, Omaha, Nebraska, is the contracting activity (W9128F-23-C-0014).</t>
  </si>
  <si>
    <t>Trident II Guidance system parts</t>
  </si>
  <si>
    <t>The Charles Stark Draper Laboratory, Cambridge, Massachusetts, is being awarded a $73,132,289 cost-plus-incentive-fee and cost-plus-fixed-fee modification (P00002) to a previously awarded contract (N0003021C0008). This modification exercises options to provide design analysis, testing, procurement, and manufacturing of interferometric fiber optic gyros, accelerometers, and associated Trident II Strategic Weapon System guidance subsystem material. Work will be performed in Cambridge, Massachusetts (15%); Pittsfield, Massachusetts (25%); and Clearwater, Florida (60%), with an expected completion date of July 30, 2027.  Fiscal 2023 weapons procurement (Navy) funds in the amount of $73,132,289 will be obligated at the time of award. No funds will expire at the end of the current fiscal year. This contract was originally awarded as a sole-source acquisition pursuant to 10 U.S. Code 3204(a)(1). Strategic Systems Programs, Washington, D.C., is the contracting activity.</t>
  </si>
  <si>
    <t>Marked as MRO/support as contract is for design and manufacture of components of the missile guidance system.</t>
  </si>
  <si>
    <t xml:space="preserve">The Boeing Co., St. Louis, Missouri, has been awarded a maximum $96,000,000 modification (P00166) exercising the five-year option period of a five-year base contract (SPRPA1-14-D-002U) with one five-year option period for the F/A-18 depot option program. This is a firm-fixed-price, cost-plus-fixed-fee contract. The ordering period end date is April 9, 2028. Using military service is Navy. Type of appropriation is fiscal 2023 through 2028 defense working capital funds. The contracting activity is the Defense Logistics Agency Aviation, Philadelphia, Pennsylvania.
</t>
  </si>
  <si>
    <t>F-18 spare parts option contract. Contracted by DLA but marked as NAVY as the navy is the military using service and previous options on this contract used Navy captial funds</t>
  </si>
  <si>
    <t xml:space="preserve">Ensign Bickford Aerospace &amp; Defense, Simsbury, Connecticut, was awarded a $108,500,781 firm-fixed-price contract for the procurement of explosives. Bids were solicited via the internet with one received. Work locations and funding will be determined with each order, with an estimated completion date of March 16, 2028. U.S. Army Contracting Command, Rock Island Arsenal, Illinois, is the contracting activity (W519TC-23-D-0004).  </t>
  </si>
  <si>
    <t>Only says 'explosives' so put that as the system type specific</t>
  </si>
  <si>
    <t>H-145</t>
  </si>
  <si>
    <t>H-145 HEMS</t>
  </si>
  <si>
    <t>BRL</t>
  </si>
  <si>
    <t>2 H-145 HEMS helicopters to Brazil AMry firefighters for MEDIVAC and SAR.</t>
  </si>
  <si>
    <t>https://www.infodefensa.com/texto-diario/mostrar/4242007/cuerpo-militar-bomberos-minas-gerais-confirma-compra-h-145-hems</t>
  </si>
  <si>
    <t>EGV Berlin</t>
  </si>
  <si>
    <t>Construction of an integrated marine rescue center (i-MERZ) to be used as a sea-based hospital for the EGV Berlin combat support ship.</t>
  </si>
  <si>
    <t>Unsure of the value. Classified here as upgrade to Navy ship</t>
  </si>
  <si>
    <t>https://www.germannaval.com/news-press/news-press-detail/german-naval-yards-wins-contract-to-build-the-second-integrated-marine-rescue-centre-imerz-for-the-german-navy/</t>
  </si>
  <si>
    <t>Water and Wastewater</t>
  </si>
  <si>
    <t>Old North Utility Services Inc., San Dimas, California, has been awarded a maximum $90,763,680 modification (P00320) to a 50-year contract (SP0600-07-C-8258) with no option periods incorporating the economic-price-adjustment agreement for Calendar Year 16 to the water and wastewater utility service charge. This is a fixed-price with economic-price-adjustment contract. Location of performance is North Carolina with a Feb. 28, 2058, performance completion date. Using military service is Army. Type of appropriation is fiscal 2023 through 2058 Army operations and maintenance funds. The contracting activity is the Defense Logistics Agency Energy, Fort Belvoir, Virginia.</t>
  </si>
  <si>
    <t xml:space="preserve">Confirmed </t>
  </si>
  <si>
    <t>MRO and training for RAF F-35s from BAE (Prime contractor in same deal as Lockheed)</t>
  </si>
  <si>
    <t>https://www.baesystems.com/en/article/lockheed-martin-and-f-35-joint-program-office-sign--147-million-contract-for-f-35-lightning-ii-fleet-support    ;    https://www.gov.uk/government/news/161-million-contract-for-f-35-jet-maintenance-supports-140-uk-jobs?utm_medium=email&amp;utm_campaign=govuk-notifications-topic&amp;utm_source=8dc344bf-aa85-450a-ad4d-06f5664826e2&amp;utm_content=immediately</t>
  </si>
  <si>
    <t xml:space="preserve">High energy defensive laser system prototype </t>
  </si>
  <si>
    <t>R&amp;D of a defensive laser system prototype for a wide range of operational environments.</t>
  </si>
  <si>
    <t>https://www.defence.gov.au/news-events/releases/2023-04-04/defence-partnership-manufacture-high-energy-laser-system</t>
  </si>
  <si>
    <t>ALQ-211(V) 4, (V) 8, (V) 9 Advanced Integrated Defensive Electronic Warfare Suite (AIDEWS)</t>
  </si>
  <si>
    <t>L-3 Harris Technologies, Palm Bay, Florida, has been awarded a $584,000,000 ceiling, indefinite-delivery/indefinite-quantity contract for production, engineering services, and repair support for the ALQ-211(V) 4, (V) 8, (V) 9 Advanced Integrated Defensive Electronic Warfare Suite (AIDEWS). This contract provides for AIDEWS block cycle software development, engineering support, technical orders, system integrity and travel. Work will be performed at Clifton, New Jersey, and is expected to be completed April 2, 2028. This contract involves Foreign Military Sales to Pakistan, India, Poland, Chile, Oman, Turkey, Iraq, and Morocco. This contract was a sole-source acquisition. The first order will obligate a total of $2,072,128 and will utilize Special Defense Acquisition Funds. Air Force Life Cycle Management Center, Robins Air Force Base, Georgia, is the contracting activity (FA8523-23-D-0001).</t>
  </si>
  <si>
    <t>Unsure of EW category. Putting as procurement but includes MRO aspects. Includes FMS to several countries</t>
  </si>
  <si>
    <t xml:space="preserve"> Rosomak (Patria AMV)</t>
  </si>
  <si>
    <t>KTO Rosomak (Patria AMV</t>
  </si>
  <si>
    <t>USD</t>
  </si>
  <si>
    <t>100 armoured vehicles designed by Finland, license produced in Poland, to be given to Ukraine, using funds from EU and USA</t>
  </si>
  <si>
    <t>Slightly confusing supplier/customer relatioship. No Official contract value given. Vlaue estimated based on online research and estimated unit price of $2.3 million (10 million PLN) x100.</t>
  </si>
  <si>
    <t>https://www.defense-aerospace.com/poland-to-produce-100-rosomak-ifvs-for-ukraine/   ;   https://twitter.com/MorawieckiM/status/1642089410047930368?ref_src=twsrc%5Etfw%7Ctwcamp%5Etweetembed%7Ctwterm%5E1642089410047930368%7Ctwgr%5E9d7c7c5c10fdbb4496362aee8ba455c77471bb6e%7Ctwcon%5Es1_&amp;ref_url=https%3A%2F%2Feuromaidanpress.com%2Fwp-admin%2Fpost-new.php ;    https://euromaidanpress.com/2023/04/01/ukraine-ordered-100-rosomak-armored-vehicles-from-poland-polish-pm/ ; https://www.globalsecurity.org/military/world/europe/pl-rosomak.htm#:~:text=The%20estimated%20market%20price%20of,up%20to%2015%20million%20PLN. ;  https://veterans-gaming.com/blogs/entry/47-pr-vehicles-kto-rosomak-the-polish-wolverine-from-finnish-patria-family-of-armored-vehicles/</t>
  </si>
  <si>
    <t>Sea Mini POP</t>
  </si>
  <si>
    <t>IAI will supply 6 of its advanced Sea Mini POP sensor payloads to the Royal Thai Navy. These payload upgrades will enhance the capabilities of the Navy’s patrol vessels to be able to operate in difficult and challenging conditions.</t>
  </si>
  <si>
    <t>No value given</t>
  </si>
  <si>
    <t>https://www.navalnews.com/naval-news/2023/12/iai-to-provide-mini-pop-eo-sensors-for-the-royal-thai-navys-patrol-vessels/</t>
  </si>
  <si>
    <t>DIRCM and IR missile warning system</t>
  </si>
  <si>
    <t>Elbit Systems has been awarded a contract to equip the Canadian Air Force’s A330 aerial refueling aircraft with cutting-edge self-protection suites. As part of the deal announced Monday, the company will provide its Direct Infrared Counter Measures (DIRCM) laser protection system and Infrared (IR) Missile Warning System to A330 manufacturer Airbus.</t>
  </si>
  <si>
    <t xml:space="preserve">No value given </t>
  </si>
  <si>
    <t>https://www.thedefensepost.com/2023/11/30/elbit-refueling-aircraft-protection/                  ;                           https://elbitsystems.com/pr-new/elbit-systems-awarded-a-contract-to-supply-dircm-self-protection-suites-to-airbus-defense-and-space-for-the-installation-on-mrtt-a330-aircraft-for-canada/?pageid=Press%20Releases</t>
  </si>
  <si>
    <t>Elbit announced today that it was awarded two contracts with an aggregate value of $252 million to supply artillery rocket systems to a European NATO member country. Under the first contract in an amount of $119 million, Elbit Systems will supply a battalion’s worth of ATMOS (Autonomous Truck Mounted Howitzer) 155mm/52 caliber truck-mounted howitzers systems. The contract will be performed over a period of two years.</t>
  </si>
  <si>
    <t>No customer given.</t>
  </si>
  <si>
    <t>https://elbitsystems.com/pr-new/elbit-systems-awarded-two-contracts-in-an-aggregate-amount-of-252-million-to-supply-atmos-and-puls-artillery-systems-to-a-nato-member-country/</t>
  </si>
  <si>
    <t>Israel Aerospace Industries (IAI) signed two separate agreements with two countries to deliver long range loitering munitions. The contracts’ combined value is $145M. These two significant orders follow a previous contract signed earlier this year, that has also declared the purchase of IAI's long range loitering munitions.</t>
  </si>
  <si>
    <t>Value estimated from taking the total 145 million euros and dividing it in two. No better way to split it based on the info</t>
  </si>
  <si>
    <t>https://www.iai.co.il/about/press-release/iai-signs-agreements-valued-145m-deliver-long-range-loitering-munitions                                   ;                                   https://www.defense-aerospace.com/iai-signs-two-contracts-to-deliver-long-range-loitering-munitions/</t>
  </si>
  <si>
    <t>Heron Mk2</t>
  </si>
  <si>
    <t>The Indian military has procured six Israeli unmanned aerial systems (UAS) to augment its surveillance along its disputed border with China. The Indian Army and the Indian Navy are expected to induct two Hermes 900s each by early next year, while the Indian Air Force is expected to receive two Heron MK2s during the same period, The Hindu revealed, citing sources.</t>
  </si>
  <si>
    <t>Value estimated from previous deal in which India purchased 4 Heron Mk2s</t>
  </si>
  <si>
    <t>https://www.thedefensepost.com/2023/11/09/india-israeli-surveillance-drones/                                        ;                                        https://www.thehindu.com/news/national/armed-forces-contract-more-long-endurance-drones-from-israel-under-emergency-procurement/article67510035.ece                                                       ;                                     https://www.jpost.com/international/india-buys-4-heron-mk-ii-drones-for-surveillance-in-ladakh-680589</t>
  </si>
  <si>
    <t>Hermes 900</t>
  </si>
  <si>
    <t>Value estimated as $25 million each from price range given in Israel Defense article</t>
  </si>
  <si>
    <t>https://www.thedefensepost.com/2023/11/09/india-israeli-surveillance-drones/                                        ;                                        https://www.thehindu.com/news/national/armed-forces-contract-more-long-endurance-drones-from-israel-under-emergency-procurement/article67510035.ece                                                       ;                                     https://www.israeldefense.co.il/en/node/48689#google_vignette</t>
  </si>
  <si>
    <t>Namer 1500</t>
  </si>
  <si>
    <t>NIS</t>
  </si>
  <si>
    <t>MCO Group has been selected again by the Israeli Ministry of Defense to provide dozens of platform electrical sub-systems for the “Namer 1500” Armored Personnel Carrier (APC) of the Israel Defense Forces (IDF). This substantial continuation order which was received in Q3 and valued at approximately 25.2 million NIS (more than 6 million $), fortifies IMCO Group’s role as a leading supplier of the Israeli Ministry of Defense for its most advanced armored platforms.</t>
  </si>
  <si>
    <t>Unsure if MRO of APC or procurement of EO systems. Unsure if supplier should be IMCO, IMCO group, or IMC Group</t>
  </si>
  <si>
    <t>https://www.military.africa/2023/11/idf-selects-imco-to-provide-namer-sub-system/</t>
  </si>
  <si>
    <t>Israel’s defense ministry on Sunday announced a 317 million euro ($340 million) deal for the sale of its David’s Sling air defense system to new NATO member Finland.</t>
  </si>
  <si>
    <t>https://www.thedefensepost.com/2023/11/12/israel-air-defense-system-finland/</t>
  </si>
  <si>
    <t>Israel Aerospace Industries (IAI) has signed a major $1.2 billion agreement to supply air defense systems to a foreign customer, IAI announced Thursday.</t>
  </si>
  <si>
    <t>IAI declined to name a customer or specify the air defence system.</t>
  </si>
  <si>
    <t>https://www.defense-aerospace.com/iai-signs-1-2-billion-deal-to-supply-air-defense-systems-to-unidentified-customer/</t>
  </si>
  <si>
    <t>Artillery Ammunition Factory</t>
  </si>
  <si>
    <t>Elbit Systems Ltd. announced today that it was awarded a $135 million contract to establish an artillery ammunition factory for an international customer. The contract will be performed out over a period of two years.</t>
  </si>
  <si>
    <t>No customer details given. Unsure of how to classify in infrastructre.</t>
  </si>
  <si>
    <t>https://www.defense-aerospace.com/elbit-wins-135-million-contract-to-build-artillery-ammunition-factory-for-export-customer/</t>
  </si>
  <si>
    <t>LSS Mark Digitization Program</t>
  </si>
  <si>
    <t>Elbit Systems Sweden AB (Elbit Systems Sweden) was awarded a contract worth approximately $170 million to become the integration partner for the Swedish Army digitalization program LSS Mark. The contract will be performed over a ten-year peirod.</t>
  </si>
  <si>
    <t>https://www.defense-aerospace.com/elbit-wins-170-million-for-swedish-army-lss-mark-digitization-program/</t>
  </si>
  <si>
    <t>OptSat-500</t>
  </si>
  <si>
    <t>Azerbaijan’s space agency, Azercosmos, acquired two multi-spectral electro-optical spy satellites from Israel Aerospace Industries as part of the Azersky-2 program. The Azeri Agency and the Tel Aviv area-based company did not disclose the satellite model or value of the contract in announcing the deal, but both have previously said the agreement is worth about $120m, and Defense News learned that the model is the OptSat-500.</t>
  </si>
  <si>
    <t>https://www.army-technology.com/news/signal-azerbaijans-space-agency-buys-spy-satellites-from-israel/?cf-view</t>
  </si>
  <si>
    <t>Arrow-3</t>
  </si>
  <si>
    <t xml:space="preserve">Defense Minister Boris Pistorius and his Israeli counterpart Yoav Gallant agreed in Berlin to cooperate closely on the introduction of the Arrow 3 air defense system into the Bundeswehr. The Bundeswehr's capability gap in combating ballistic missiles in the upper interception layer is closed by Arrow. The deal was worth around $3.5 billion </t>
  </si>
  <si>
    <t>https://www.thedefensepost.com/2023/09/28/germany-israel-missile-shield-deal/#google_vignette                             ;                                https://www.defense-aerospace.com/germany-orders-arrow-3-missile-defense-system-in-largest-ever-israeli-arms-export-deal/</t>
  </si>
  <si>
    <t>105mm and 81mm Artilllery Simulators</t>
  </si>
  <si>
    <t>Elbit Systems UK has been awarded a contract by the Ministry of Defence to develop and provide artillery and mortar training simulators.</t>
  </si>
  <si>
    <t>https://www.contractsfinder.service.gov.uk/notice/25a41015-75ec-4eb5-84a3-89b48532d4ce?origin=SearchResults&amp;p=1                               ;                          https://ukdefencejournal.org.uk/elbit-uk-to-provide-artillery-sims-to-british-army-dsei23/</t>
  </si>
  <si>
    <t>Hero-120</t>
  </si>
  <si>
    <t>UVision Air Secured a contract to supply its Hero-120 Loitering Munition System to a European Country</t>
  </si>
  <si>
    <t>No Customer, value, or quantity given</t>
  </si>
  <si>
    <t>https://www.edrmagazine.eu/uvision-air-secured-a-contract-to-supply-its-hero-120-loitering-munition-system-to-a-european-country#:~:text=The%20successful%20partnership%20between%20UVision,loitering%20munition%20systems%20to%20Hungary.</t>
  </si>
  <si>
    <t>Piranha V</t>
  </si>
  <si>
    <t>UT30 MK2 turrets, SPEAR motar systems and RCWS for Piranha Vs</t>
  </si>
  <si>
    <t>https://elbitsystems.com/pr-new/elbit-systems-awarded-a-120-million-follow-on-contract-to-supply-unmanned-turrets-weapon-stations-and-mortar-systems-to-the-romanian-armed-forces/</t>
  </si>
  <si>
    <t xml:space="preserve">120mm </t>
  </si>
  <si>
    <t>120mm</t>
  </si>
  <si>
    <t>Elbit Systems Ltd. announced today that it was awarded a contract worth approximately $115 million to supply tank ammunition to a NATO country. The contract will be performed over a period of three years and includes options for further extensions.</t>
  </si>
  <si>
    <t>https://www.defense-aerospace.com/elbit-wins-115-million-european-order-for-tank-ammunition/</t>
  </si>
  <si>
    <t>SkyStriker</t>
  </si>
  <si>
    <t>Elbit Systems was awarded a $95 million contract to supply SkyStriker loitering munitions (LM) to a European country. As part of the contract Elbit Systems will provide several hundred SkyStriker units.</t>
  </si>
  <si>
    <t>https://www.defense-aerospace.com/elbit-sells-skystriker-loitering-munitions-to-a-european-country-in-95-million-deal/                                       ;                                   https://www.thedefensepost.com/2023/09/19/europe-loitering-munitions-contract-elbit/</t>
  </si>
  <si>
    <t>Skylark 1 eVTOL</t>
  </si>
  <si>
    <t>Haifa, Israel, September 12, 2023– Elbit Systems Ltd will produce and provide the Artillery Corps of the Israeli Defense Forces (IDF) with the SkylarkTM 1Transitional Vertical Take-Off and Landing Small Tactical Unmanned Aerial Systems (Skylark 1 eVTOL),</t>
  </si>
  <si>
    <t>No value or quantity given</t>
  </si>
  <si>
    <t>https://elbitsystems.com/pr-new/elbit-systems-to-supply-the-advanced-skylark-mini-uas-system-to-the-idf/?pageid=PR%20-20%20News</t>
  </si>
  <si>
    <t>Israel awards a contract to Ashot Ashkelon for assemblies and spare parts for the Merkava tanks and the Tiger APCs</t>
  </si>
  <si>
    <t>Left system type specific as black as the contrcat is for main battle tanks and APCs. Also, is it procuremtn if it is for parts on land vehicles? or MRO?</t>
  </si>
  <si>
    <t>https://www.defense-aerospace.com/israel-ministry-of-defense-awards-new-orders-for-tank-apc-components/</t>
  </si>
  <si>
    <t>C4I and HFCA system</t>
  </si>
  <si>
    <t>Elbit Systems was awarded two contracts by a European country, worth an aggregate amount of approximately $200 million, to supply a C4I (Command, Control, Communication, Computers, Intelligence) solution to artillery battalions and a Hostile Fire Counter Attack (HFCA) solution.</t>
  </si>
  <si>
    <t>2x contracts: 1 for the C4I and 1 for the HFCA. Included them togther as they are for the same country and there has been no split in value. Customer not announced. The 2 systems are intended for artillery battalions</t>
  </si>
  <si>
    <t xml:space="preserve">https://elbitsystems.com/pr-new/elbit-systems-awarded-two-contracts-in-an-aggregate-amount-of-200-million-to-supply-artillery-c4i-solution-and-hostile-fire-counter-attack-solution-to-a-european-country/?pageid=PR%20-20%20News                                           ;                              https://www.defense-aerospace.com/elbit-wins-200-million-artillery-c4i-contract-to-european-country/                                      ;                https://www.thedefensepost.com/2023/09/06/europe-c41-contract-elbit/                                    </t>
  </si>
  <si>
    <t>Orbiter 1K</t>
  </si>
  <si>
    <t xml:space="preserve">Aeronautics ltd. was warded a contract to supply its cutting-edge Orbiter 1K loitering munition UAS to a major international customer. </t>
  </si>
  <si>
    <t>No customer or quantity of munitions given</t>
  </si>
  <si>
    <t xml:space="preserve">https://www.edrmagazine.eu/aeronautics-secures-a-40m-contract-to-supply-its-orbiter-1k-loitering-munition-uas-to-an-international-customer#:~:text=Industry%20News-,Aeronautics%20secures%20a%20%2440M%20contract%20to%20supply%20its%20Orbiter,UAS%20to%20an%20international%20customer&amp;text=31%20August%202023%2C%20Aeronautics%20Ltd.                    ;                                 https://www.shephardmedia.com/news/air-warfare/aeronautics-wins-order-for-orbiter-loitering-munitions/                                                     </t>
  </si>
  <si>
    <t>SPIKE</t>
  </si>
  <si>
    <t>SPIKE LR2</t>
  </si>
  <si>
    <t>AUD</t>
  </si>
  <si>
    <t>Rafael has finalised a substantial acquisition contract with the Australian Government to provide the Australian Defence Force (ADF) with the next generation of Guided Weapons and Explosive Ordnance (GWEO) systems: RAFAEL’s SPIKE LR2 Anti-Tank Guided Missile.</t>
  </si>
  <si>
    <t>Other Australia contracts for HIMARS, Tomahawks and AARGMs coming up to look out for</t>
  </si>
  <si>
    <t xml:space="preserve">https://www.defense-aerospace.com/australia-orders-spike-lr2-anti-tank-missiles-for-its-boxer-armored-vehicles/                                       ;                                  https://www.defence.gov.au/news-events/news/2023-08-21/missiles-power-adfs-range                  ;                                    https://www.thedefensepost.com/2023/08/24/australia-aargm-spike-missiles-procurement/       </t>
  </si>
  <si>
    <t>ReDrone</t>
  </si>
  <si>
    <t>lbit Systems announced today that it was awarded a contract worth approximately $55 million to supply multi-layered ReDrone Counter Unmanned Aerial Systems (C-UAS) to the Netherlands. The contract will be performed over a period of four years.</t>
  </si>
  <si>
    <t xml:space="preserve">https://www.defense-aerospace.com/netherlands-order-counter-uav-systems-from-elbit/                          ;          https://elbitsystems.com/pr-new/elbit-systems-awarded-a-55-million-contract-to-supply-a-counter-uas-solution-to-the-netherlands/                      </t>
  </si>
  <si>
    <t>Rafael Advanced Defense Systems has received a contract to deliver maintenance support for an undisclosed Asian country’s naval combat suite. The project covers capabilities for the service’s Spike extended range and non-line-of-sight (ER and NLOS) missile systems, Typhoon and Mini-Typhoon remote-controlled weapon stations (RCWS), electro-optical surveillance platforms, and electronic warfare integrated decoy systems (IDS).</t>
  </si>
  <si>
    <t>No customer country given</t>
  </si>
  <si>
    <t>https://www.thedefensepost.com/2023/08/14/asia-combat-suite-maintenance-rafael/                         ;                          https://www.defense-aerospace.com/rafael-wins-new-support-services-contract-with-asian-navy/</t>
  </si>
  <si>
    <t>ARAD 5.56mm rifles</t>
  </si>
  <si>
    <t>Defense Minister Vice Admiral René Merino delivered a batch of more than 1,000 rifles IWI ARAD caliber 5.56 mm, with seven magazines and maintenance kits for each weapon.</t>
  </si>
  <si>
    <t>Value estimated off a previous order for 800 rifles and the overall cost quoted for the procurment of a total of 4000 rifles</t>
  </si>
  <si>
    <t>https://www.infodefensa.com/texto-diario/mostrar/4387689/salvador-seis-millones-1050-fusiles-arad              ;                    https://www.contrapunto.com.sv/gobierno-invierte-1-2-millones-en-800-fusiles-de-asalto-para-la-faes/</t>
  </si>
  <si>
    <t>155mm</t>
  </si>
  <si>
    <t xml:space="preserve">Elbit Systems announced today that it was awarded a contract worth approximately $60 million to supply thousands of 155mm artillery shells to the Israel Defence Forces’ Artillery Corps. The contract will be performed over a period of one year. </t>
  </si>
  <si>
    <t>https://elbitsystems.com/pr-new/elbit-systems-awarded-approximately-60-million-contract-to-supply-artillery-shells-to-the-israel-ministry-of-defense/</t>
  </si>
  <si>
    <t>Spike</t>
  </si>
  <si>
    <t>Spike LR2</t>
  </si>
  <si>
    <t>Rafael is providing Spike LR2 long-range anti-tank missiles to Italian Army and Navy. The value of the contract being concluded with RAFAEL ADS, design authority and sole producer of the SPIKE weapon system, is 143 million euros and the program will run from 2023 to 2030.</t>
  </si>
  <si>
    <t>https://aresdifesa.it/missili-spike-lr2-per-la-marina-militare-ed-esercito-italiano/</t>
  </si>
  <si>
    <t>PULS</t>
  </si>
  <si>
    <t>Unknowm</t>
  </si>
  <si>
    <t xml:space="preserve">Elbit was was awarded a $150 million contract to supply PULS (Precise and Universal Launching Systems) rocket launchers and a package of precision-guided long-range rockets to an international customer. </t>
  </si>
  <si>
    <t>No customer named</t>
  </si>
  <si>
    <t>https://www.defense-aerospace.com/elbit-wins-160-million-order-for-puls-rocket-launchers/</t>
  </si>
  <si>
    <t>Trophy APS</t>
  </si>
  <si>
    <t>MoD has contracted Rafael for the next round of tests of the Trophy Active Protection Systems (APS) on the Challenger 3 tank. The contract will secure Trophy systems, countermeasures, and test equipment for the demonstration phase in 2024, including qualification and integration.</t>
  </si>
  <si>
    <t>https://www.thedefensepost.com/2023/07/13/uk-trophy-active-protection/</t>
  </si>
  <si>
    <t>ATR 72-600</t>
  </si>
  <si>
    <t>Elbit Systems announced today that it was awarded a contract worth approximately $114 million with an Asian-Pacific country to supply two long-range patrol aircraft (LRPA) equipped with an advanced and comprehensive mission suite. The two LRPA aircraft will be based on new ATR 72-600 and Elbit Systems will integrate in each aircraft a mission suite that includes a Mission Management System, Electro-Optics, Radar, SIGINT, Communication and more.</t>
  </si>
  <si>
    <t xml:space="preserve">Customer unconfirmed. Janes Defence weekly: Elbit to supply two patrol aircraft to APAC country Elbit Systems announced that it has won a contract to supply two long-range patrol aircraft (LRPA) to an Asia-Pacific (APAC) country. Janes assesses that this contract is linked to the Philippines, which has been seeking to procure two maritime patrol aircraft since 2014. In its statement on 10 July Elbit said that two LRPA aircraft will be “based on the new ATR 72-600”. “Elbit Systems will integrate in each aircraft a mission suite that includes a mission management system, electro-optics [EO], radar, SIGINT [signals intelligence], communication and more,” Elbit added. According to Elbit, the value of the contract is USD114 million. The company added that the contract will be carried out over a period of five years. Elbit's statement suggests that the aircraft is for the Philippine Air Force (PAF), which has an active procurement project called the LRPA. According to Janes data, the acquisition programme originated in 2014 and covers two aircraft with the programme having a value of USD118 million. However, the bidding processes failed on several instances and the programme stalled. It was rebooted in May 2017 with a programme value of USD115 million. The contract was expected to progress to the contract stage by 2020. </t>
  </si>
  <si>
    <t>https://elbitsystems.com/pr-new/elbit-systems-awarded-114-million-contract-with-asian-pacific-country-for-long-range-patrol-aircraft/?pageid=PR%20-20%20News</t>
  </si>
  <si>
    <t>Hermes 450</t>
  </si>
  <si>
    <t>Romani's first purchase order worth approximately $180 million for the first three out of a maximum seven Watchkeeper X tactical Unmanned Aerial Systems (UAS).</t>
  </si>
  <si>
    <t>Markign as Army as that seems to be the main operator of Romania's drones. Also this order is part of a framework contract with a maximum value of $410 million (1.89 billion Lei)</t>
  </si>
  <si>
    <t>https://www.defense-aerospace.com/romania-orders-three-watchkeeper-uavs-in-180-million-deal-elbit/</t>
  </si>
  <si>
    <t xml:space="preserve"> Ground-Based Surveillance Radar</t>
  </si>
  <si>
    <t>90 Ground based surveillance radars for the UK. Contains options for 40 more.</t>
  </si>
  <si>
    <t>No contract value found yet.</t>
  </si>
  <si>
    <t>https://www.thedefensepost.com/2023/05/25/uk-elbit-surveillance-radars/</t>
  </si>
  <si>
    <t>20 PULS missile systems (and rockets and missiles) to the Netherlands</t>
  </si>
  <si>
    <t>https://elbitsystems.com/pr-new/elbit-systems-awarded-305-million-contract-to-supply-puls-rocket-artillery-systems-to-the-royal-netherlands-army/?pageid=PR%20-20%20News                       ;                 https://www.defense-aerospace.com/elbit-wins-305m-dutch-order-for-puls-rocket-launchers/?utm_source=mailpoet&amp;utm_medium=email&amp;utm_campaign=les-newslettertotal-derniers-articles-de-notre-blog-11</t>
  </si>
  <si>
    <t>120mm Mortar</t>
  </si>
  <si>
    <t>4x4-mountable 120mm Mortar systems for Montenegro</t>
  </si>
  <si>
    <t>https://www.defense-aerospace.com/montenegro-buys-120mm-mortar-vehicles-from-israel/</t>
  </si>
  <si>
    <t>Multiple Variants</t>
  </si>
  <si>
    <t>Estonia has signed an agreement with Israel Aerospace Industries (IAI) to buy loitering munitions in response to the Russia-Ukraine conflict. Minister of Defense Hanno Pevkur (Reform) says the deal is worth €100 million.</t>
  </si>
  <si>
    <t>https://www.iai.co.il/news-media/press-releases/estonia-has-signed-contract-israel-aerospace-industries-acquire-long                                     ;                                  https://news.err.ee/1608965410/estonia-to-acquire-loitering-munitions-from-israel</t>
  </si>
  <si>
    <t>Airborne SIGINT Solutions</t>
  </si>
  <si>
    <t>Israel Aerospace Industries (IAI), through its defense electronics subsidiary, ELTA Systems, announced today that it has been awarded with a contract to provide airborne Signals Intelligence (SIGINT) solutions to an international customer. The contract size including systems delivery and maintenance will surpass $100 million.</t>
  </si>
  <si>
    <t>No sutomer given. Unsure how to classify product.</t>
  </si>
  <si>
    <t xml:space="preserve">https://www.defense-aerospace.com/iai-wins-100m-order-for-heron-tp-unmanned-aircraft-isr-payloads/. </t>
  </si>
  <si>
    <t>Boeing 737</t>
  </si>
  <si>
    <t>Elbit systems will convert commercial Boeing 737 aircraft into Intelligence and Electronic Warfare (EW) aircraft for the Colombian Air Force</t>
  </si>
  <si>
    <t>I am almost CERTAIN that this contract is the one that elbit announced with an unamed customer. There are too many similarities and they happened on the same day so It's too much to be a coincidence. The colobian budget documentation in the article shows the price that was paid</t>
  </si>
  <si>
    <t>https://www.zona-militar.com/2023/04/21/la-fuerza-aerea-colombiana-equipara-a-sus-nuevos-boeing-737-con-equipos-de-guerra-electronica/                                   ;                                              https://elbitsystems.com/pr-new/elbit-systems-awarded-contract-worth-approximately-100-million-to-supply-intelligence-and-ew-aircraft-to-an-international-customer/?pageid=PR%20-20%20News</t>
  </si>
  <si>
    <t>(All)</t>
  </si>
  <si>
    <t>Total Value of Contracts  by Month</t>
  </si>
  <si>
    <t>Total Contracts by Market Segment by Value</t>
  </si>
  <si>
    <t>Total Value of Contracts by Customer Country</t>
  </si>
  <si>
    <t>Value of Sales by Country</t>
  </si>
  <si>
    <t>Value of Purchases by Country</t>
  </si>
  <si>
    <t>Value of Sales by Company</t>
  </si>
  <si>
    <t>Row Labels</t>
  </si>
  <si>
    <t>Grand Total</t>
  </si>
  <si>
    <t>Value Note
(If Any)</t>
  </si>
  <si>
    <t>Dillon Aero</t>
  </si>
  <si>
    <t>Kokolakis Contracting</t>
  </si>
  <si>
    <t>Oasis Systems </t>
  </si>
  <si>
    <t>Torch Technologies</t>
  </si>
  <si>
    <t>CQ JV LLC</t>
  </si>
  <si>
    <t xml:space="preserve">Gauss Management Research And Engineering </t>
  </si>
  <si>
    <t>Massa Products</t>
  </si>
  <si>
    <t>Young &amp; Rubicam LLC</t>
  </si>
  <si>
    <t>The Advanced Electronics</t>
  </si>
  <si>
    <t>Goodwill Industries of San Antonio Contract Services</t>
  </si>
  <si>
    <t>National Aerospace Solutions</t>
  </si>
  <si>
    <t>Manson Construction</t>
  </si>
  <si>
    <t>TNT Constructors</t>
  </si>
  <si>
    <t>Pacific Shipyards International </t>
  </si>
  <si>
    <t>North Star Terminal and Stevedore</t>
  </si>
  <si>
    <t>Engineering and Software System Solutions</t>
  </si>
  <si>
    <t>Relyant Global</t>
  </si>
  <si>
    <t>Strategic Alliance Solutions</t>
  </si>
  <si>
    <t>Noble Sales</t>
  </si>
  <si>
    <t>Antech Systems</t>
  </si>
  <si>
    <t>PAE-IMK International</t>
  </si>
  <si>
    <t>Delphinus Engineering</t>
  </si>
  <si>
    <t>Perspecta Enterprise Solutions</t>
  </si>
  <si>
    <t>InfoScitex</t>
  </si>
  <si>
    <t>Omni2Max</t>
  </si>
  <si>
    <t>Lone Star Aerospace</t>
  </si>
  <si>
    <t>TWI USA</t>
  </si>
  <si>
    <t>Fairbanks Morse</t>
  </si>
  <si>
    <t>MAN Diesel and Turbo</t>
  </si>
  <si>
    <t>L3Wescam</t>
  </si>
  <si>
    <t>ProLog</t>
  </si>
  <si>
    <t>E-2D Advanced Hawkeye</t>
  </si>
  <si>
    <t>Extend Services and Adds Hours Increasing the Full-scale Fatigue Repair Time to Achieve the Required Simulated Flight Hours</t>
  </si>
  <si>
    <t>Northrop Grumman Systems Corp., Aerospace Systems, Melbourne, Florida, is awarded a $12,015,026 modification (P00036) to a previously awarded cost-plus-fixed-fee contract (N0001914C0036). This modification increases the ceiling to extend services and adds hours increasing the full-scale fatigue repair time to achieve the required simulated flight hours in support of E-2D Advanced Hawkeye aircraft development. Work will be performed in El Segundo, California (59%); Melbourne, Florida (35%); and Bethpage, New York (6%), and is expected to be completed in June 2023. No funds will be obligated at time of award. The Naval Air Systems Command, Patuxent River, Maryland, is the contracting activity.</t>
  </si>
  <si>
    <t>https://www.defense.gov/News/Contracts/Contract/Article/2644648/</t>
  </si>
  <si>
    <t xml:space="preserve">Department of Defense Enterprise Software Initiative (DOD ESI) </t>
  </si>
  <si>
    <t>Dell Marketing L.P., Round Rock, Texas, is awarded a single-award, firm-fixed-price blanket purchase agreement (BPA) with an overall estimated value of $2,493,000,000, under the Department of Defense Enterprise Software Initiative (DOD ESI) in accordance with Defense Federal Acquisition Regulation System 208.74, DOD Directive 8470.01E, and DOD Executive Agent for Commercial Software Product Management of Core Enterprise Technology Agreements. The DOD ESI streamlines software licensing acquisition and provides information technology products that are compliant with DoD technical standards and represent the best value for the DOD. This DOD Enterprise Software Agreement (ESA) will provide commercially available perpetual licenses, software assurance, user-based subscription licenses to include Microsoft 365, Microsoft Azure, and client access licenses among others. The ESA will be used by DOD and U.S. Coast Guard when authorized under the provisions of 14 U.S. Code (U.S.C.) Section 3 and Section 145; 10 U.S.C. Section 2571; and 31 U.S.C. Section 1535. The ordering period will be for five years from June 1, 2021, through May 31, 2026. This agreement will not obligate funds at the time of award. Funds will be obligated via delivery orders using operations and maintenance (DoD) funds. Future requirements will be procured in accordance with Federal Acquisition Regulation 8.405-3(c)(1). This contract was competitively solicited with two proposals received and one selected for award. Naval Information Warfare Center Pacific, San Diego, California, is the contracting activity (N66001-21-A-0083).</t>
  </si>
  <si>
    <t>https://www.defense.gov/News/Contracts/Contract/Article/2646965/</t>
  </si>
  <si>
    <t>USNS Robert Ballard (T-AGS 67)</t>
  </si>
  <si>
    <t>Halter Marine, Pascagoula, Mississippi, is awarded a $149,053,160 fixed-price-incentive (firm target) modification to definitize contract number N00024-19-C-2208 for the detail design and construction of one oceanographic survey ship (T-AGS 67). Work will be performed in Pascagoula, Mississippi (76%); Harahan, Louisiana (8%); Belle Chase, Louisiana (4.5%);  Alpharetta, Georgia (4.5%); Mathews, Louisiana (2.3%); Axis, Alabama (2%); Houston, Texas (1.5%); and Sherwood, Oregon (1.2%). Fiscal 2018 shipbuilding and conversion (Navy) funding in the amount of $149,053,160 will be obligated at time of award and will not expire at the end of the current fiscal year. The Naval Sea Systems Command, Washington, D.C., is the contracting activity.</t>
  </si>
  <si>
    <t>Arleigh Burke-class</t>
  </si>
  <si>
    <t>USS Pinckney (DDG-91)</t>
  </si>
  <si>
    <t>General Dynamics NASSCO – San Diego, San Diego, California, is awarded a $98,749,123, firm-fixed-price contract for the execution of the USS Pinckney (DDG 91) FY22 depot modernization period. This availability will include a combination of maintenance, modernization and repair of the USS Pinckney. This contract includes options which, if exercised, would bring the cumulative value of this contract to $121,109,530. Work will be performed in San Diego, California, and is expected to be completed by July 2023. Fiscal 2021 other procurement (Navy) funds in the amount of $93,500,245 (94.7%); and fiscal 2021 operation and maintenance (Navy) funds in the amount of $5,248,878 (5.3%) will be obligated at time of award, of which, funding in the amount of $5,248,878 will expire at the end of the current fiscal year. This contract was competitively procured using full and open competition via the beta.sam.gov website with three offers were received in response to Solicitation No. N00024-21-R-4478.  The Naval Sea Systems Command, Washington, D.C., is the contracting activity (N00024-21-C-4478).</t>
  </si>
  <si>
    <t>Los Angeles-class</t>
  </si>
  <si>
    <t>USS Hartford (SSN-768)</t>
  </si>
  <si>
    <t>General Dynamics Electric Boat Corp., Groton, Connecticut, is awarded a $63,805,144 cost-plus-fixed-fee, cost-plus-incentive-fee modification to previously-awarded contract N00024-20-C-4312 for smart start maintenance, repair, and modernization efforts in support of USS Hartford (SSN 768) engineered overhaul. Work will be performed in Groton, Connecticut, and is expected to be completed by February 2022. Fiscal 2021 operation and maintenance (Navy) funds in the amount of $63,033,618 (99%); and fiscal 2021 other procurement (Navy) funds in the amount of $771,526 (1%) will be obligated at the time of award, of which, funds in the amount of  $63,033,618 will expire at the end of the current fiscal year. The Naval Sea Systems Command, Washington, D.C., is the contracting activity.</t>
  </si>
  <si>
    <t>Virginia-class Submarine</t>
  </si>
  <si>
    <t>Virginia-class Submarine Propulsors</t>
  </si>
  <si>
    <t>BAE Systems Platforms &amp; Services, Minneapolis, Minnesota, is awarded an $18,694,230 firm-fixed-price delivery order N00167-21-F-0120 under basic ordering agreement N00024-20-G-4107 for Virginia-class submarine propulsors. This delivery order does not include options. Work will be performed in Louisville, Kentucky, and is expected to be completed by April 2025. Fiscal 2021 advanced procurement shipbuilding and conversion (Navy) funds in the amount of $14,843,674 (79%); and fiscal 2020 advanced procurement shipbuilding and conversion (Navy) funds in the amount of $3,853,556 (21%) will be obligated at time of award and will not expire at the end of the fiscal year. This delivery order was not competitively procured in accordance with 10 U.S.C. 2304(c)(1) — only one responsible source and no other supplies or services will satisfy agency requirements. The Naval Surface Warfare Center, Carderock, Maryland, is the contracting activity.</t>
  </si>
  <si>
    <t>Space Based Infrared Surveillance</t>
  </si>
  <si>
    <t>Space Based Infrared Surveillance Contractor Logistics Support</t>
  </si>
  <si>
    <t>Lockheed Martin Corp., Littleton, Colorado, has been awarded a $1,010,000,000 fixed-price incentive-fee, cost‐plus‐incentive‐fee and cost-reimbursement contract for Space Based Infrared Surveillance contractor logistics support. Work will be performed on Peterson Air Force Base, Colorado; Buckley AFB, Colorado; Greeley Air National Guard Station, Colorado; and Boulder, Colorado, and is expected to be completed July 1, 2026. This award is the result of a sole-source acquisition. Fiscal 2021 operation and maintenance funds will be used with no funding being obligated at the time of award. Space and Missile Systems Center, Peterson AFB, Colorado, is the contracting activity (FA8823-21-C-0001).</t>
  </si>
  <si>
    <t>Development and Application of Advanced Technology Solutions</t>
  </si>
  <si>
    <t>Georgia Tech Applied Research Corp., Atlanta, Georgia, has been awarded a ceiling $92,000,000 indefinite-delivery/indefinite-quantity contract to obtain essential analysis documentation. This includes work closely related to governmental functions in the domains of engineering, research, development, modeling and simulation, and test and evaluation for the development and application of advanced technology solutions. Work will be performed in Atlanta, Georgia, and is expected to be completed June 3, 2026. This award is the result of a sole-source acquisition. Fiscal 2021 research, development, test and evaluation funds in the amount of $1,749,206 are being obligated at the time of award. Air Force Life Cycle  anagement Center, Wright-Patterson Air Force Base, Ohio, is the contracting activity (FA8684-21-D-2002).</t>
  </si>
  <si>
    <t>C-130 Hercules</t>
  </si>
  <si>
    <t>C-130 Hercules Excess Defense Article (EDA) Regeneration</t>
  </si>
  <si>
    <t>Tyonek  Services Overhaul Facility, Kiln, Mississippi, has been awarded a ceiling $24,988,351 indefinite-delivery/indefinite-quantity contract for Excess Defense Article (EDA) Regeneration for the Philippines Air Force. The estimated value of the first order is $4,700,000. The contractor will provide the Philippines Air Force with full C-130 EDA Regeneration to include program depot maintenance. Work will be performed in Waco, Texas, and is expected to be completed by December 2022. This award is the result of a sole-source acquisition and is 100% Foreign Military Sales. Air Force Life Cycle Management Center, Robins Air Force Base, Georgia, is the contracting activity (FA8553-21-D-0002).</t>
  </si>
  <si>
    <t>Phased Array Tracking Radar to Intercept on Target (PATRIOT) Advanced Capability (PAC-3) Missiles and Command and Launch System</t>
  </si>
  <si>
    <t>Spare Hardware for Phased Array Tracking Radar to Intercept on Target (PATRIOT) Advanced Capability (PAC-3) Missiles and Command and Launch System</t>
  </si>
  <si>
    <t>Lockheed Martin Corporation, Grand Prairie, Texas, was awarded a $172,357,000 modification (P00019) to contract W31P4Q-20-C-0023 for procurement of spare hardware in association with Phased Array Tracking Radar to Intercept on Target (PATRIOT) Advanced Capability (PAC-3) FY21 missiles and command and launch system.  Work will be performed in Huntsville, Alabama; Camden, Arkansas; Lake Mary and Clearwater, Florida; Grand Prairie and Lufkin, Texas; and Chelmsford, Massachusetts; with an estimated completion date of Dec. 31, 2024. Fiscal 2019, 2020 and 2021 missile procurement, Army funds and 2020 Foreign Military Sales funds in the amount of $172,357,000 were obligated at the time of the award. U.S. Army Contracting Command, Redstone Arsenal, Alabama, is the contracting activity.</t>
  </si>
  <si>
    <t>UH-72 Lakota</t>
  </si>
  <si>
    <t>UH-72 Lakota Contractor Logistics Support</t>
  </si>
  <si>
    <t>Airbus U.S. Space &amp; Defense Inc., Arlington, Virginia, was awarded a $119,788,924 modification (P00455) to contract W58RGZ-17-C-0010 for an extension of contractor logistics support services for the UH-72 Lakota. Work will be performed in Grand Prairie, Texas, with an estimated completion date of June 30, 2022. Fiscal 2022 operation and maintenance, Army funds will be obligated in the future. U.S. Army Contracting Command, Redstone Arsenal, Alabama, is the contracting activity.</t>
  </si>
  <si>
    <t>https://www.defense.gov/News/Contracts/Contract/Article/2648980/</t>
  </si>
  <si>
    <t>Research, Development and Acquisition of Military Weapons, Materiel and Life Cycle Sustainment</t>
  </si>
  <si>
    <t>Mayvin Inc.,* Annandale, Virginia, was awarded a $95,000,000 hybrid (cost-no-fee and firm-fixed-price) contract to support research, development and acquisition of military weapons, materiel and life cycle sustainment in support of the highest priority operators within the U.S. Special Operations Command. Bids were solicited via the internet with four received. Work locations and funding will be determined with each order, with an estimated completion date of June 6, 2026. U.S. Army Contracting Command, Aberdeen Proving Ground, Maryland, is the contracting activity (W911QY-21-D-0023).</t>
  </si>
  <si>
    <t>AN/ALQ-131; AN/ALQ-184</t>
  </si>
  <si>
    <t>Engineering and Hardware Sustainment</t>
  </si>
  <si>
    <t>Northrop Grumman Systems Corp., McLean, Virginia, has been awarded an $8,851,622 indefinite-delivery/indefinite-quantity contract to provide engineering and hardware sustainment for the AN/ALQ-131 and AN/ALQ-184 electronics countermeasures pods. Work will be performed in McLean, Virginia, and is expected to be completed June 3, 2031. No funds are being obligated at the time of award. Air Force Life Cycle Management Center, Robins Air Force Base, Georgia, is the contracting activity (FA8523-21-D-0006).</t>
  </si>
  <si>
    <t>Spearhead-class of Expeditionary Fast Transport (EPF)</t>
  </si>
  <si>
    <t>USNS Apalachicola (T-EPF-13)</t>
  </si>
  <si>
    <t>Austal USA, Mobile, Alabama, is awarded a $44,000,000 fixed-price incentive firm-target, undefinitized contract modification to previously awarded contract N00024-19-C-2227 for the detail design, procurement, production implementation, and demonstration of autonomous capability in Expeditionary Fast Transport (EPF) 13. Work will be performed in Mobile, Alabama (60%); Reston, Virginia (35%); and Fairfax, Virginia (5%), and is expected to complete by July 2022. Fiscal 2021 shipbuilding and conversion (Navy) cost-to-complete funding in the amount of $22,000,000 will be obligated at time of award and will not expire at the end of the current fiscal year. The Naval Sea Systems Command, Washington, D.C., is the contracting activity.</t>
  </si>
  <si>
    <t>Acquire Services and Material to Support and Maintain All Vessels Assigned to the Naval Sea Systems Command Inactive Ship Maintenance Office, and Active Vessels Assigned to the Guided Missile Cruiser (CG)/Dock Landing Ship (LSD) Modernization Detachment</t>
  </si>
  <si>
    <t>Global, A 1st Flagship Co.,* Irvine, California, is awarded a $10,833,890 cost-plus fixed fee modification to previously awarded contract N00024-17-C-4100 to exercise Option Period Four of the contract to acquire services and material necessary to support and maintain all vessels assigned to the Naval Sea Systems Command Inactive Ship Maintenance Office Philadelphia, Pennsylvania, and active vessels assigned to the Guided Missile Cruiser (CG)/Dock Landing Ship (LSD) Modernization Detachment, Norfolk, Virginia. Work will be performed in Philadelphia, Pennsylvania (80%); and in Norfolk, Virginia (20%), and is expected to be completed by July 2022. Fiscal 2021 operation and maintenance (Navy) funding in the amount of $1,661,878 will be obligated at the time of award and will not expire at the end of the current fiscal year. The Naval Sea Systems Command, Washington, D.C., is the contracting activity.</t>
  </si>
  <si>
    <t>Airport Buildings, Office and Administrative Buildings, Communications Facilities, Vehicle Maintenance Facilities, Armories, Parking Garages, Barracks Facilities, Prison Facilities, Fire Stations, Religious Buildings, Hotels, Dining Facilities, Hospital and Medical Facilities, Warehouse Facilities, School Facilities, and Commercial Facilities</t>
  </si>
  <si>
    <t>I.E. Pacific Inc.,* Escondido, California (N62473-21-D-1019); Patricia I. Romero Inc., doing business as Pacific West Builders,* National City, California (N62473-21-D-1020); Peter Vander Werff Construction Inc.,* El Cajon, California (N62473-21-D-1021); Heffler Contracting Group,* El Cajon, California (N62473-21-D-1022); Sea Pac Engineering Inc.,* Los Angeles, California (N62473-21-D-1023); Intercontinental Construction Contracting Inc.,* Passaic, New Jersey (N62473-21-D-1024);  SGS LLC,* Yukon, Oklahoma 73099 (N62473-21-D-1025); Shore Herman JV,* Chula Vista, California (N62473-21-D-1026); and CJW Joint Venture,* Santa Ana, California (N62473-21-D-1027), are awarded a $495,000,000 estimated maximum dollar value, indefinite-delivery/indefinite-quantity, multiple award construction contract for construction, repair, and renovation of commercial and institutional facilities at various government installations located in California, Arizona, Nevada, Utah, Colorado, and New Mexico. The work to be performed provides for construction, repair, and renovation of commercial and institutional buildings. Types of projects may include, but are not limited to, airport buildings, office and administrative buildings, communications facilities, vehicle maintenance facilities, armories, parking garages, barracks facilities, prison facilities, fire stations, religious buildings, hotels, dining facilities, hospital and medical facilities, warehouse facilities, school facilities, and commercial facilities. The maximum dollar value including the base period and one option period for all nine contracts combined is $495,000,000. All nine firms will be issued initial task orders of $5,000 as the minimum guarantee. All work on these contracts will be primarily performed the Naval Facilities Engineering Systems Command (NAVFAC) Southwest area of responsibility which includes California (90%); Arizona (6%); Nevada (1%); Utah (1%); Colorado (1%); and New Mexico (1%). The terms of the contracts are not to exceed 60 months, with an expected completion date of June 2026.  Fiscal 2021 operation and maintenance (Navy) contract funds in the amount of $45,000 are obligated on this award and will expire at the end of the current fiscal year.  Future task orders will be primarily funded by military construction (Navy); operation and maintenance (Navy); operation and maintenance (Marine Corps); and Navy working capital funds. This contract was competitively procured as a small business set-aside procurement via the beta.sam.gov website with 16 proposals received. These nine contractors may compete for task orders under the terms and conditions of the awarded contracts. NAVFAC Southwest, San Diego, California, is the contracting activity.</t>
  </si>
  <si>
    <t>https://www.defense.gov/News/Contracts/Contract/Article/2650662/</t>
  </si>
  <si>
    <t>F-35 Lightning II</t>
  </si>
  <si>
    <t>Support Services Including Program Management; Non-Recurring Unique Requirements; and Training in Support of Increment Five Integration of Foreign Military Sales (FMS) Customers</t>
  </si>
  <si>
    <t>Lockheed Martin Corp., Fort Worth, Texas, is awarded a $137,680,806 modification (P00112) to a previously awarded firm-fixed-price contract (N0001915C0003). This modification adds scope to provide continued support services, including program management, non-recurring unique requirements, and training in support of increment five integration of Foreign Military Sales (FMS) customers into the F-35 Lightning II Joint Strike Fighter program. Work will be performed in Fort Worth, Texas (60%); and an undisclosed locations outside the continental U.S. (40%), and is expected to be completed in July 2021. FMS funds in the amount of $137,680,806 will be obligated at time of award, none of which will expire at the end of the current fiscal year. The Naval Air Systems Command, Patuxent River, Maryland, is the contracting activity.</t>
  </si>
  <si>
    <t>Integration and Delivery of Products for C4ISR Systems</t>
  </si>
  <si>
    <t>Jacobs/HDR JV, Arlington, Virginia, is awarded a not-to-exceed $90,000,000 indefinite-delivery/indefinite-quantity contract for architect-engineer services for facilities management and sustainment support for Naval Facilities Engineering Systems Command (NAVFAC) worldwide. The work to be performed includes, but is not limited to, facility and utility inventory condition assessment programs; engineering services in support of integrated priority list development; engineering studies, surveys, inspections, and assessments; developing training, handbooks and/or manuals; re-commissioning and retro-commissioning of facilities including facility modifications; and development of facilities management initiatives and processes. Work on this contract will be performed at various Navy and Marine Corps facilities and other government facilities within the NAVFAC Atlantic and Pacific areas of responsibility to include California (5%); Virginia (5%); Florida (5%); North Carolina (5%); South Carolina (5%); Maryland (5%); Washington (5%); Georgia (5%); Hawaii (5%); Rhode Island (5%); Connecticut (5%); Maine (5%); Illinois (5%); Louisiana (5%); Mississippi (5%); Nevada (5 %); Tennessee (5%); Texas (5%); Washington, D.C. (5%); and Naples, Italy (5%). The term of the contract is not to exceed 60 months with an expected completion date of June 2026. No task orders are being awarded at this time. Fiscal 2021 operation and maintenance (Navy) contract funds in the amount of $10,000 are obligated on this award and will expire at the end of the current fiscal year. Future task orders will be primarily funded by operation and maintenance (Navy) contract funds. This contract was competitively procured via the beta.sam.gov website with two proposals received. NAVFAC Atlantic, Norfolk, Virginia, is the contracting activity (N62470-21-D-0008).</t>
  </si>
  <si>
    <t>AV3 Inc.,* Mechanicsville, Maryland (N0042121D0026); Bridges System Integration LLC,* Herndon, Virginia (N0042121D0027); FGS LLC,* LaPlata, Maryland (N0042121D0028); Futron Inc.,* Woodbridge, Virginia (N0042121D0029); iSoft Solution LLC,* Virginia Beach, Virginia (N0042121D0030); Mission Analytics LLC,* Falls Church, Virginia (N0042121D0031); and US International Development Consortium Inc.,* Chantilly, Virginia (N0042121D0032), are awarded an estimated aggregate ceiling of $100,000,000 cost-plus-fixed-fee, firm-fixed-price, cost reimbursable, indefinite-delivery/indefinite-quantity contract in support of the Naval Air Warfare Center Aircraft Division Integrated Command, Control and Intelligence (IC2&amp;I) Division. These contracts provide engineering and technical support services for legacy, current, and next generation audio/video systems, including efficient information exchange of voice, video and/or data from concept through deployment and the planning, research, design, testing, integration, verification, customization, installation and system operations support of those systems, subsystems, and components in support of the IC2&amp;I Division, which integrates and delivers products for command, control, communications, computers, combat systems, intelligence, surveillance, and reconnaissance systems for the U.S Department of Defense, various other U.S. government departments and agencies and foreign governments. The estimated aggregate ceiling for all contracts is $100,000,000, with the companies having an opportunity to compete for individual orders. Work will be performed at various locations within and outside the continental U.S., and is expected to be completed in June 2026. No funds are being obligated at time of award; funds will be obligated on individual orders as they are issued. These contracts were competitively procured via a small business set aside; 13 offers from 13 vendors were received. The Naval Air Warfare Center Aircraft Division, Patuxent River, Maryland, is the contracting activity.</t>
  </si>
  <si>
    <t>Senior Consultation Support Services</t>
  </si>
  <si>
    <t>Bowhead Cybersecurity Solutions and Services, Springfield, Virginia is awarded a $92,308,000 cost-plus fixed-fee and cost-only contract for senior consultation support services. Work will be performed in the Washington, D.C. area and is expected to be completed by June 2026. Fiscal 2021 operation and maintenance (Navy) funding in the amount of $2,500,000 will be obligated at the time of award. There are no options for this contract award. This funding would have expired at the end of the current fiscal year if this award had not been made. This contract was a directed in accordance with Section 8(a) of the Small Business Act (15 USC 637(a)(1)) and the Federal Acquisition Regulation part 19.8. The Naval Information Warfare Systems Command, San Diego, California, is the contracting activity (N00039-21-D-5000).</t>
  </si>
  <si>
    <t>Architect-Engineer Services for Facilities Management and Sustainment Support for Naval Facilities Engineering Systems Command (NAVFAC)</t>
  </si>
  <si>
    <t>Construction of Family Housing</t>
  </si>
  <si>
    <t>MVL-Percassi-Gemmo JV LLC,* Lansing, Michigan, is awarded an $81,489,561, firm-fixed-price contract for construction of family housing in Vicenza, Italy. The work to be performed provides for the construction of junior enlisted and senior officer family dwellings to include parking, utilities, street improvements and demolition of existing facilities. Work will be performed in Vicenza, Italy, and is expected to be completed by August 2023. Fiscal 2019 military construction (Army) contract funds in the amount of $81,489,561 are obligated on this award, none of which will expire at the end of the current fiscal year. This contract was competitively procured via the beta.sam.gov website with five proposals received. Naval Facilities Engineering Systems Command Atlantic, Norfolk, Virginia, is the contracting activity (N62470-21-C-0003).</t>
  </si>
  <si>
    <t>Contract is for family housing construction in Italy. However, Italy not mentioned as FMS.</t>
  </si>
  <si>
    <t>DDG 51-class</t>
  </si>
  <si>
    <t>Bath Iron Works, Bath, Maine, was awarded a $55,118,975 cost-plus-award-fee modification to previously awarded contract N00024-18-C-2313 to exercise options for accomplishment of lead yard services for the DDG 51 class Guided Missile Destroyer program. Work will be performed in Bath, Maine (95%); Brunswick, Maine (4.3%); and other locations collectively totaling less than 1%, and is expected to be completed by June 2022. Fiscal 2019 shipbuilding and conversion (Navy) funds in the amount of $38,714,567 (74.4%); fiscal 2014 shipbuilding and conversion (Navy) funds in the amount of $6,632,463 (12.7%); fiscal 2013 shipbuilding and conversion (Navy) funds in the amount of $5,057,691 (9.7%); fiscal 2016 shipbuilding and conversion (Navy) funds in the amount of $1,322,155 (2.5%); and fiscal 2020 funds in the amount of $71,170 (0.1%); and fiscal 2021 research, development, test and evaluation (Navy) funds in the amount of $315,962 (0.6%) will be obligated at time of award, of which $6,632,463 will expire at the end of the current fiscal year. The Naval Sea Systems Command, Washington, D.C., is the contracting activity. (Awarded June 4, 2021)</t>
  </si>
  <si>
    <t>AIM-9 Sidewinder</t>
  </si>
  <si>
    <t>AIM-9X Block II Sidewinder</t>
  </si>
  <si>
    <t>AIM-9X Block II Plus Sidewinder</t>
  </si>
  <si>
    <t>AIM-9X Sidewinder</t>
  </si>
  <si>
    <t>Block II Captive Air Training Missiles</t>
  </si>
  <si>
    <t>Block II Special Air Training Missiles</t>
  </si>
  <si>
    <t>All Up Round Containers</t>
  </si>
  <si>
    <t>Spare Advanced Optical Target Detectors</t>
  </si>
  <si>
    <t>Spare Advanced Optical Target Detectors Containers</t>
  </si>
  <si>
    <t>Spare Block II Guidance Units with Live Battery</t>
  </si>
  <si>
    <t>Spare Block II Plus Guidance Unit with Live Battery</t>
  </si>
  <si>
    <t>Guidance Unit Containers</t>
  </si>
  <si>
    <t>Spare Captive Air Training Missile Guidance Units (inert battery)</t>
  </si>
  <si>
    <t>Spare Block I Propulsion Steering Sections</t>
  </si>
  <si>
    <t>Spare Block II Propulsion Steering Sections</t>
  </si>
  <si>
    <t>Spare Block II Electronics Units</t>
  </si>
  <si>
    <t>Classroom Explosive Ordnance Disposal Systems Trainers</t>
  </si>
  <si>
    <t>Practical Explosive Ordnance Disposal Systems Trainers</t>
  </si>
  <si>
    <t>Multi-purpose Training Missiles</t>
  </si>
  <si>
    <t>Tail Caps</t>
  </si>
  <si>
    <t>Tail Cap Containers</t>
  </si>
  <si>
    <t>Lot of Spares Assets</t>
  </si>
  <si>
    <t>All Navy related funds have been added and maintained in this row</t>
  </si>
  <si>
    <t>All Air Force related funds have been added and maintained in this row</t>
  </si>
  <si>
    <t>FMS funds have been maintained in this row</t>
  </si>
  <si>
    <t>Raytheon Missile and Defense, Tucson, Arizona, is awarded a $328,156,454 fixed-price incentive (firm target) contract. This contract provides for the production and delivery of Lot 21 as follows: 483 AIM-9X Block II all up round tactical missiles (212 for the Navy, 187 for the Air Force and 84 for Foreign Military Sales (FMS) customers); 82 AIM-9X block II plus all up round missiles (eight for the Navy, eight for the Air Force and 66 for FMS customers); 156 Block II Captive Air Training Missiles (82 for the Air Force and 74 for FMS customers); eight Block II Special Air Training Missiles (two for the Air Force and six for FMS customers); 198 all up round containers (75 for the Navy, 73 for the Air Force and 50 for FMS customers); six spare advanced optical target detectors (two for the Air Force and four for FMS customers); five spare advanced optical target detector containers (two for the Air Force and three for FMS customers); 29 spare Block II guidance units (live battery) (13 for the Navy, four for the Air Force, and 12 for FMS customers); six spare Block II plus guidance units (live battery) for FMS customers; 41 guidance unit containers for FMS customers; 72 spare Captive Air Training Missile guidance units (inert battery) (22 for the Navy, three for the Air Force, and 47 for FMS customers); two spare Block I propulsion steering sections for the Air Force; seven spare Block II propulsion steering sections (two for the Navy, four for the Air Force, and one for FMS customers); 72 spare Block II electronics units (68 for the Navy and four for the Air Force); two classroom explosive ordnance disposal systems trainers for FMS customers; one practical explosive ordnance disposal systems trainer for a FMS customer; 11 multi-purpose training missiles for various FMS customers; 135 tail caps (eight for the Navy, 16 for the Air Force and 111 for FMS customers); 35 tail cap containers (two for the Navy, four for the Air Force, and 29 for FMS customers); one lot of spares assets for the Navy; one lot of spares assets for the Air Force; and one lot of spares assets for the governments of Australia, Bahrain, Belgium, Bulgaria, Canada, Denmark, Finland, Indonesia, Israel, Japan, Kuwait, Malaysia, Morocco, the Netherlands, Norway, Oman, Poland, Qatar, Romania, Saudi Arabia, Singapore, Slovakia, Republic of  Korea, Taiwan, Turkey, and the United Arab Emirates.  Work will be performed in Tucson, Arizona (31%); North Logan, Utah (10%); Keyser, West Virginia (9%); Niles, Illinois (8%); Vancouver, Washington (5%); Ottawa, Ontario, Canada (5%); Goleta, California (4%); Cheshire, Connecticut (4%); Heilbronn, Germany (3%); Simsbury, Connecticut (2%); San Jose, California (2%); Valencia, California (2%); Anaheim, California (2%); Cajon, California (2%); Cincinnati, Ohio (1%); Anniston, Alabama (1%); San Diego, California (1%); Chatsworth, California (1%); Amesbury, Massachusetts (1%); Claremont, California (1%); Sumner, Washington (1%); and various locations within the continental U.S. (4%), and is expected to be completed in June 2024.  Fiscal 2021 weapons procurement (Navy) funds in the amount of $98,204,232; fiscal 2021 missile procurement (Air Force) funds in the amount of $102,681,830; fiscal 2021 research, development, test and evaluation (Air Force) funds in the amount of $802,382; fiscal 2020 missile procurement (Air Force) funds in the amount of $257,638; fiscal 2020 weapons procurement (Navy) funds in the amount of $108,826; fiscal 2019 missile procurement (Air Force) in the amount of $295,576; and FMS funds in the amount of $125,805,970 will be obligated at the time of award, $295,576 of which will expire at the end of the current fiscal year. This contract was not competitively procured pursuant to Federal Acquisition Regulation 6.302-1. The Naval Air Systems Command, Patuxent River, Maryland, is the contracting activity (N0001921C0723).</t>
  </si>
  <si>
    <t>Multiple FMS customers involved in the contract. However, for the elements for which quantities have been provided did not specify for which FMS customer. Hence, mentioned it as Unknown. Additionally, for Lots of Spares Assets, FMS customers have been mentioned.</t>
  </si>
  <si>
    <t>https://www.defense.gov/News/Contracts/Contract/Article/2678227/</t>
  </si>
  <si>
    <t>Henry J. Kaiser-class</t>
  </si>
  <si>
    <t>USNS Guadalupe (T-AO-200)</t>
  </si>
  <si>
    <t>Vigor Marine LLC, Portland, Oregon, is awarded a $9,840,871 firm-fixed-price contract for a 65-calendar day shipyard availability. The work to be performed provides for services for the mid-term availability of the fleet oiler USNS Guadalupe (T-AO 200). The contract also contains five unexercised options, which if exercised, would increase cumulative contract value to $11,661,014. Work will be performed in Portland, Oregon, and is expected to be completed by Sept. 12, 2021. Fiscal 2021 working capital contract funds (Navy) in the amount of $9,840,871 are obligated for this award and will not expire at the end of the current fiscal year. This contract was competitively procured via the beta.SAM.gov website, with one proposal received. The Navy’s Military Sealift Command, Norfolk, Virginia, is the contracting activity (N3220521C4126).</t>
  </si>
  <si>
    <t>Logistics Support Services, Including Maintenance, Supply and Transportation</t>
  </si>
  <si>
    <t>Vanquish Worldwide LLC,* Knoxville, Tennessee, was awarded a $258,798,380 hybrid (cost-plus-fixed-fee and firm-fixed-price) contract for logistics support services, including maintenance, supply and transportation. Bids were solicited via the internet with nine received. Work will be performed in Fort Polk, Louisiana, with an estimated completion date of Aug. 17, 2026. Fiscal 2021 operation and maintenance, defense-wide funds in the amount of $314,465 were obligated at the time of the award. U.S. Army Contracting Command, Rock Island Arsenal, Illinois, is the contracting activity (W52P1J-21-F-0254).</t>
  </si>
  <si>
    <t>M240 Series Machine Guns</t>
  </si>
  <si>
    <t>M240 Series Machine Guns Variants and Spare Receivers</t>
  </si>
  <si>
    <t>FN America LLC, Columbia, South Carolina, was awarded a $92,104,736 firm-fixed-price contract to procure M240 Series machine gun variants and spare receivers. One bid was solicited via the internet with one received. Work locations and funding will be determined with each order, with an estimated completion date of June 8, 2026. U.S. Army Contracting Command, New Jersey, is the contracting activity (W15QKN-21-D-0038).</t>
  </si>
  <si>
    <t>AH-64 Apache</t>
  </si>
  <si>
    <t>AH-64E</t>
  </si>
  <si>
    <t>The Boeing Co., Mesa, Arizona, was awarded a $39,657,700 modification (P00079) to contract W58RGZ-16-C-0023 for new-build AH-64E aircraft. Bids were solicited via the internet with one received. Work will be performed in Mesa, Arizona, with an estimated completion date of Oct. 31, 2025. Fiscal 2021 aircraft procurement, Army funds in the amount of $39,657,700 were obligated at the time of the award. U.S. Army Contracting Command, Redstone Arsenal, Alabama, is the contracting activity.</t>
  </si>
  <si>
    <t>F-15E Strike Eagle</t>
  </si>
  <si>
    <t>AN/APG-82(V)1 Active Electronically Scanned Array (AESA) Radar System</t>
  </si>
  <si>
    <t>The Raytheon Co., El Segundo, California has been awarded a $3,120,000,000 indefinite-delivery/indefinite-quantity contract for F-15 Radar Eagle Vision. This contract provides for the production, modernization and support of the F-15 APG-82 radar system to rapidly deliver and stay aligned with the F-15 weapon system program. Work will be performed in El Segundo, California, and is expected to be completed June 8, 2036. This contract currently does not have any delivery orders for Foreign Military Sales (FMS) but does allow for future FMS orders and is the result of a sole-source acquisition. Fiscal 2021 aircraft procurement funds in the amount of $471,662 are being obligated at the time of award. The F-15 Division Contracts Branch, Wright-Patterson Air Force Base, Ohio, is the contracting activity (FA8634-21-D-2707).</t>
  </si>
  <si>
    <t>Mission Integration Requirements and Other Standard Services</t>
  </si>
  <si>
    <t>United Launch Services LLC, Centennial, Colorado, has been awarded a not-to-exceed $17,452,475 modification (P00006) to task order FA8811-20-F-0005 under the National Security Space Launch Phase 2 contract (FA8811-20-D-0001). This modification provides mission integration requirements and other standard services for the U.S. Space Force-51 mission. Work will be performed in Centennial, Colorado; and Cape Canaveral Space Force Station, Florida, and is expected to be completed by the first quarter of fiscal 2023. Fiscal 2021 space procurement funds in the amount of $8,726,237 will be obligated at the time of award. The cumulative face value of this task order is $149,581,475. The Space and Missile Systems Center, Los Angeles Air Force Base, California, is the contracting activity.</t>
  </si>
  <si>
    <t>Molnupiravir (MK-4482/EIDD-2801)</t>
  </si>
  <si>
    <t>Merck, Sharp &amp; Dohme Corp., Kenilworth, New Jersey, was awarded a $1,207,999,848 firm-fixed-price contract for 1,696,629 treatment courses of the oral antiviral MK-4482. Bids were solicited via the internet with one received. Work will be performed in Kenilworth, New Jersey, with an estimated completion date of June 15, 2022. Fiscal 2020 Coronavirus Aid, Relief and Economic Security (CARES) Act funds in the amount of $1,207,999,848 were obligated at the time of the award. U.S. Army Contracting Command, Aberdeen Proving Ground, Maryland, is the contracting activity (W911QY-21-C-0031). (Awarded June 7, 2021)</t>
  </si>
  <si>
    <t>https://www.defense.gov/News/Contracts/Contract/Article/2652182/</t>
  </si>
  <si>
    <t>Technical Support Services</t>
  </si>
  <si>
    <t>Booz Allen Hamilton, McLean, Virginia (N00189-18-D-Z067); CACI, Inc. – Federal, Chantilly, Virginia (N00189-18-D-Z068); Science Application International Corp., Reston, Virginia (N00189-18-D-Z069); Capstone Corp., Alexandria, Virginia (N00189-18-D-Z070); and Serco Inc., Herndon, Virginia (N00189-18-D-Z071), are awarded an estimated $109,814,821 via modification (P00004) to a previously awarded cost-plus-fixed-fee, indefinite-delivery/indefinite-quantity, multiple award contract program that included terms and conditions for the placement of both cost-plus-fixed-fee and firm-fixed-price task orders to provide technical support services for functions such as chief information officer strategic support; data and information management; engineering support; information technology system support; network support; information assurance/cyber security; enterprise business intelligence/enterprise business analytics; software analysis; hardware maintenance and development; and business process reengineering in support of the Deputy Chief of Naval Operations, the Bureau of Naval Personnel, Navy Personnel Command, the Navy Manpower Analysis Center, Commander Naval Education and Training, and Commander Navy Recruiting Command. This modification exercises the three-year option ordering period that will bring the estimated contract ceiling price to $213,170,626. The contracts run concurrently and the ordering period is expected to begin in September 2021 and be completed by September 2024. Work will be performed in Millington, Tennessee (45%); Pensacola, Florida (27%); Arlington, Virginia (10%); various locations throughout the continental U.S. (16%); and various contractor facilities (2%). No funding will be obligated at time of award. Operation and maintenance (Navy) funds will fund individual task orders with appropriate fiscal year appropriations at the time of their issuance. This contract was competitively procured for the award of multiple contracts pursuant to the authority set forth in Federal Acquisition Regulation 16.504, with 15 offers received. Naval Supply Systems Command, Fleet Logistics Center, Norfolk Contracting Department, Philadelphia Office, Philadelphia, Pennsylvania, is the contracting activity.</t>
  </si>
  <si>
    <t>Management and Technical Support Services for Acquisition Tools and Processes Program</t>
  </si>
  <si>
    <t>Precise Systems Inc., Lexington Park, Maryland, is awarded an $83,196,677 cost-plus-fixed-fee, cost-reimbursable indefinite-delivery/indefinite-quantity contract. This contract provides management and technical support services for the operation, development, sustainment, training and management of the acquisition management system suite of software applications that provide both acquisition management and acquisition data in support of the Acquisition Tools and Processes Program. Work will be performed in Patuxent River, Maryland, and is expected to be completed in June 2026. No funds will be obligated at time of award; funds will be obligated on individual orders as they are issued. This contract was not competitively procured pursuant to Federal Acquisition Regulation 6.302-1. The Naval Air Warfare Center Aircraft Division, Patuxent River, Maryland, is the contracting activity (N0042121D0025).</t>
  </si>
  <si>
    <t>Aegis Combat System</t>
  </si>
  <si>
    <t>MK99 Fire Control System; AN/SPY-1 Radar Transmitter Systems</t>
  </si>
  <si>
    <t>Raytheon Co., Marlborough, Massachusetts, is awarded a $9,208,622 firm-fixed-price and cost-plus-fixed-fee term modification to previously-awarded contract N6339421C0004 to exercise options for ordnance alteration installation services and to provide engineering and technical services in support of the MK99 fire control and AN/SPY-1 radar transmitter systems. Work will be performed in Yokosuka, Japan (25%); Moorestown, New Jersey (25%); Marlborough, Massachusetts (20%); Norfolk, Virginia (14%); Everett, Washington (12%); Mayport, Florida (2%); Philadelphia, Pennsylvania (1%); and San Diego, California (1%), and is expected to be completed by June 2022. Fiscal 2021 other procurement (Navy) funds in the amount of $7,352,014 (80%); fiscal 2020 shipbuilding and conversion (Navy) funds in the amount of $924,330 (10%); fiscal 2020 other procurement (Navy) funds in the amount of $732,278 (8%); and fiscal 2021 operation and maintenance (Navy) funds in the amount of $200,000 (2%) will be obligated at time of award, and funds in the amount of $200,000 will expire at the end of the current fiscal year. The Naval Surface Warfare Center, Port Hueneme Division, Port Hueneme, California, is the contracting activity.</t>
  </si>
  <si>
    <t>Radios; Communication Equipment; Ancillary and Spare Parts; and Related Services</t>
  </si>
  <si>
    <t>Harris Global Communications Inc., Rochester, New York, was awarded a $3,300,000,000 firm-fixed-price contract for radios, communication equipment, ancillary and spare parts, and related services. Bids were solicited via the internet with one received. Work locations and funding will be determined with each order, with an estimated completion date of June 9, 2026. U.S. Army Contracting Command, Aberdeen Proving Ground, Maryland, is the contracting activity (W91CRB-21-D-5003). </t>
  </si>
  <si>
    <t>https://www.defense.gov/News/Contracts/Contract/Article/2654069/</t>
  </si>
  <si>
    <t>Maintenance Capabilities in Support of the Afghan Air Force</t>
  </si>
  <si>
    <t>MD Helicopter Inc. Mesa, Arizona, was awarded a $29,448,286 modification (P00046) to contract W58RGZ-17-C-0038 to provide maintenance capabilities in support of the Afghan Air Force. Work will be performed in Mesa, Arizona; Kabul, Afghanistan; and Al Ain, United Arab Emirates, with an estimated completion date of Nov. 30, 2021. Fiscal 2021 Pseudo Foreign Military Sales funds in the amount of $14,429,660 were obligated at the time of the award. U.S. Army Contracting Command, Redstone Arsenal, Alabama, is the contracting activity.</t>
  </si>
  <si>
    <t>Modular Effects Launcher (MEL)</t>
  </si>
  <si>
    <t>Fulcrum Concepts LLC,* Mattaponi, Virginia, was awarded a $9,536,937 cost-plus-fixed-fee contract for the development, integration and testing of the Modular Effects Launcher. Bids were solicited via the internet with one received. Work will be performed in Mattaponi, Virginia, with an estimated completion date of June 9, 2023. Fiscal 2021 research, development, test and evaluation, Army funds in the amount of $9,536,937 were obligated at the time of the award. U.S. Army Contracting Command, Redstone Arsenal, Alabama, is the contracting activity (W911W6-21-C-0041).</t>
  </si>
  <si>
    <t>AGM-84H/K Stand-Off Land Attack Missile Expanded Response (SLAM-ER)</t>
  </si>
  <si>
    <t>AGM-84H/K Stand-Off Land Attack Missile Expanded Response (SLAM-ER) Data Link Pods and Containers</t>
  </si>
  <si>
    <t>The Boeing Co., St. Louis, Missouri, is awarded a $78,355,686 (P00002) modification to a previously awarded firm-fixed-price contract (N0001920C0003). This modification exercises an option to procure various material associated with a quantity of 36 Stand-Off Land Attack Missile Expanded Response (SLAM ER) data link pods and containers in support of the SLAM ER obsolescence redesign program for the government of Saudi Arabia. Work will be performed in Indianapolis, Indiana (90%); and St, Louis, Missouri (10%), and is expected to be completed in December 2026. Foreign Military Sales in the amount of $78,355,686 will be obligated at the time of award, none of which will expire at the end of the current fiscal year. The Naval Air Systems Command, Patuxent River, Maryland, is the contracting activity.</t>
  </si>
  <si>
    <t>RQ-4A Global Hawk Broad Area Maritime Surveillance - Demonstrator (BAMS-D)</t>
  </si>
  <si>
    <t>Continuing Operator, Maintenance, Logistics and Sustainment Engineering Support</t>
  </si>
  <si>
    <t>Northrop Grumman Systems Corp., San Diego, California, is awarded a $53,773,633 cost-plus-fixed-fee contract to provide continuing operator, maintenance, logistics and sustainment engineering support, to include training, supply chain and spares management for peculiar items, peculiar support equipment, and technical publications in support of the RQ-4A Global Hawk Broad Area Maritime Surveillance - Demonstrator (BAMS-D) aircraft being mission-capable for intelligence, surveillance and reconnaissance missions for the Navy. Work will be performed in Patuxent River, Maryland (45%); undisclosed location outside the continental U.S. (33%); San Diego, California (8%); Indianapolis, Indiana (7%); El Segundo, California (4%); Sterling, Virginia (2%); and Salt Lake City, Utah (1%), and is expected to be completed in April 2022. Fiscal 2021 operation and maintenance (Navy) funds in the amount of $53,773,633 will be obligated at time of award, none of which will expire at the end of the current fiscal year. This contract was not competitively procured pursuant to 10 U.S. Code 2304(c)(1). The Naval Air Systems Command, Patuxent River, Maryland, is the contracting activity (N0001921C0054).</t>
  </si>
  <si>
    <t>F/A-18 Hornet</t>
  </si>
  <si>
    <t>Primary Bleed Air Pressure Regulator (PBAR) and Shut Off Valve Delta Kit modifications</t>
  </si>
  <si>
    <t>Primary Bleed Air Pressure Regulator (PBAR) New Valve Kits</t>
  </si>
  <si>
    <t>This contract is part of the contract P00009</t>
  </si>
  <si>
    <t>The Boeing Co., St. Louis, Missouri, is awarded a $13,972,948 modification (P00009) to a cost-plus-fixed-fee order (N0001917F0005) against a previously issued basic ordering agreement (N0001916G0001). This modification exercises an option to procure 69 Primary Bleed Air Pressure Regulator (PBAR) and Shut Off Valve Delta Kit modifications; and 384 PBAR new valve kits in support of the environmental control system PBAR and shut off valve improvement for F/A-18 series aircraft. Work will be performed in Windsor, Connecticut (80%); El Segundo, California (12%); and St. Louis, Missouri (8%), and is expected to be completed in September 2024. Fiscal 2021 aircraft procurement (Navy) funds in the amount of $13,972,948 will be obligated at time of award, none of which will expire at the end of the current fiscal year. The Naval Air Systems Command, Patuxent River, Maryland, is the contracting activity.</t>
  </si>
  <si>
    <t>Littoral Combat Ship Class Ships</t>
  </si>
  <si>
    <t>Q.E.D. Systems Inc.,* Virginia Beach, Virginia, is awarded a $13,757,226 modification to previously awarded contract N00024-18-C-4312 for the execution planning efforts under option period 3 to support maintenance and sustainment execution contracts for littoral combat ship class ships homeported in San Diego, California. Work will be performed in San Diego, California, is expected to be completed by June 2022. Fiscal 2021 operation and maintenance (Navy) funding in the amount of $13,757,226 will be obligated at time of award and will expire at the end of the current fiscal year. This contract was competitively procured via the Federal Business Opportunities website, with one offer received.  Southwest Regional Maintenance Center, San Diego, California, is the administrating contracting activity (N00024-18-C-4312).</t>
  </si>
  <si>
    <t>USNS Hunter (TSV-3)</t>
  </si>
  <si>
    <t>Lyon Shipyard Inc.,* Norfolk, Virginia, is awarded an $8,077,424 firm-fixed-price contract to provide the management, technical, procurement, production, testing and quality assurance necessary to plan, prepare and execute all maintenance, repair, and alterations required to complete the docking phased maintenance availability onboard the USNS Hunter (TSV-3). Work will be performed in Norfolk, Virginia, and is expected to be completed by January 2022. If all options are exercised, work will continue through January, 2022. Fiscal 2021 operation and maintenance (Navy) funds in the amount of $8,077,424 and will expire at the end of the current fiscal year. The requirement was competitively procured as a small business set-aside solicited through the beta.sam.gov website, with two offers received. The Mid-Atlantic Regional Maintenance Center, Norfolk, Virginia, is the contracting activity (N50054-21-C-0004).</t>
  </si>
  <si>
    <t>MH-60R; MH-60S</t>
  </si>
  <si>
    <t>Common Mh-60R/S Aircraft Survivability Equipment Architecture (ASE) to Integrate the APR-39C(V)2 Radar Warning Receiver into the Mh-60S Avionics System and Implement Common Audio And Symbology Architecture across the MH-60R and MH-60S</t>
  </si>
  <si>
    <t>Lockheed Martin Rotary and Mission Systems, Owego, New York, is awarded an $8,014,901 firm-fixed-price order (N0001921F0426) against a previously issued basic ordering agreement (N0001919G0029).  This order provides for non-recurring engineering in support of the design of the Common MH-60R/S Aircraft survivability equipment architecture to integrate the APR-39C(V)2 radar warning receiver into the MH-60S avionics system and implement common audio and symbology architecture across the MH-60R and MH-60S aircraft for the U.S. Navy and foreign military sales (FMS) customers. Work will be performed in Owego, New York and is expected to be completed in July 2023. Fiscal 2021 research, development, test, and evaluation (Navy) funds in the amount of $1,190,800 and FMS funds in the amount of $2,848,954 will be obligated at the time of award, none of which will expire at the end of the current fiscal year. The Naval Air Systems Command, Patuxent River, Maryland, is the contracting activity.</t>
  </si>
  <si>
    <t>Simplified Acquisition of Base Engineering Requirements</t>
  </si>
  <si>
    <t>Defender Contracting &amp; Construction Services, Kansas City, Missouri, has been awarded not-to-exceed $77,000,000 indefinite-delivery/indefinite-quantity contract for Simplified Acquisition of Base Engineering Requirements. The contractor will provide all management, labor, material, equipment, transportation, supervision and minor designs to accomplish simultaneous projects for a broad range of maintenance, repair and minor construction work on real property. Areas of work include, but are not limited to, airfield support, research and development, waterfront, medical, academic, secure areas, infrastructure, administrative and institutional. Work will be performed at Joint Base (JB) Charleston, South Carolina, and is expected to be completed June 28, 2026. This award is the result of a competitive acquisition with seven offers received. Fiscal 2021 operation and maintenance funds in the amount of $3,000 will be obligated at the time of award. The 628th Contracting Squadron, JB Charleston, South Carolina, is the contracting activity (FA4418-21-D-0002).</t>
  </si>
  <si>
    <t>AN/WSN-7 Ring Laser Gyro Navigator (RLGN); DDG Integrated Bridge Systems</t>
  </si>
  <si>
    <t>AN/BPS-15/16</t>
  </si>
  <si>
    <t>Mini-Stock Point and Repair</t>
  </si>
  <si>
    <t>Northrop Grumman Systems Corp., Charlottesville, Virginia, is awarded a $37,849,913 firm-fixed-priced, long-term requirements contract for mini-stock point and the repair of items supporting the inertial navigation system AN/WSN-7, the AN/BPS-15/16 radar set and the DDG integrated bridge systems. This contract includes a 60-month ordering period with no options. All work will be performed in Charlottesville, Virginia, and is expected to be completed by June 2026. No funds will be obligated at time of award. Working capital funds (Navy) will be obligated as individual task orders are issued, and funds will not expire at the end of the current fiscal year. One source was solicited for this non-competitive requirement under authority 10 U.S. Code 2304 (c)(1), with one offer received. Naval Supply Systems Command Weapon Systems Support, Mechanicsburg, Pennsylvania, is the contracting activity (N00104-21-D-PC01).</t>
  </si>
  <si>
    <t>https://www.defense.gov/News/Contracts/Contract/Article/2655739/</t>
  </si>
  <si>
    <t>This contract is part of the contract N00104-21-D-PC01</t>
  </si>
  <si>
    <t>AN/SQQ-89A(V)15</t>
  </si>
  <si>
    <t>AN/SQQ-89</t>
  </si>
  <si>
    <t>Leidos Inc., Gaithersburg, Maryland, is awarded an $26,913,657 cost-plus-incentive-fee, cost-plus-fixed-fee, and cost-only contract for ship-installation, integrated logistic support, fleet support, and life-cycle-sustainment of the Navy’s AN/SQQ-89A(V)15 surface ship undersea warfare systems. This contract includes options which, if exercised, would bring the cumulative value of this contract to $61,729,316. The contract combines purchases for the Navy (97.6%); and the governments of Japan (2%) and Australia (0.4%) under the Foreign Military Sales program. Work will be performed in Chesapeake, Virginia (26%); Everett, Washington (23%); Norfolk, Virginia (19%); Yokosuka, Japan (14%); San Diego, California (13%); Bath, Maine (1%); Manassas, Virginia (1%); Mayport, Florida (1%); Pascagoula, Mississippi (1%); and Pearl Harbor, Hawaii (1%), and is expected to be completed by June 2022. If all options are exercised, work will continue through June 2023. Fiscal 2021 shipbuilding and conversion (Navy) funds in the amount of $5,234,914 (43%); fiscal 2021 other procurement (Navy) funds in the amount of $2,892,808 (24%); fiscal 2019 shipbuilding and conversion (Navy) funds in the amount of $1,270,505 (11%); fiscal 2020 shipbuilding and conversion (Navy) funds in the amount of $974,554 (8%); fiscal 2021 operations and maintenance (Navy) funds in the amount of $591,246 (5%); fiscal 2017 shipbuilding and conversion (Navy) funds in the amount of $498,393 (4%); fiscal 2018 shipbuilding and conversion (Navy) funds in the amount of $291,038 (2%); Foreign Military Sales Japan funds in the amount of $205,855 (1%); fiscal 2021 research, development, test and evaluation (Navy) funds in the amount of $68,850 (1%); and Foreign Military Sales Australia funds in the amount of $38,730 (1%) will be obligated at time of award, of which funds in the amount of $591,246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(N00024-21-C-5202).</t>
  </si>
  <si>
    <t>This contract is part of the contract N00024-21-C-5202</t>
  </si>
  <si>
    <t>BAE Systems Land &amp; Armaments L.P., Minneapolis, Minnesota, is awarded an $18,809,833 firm-fixed-price modification to previously awarded contract N00024-21-C-4106 for the manufacture and delivery of Virginia-class propulsor components and assembly. Work will be performed in Louisville, Kentucky (90%); and Minneapolis, Minnesota (10%), and is expected to be completed by March 2025. Fiscal 2021 shipbuilding and conversion (Navy) funds in the amount of $18,809,833 will be obligated at time of award and will not expire at the end of the current fiscal year. The Naval Sea Systems Command, Washington, D.C., is the contracting activity.</t>
  </si>
  <si>
    <t>Virginia-class</t>
  </si>
  <si>
    <t>SSN-774 Propulsor Components and Assembly</t>
  </si>
  <si>
    <t>Preservation Work Onboard USS Toledo (SSN-769)</t>
  </si>
  <si>
    <t>International Marine &amp; Industrial Applicators LLC, Spanish Fort, Alabama, is awarded a $13,762,373 firm-fixed-price contract for preservation work onboard USS Toledo (SSN-769). The services under this contract include blasting, preservation, and surface preparation; touch-up, blasting, and painting of high solid coatings and non-high solid coatings; cleaning of sanitary and other tanks; construction of scaffolding required to accomplish taskings; general shipboard cleaning; containment/blast protection; preparation and preservation of dampening tiles; zinc replacement; lead ballast removal and installation; and special hull treatment removal, preparation, preservation, and installation. This contract includes options, which if exercised, would bring the cumulative value of this contract to $16,997,778. Work will be performed in Portsmouth, Virginia, and is expected to be completed by May 2022. If all options are exercised work will continue through September 2022. Fiscal 2021 operation and maintenance (Navy) funding in the amount of $8,000,000 will be obligated at the time of award and will expire at the end of the current fiscal year. This contract was competitively procured via the beta.sam.gov website, with three offers received. The Norfolk Naval Shipyard, Portsmouth, Virginia, is the contracting activity (N4215821CS001).</t>
  </si>
  <si>
    <t>CH-53K King Stallion</t>
  </si>
  <si>
    <t>CH-53K King Stallion Rate Tooling</t>
  </si>
  <si>
    <t>Sikorsky Aircraft Corp., a Lockheed Martin Co., Stratford, Connecticut, is awarded a $9,493,860 firm-fixed-price order (N0001921F0434) against a previously issued basic ordering agreement (N0001919G0029). This order provides systems engineering and program management services in support of CH-53K low rate initial production Lots 5 and 6 aircraft rate tooling. Work will be performed in Rochester, United Kingdom (67.6%); Kent, Washington (14.3%); Stratford, Connecticut (12. 9%); Berlin, Connecticut (4.6%); Madrid, Spain (0.4%); and Cudahy, Washington (0.2%), and is expected to be completed in December 2024. Fiscal 2021 aircraft procurement (Navy) funds in the amount of $9,493,860 will be obligated at the time of award, none of which will expire at the end of the current fiscal year. The Naval Air Systems Command, Patuxent River, Maryland, is the contracting activity.</t>
  </si>
  <si>
    <t>T-6 Texan II</t>
  </si>
  <si>
    <t>T-6C Texan II</t>
  </si>
  <si>
    <t>Textron Aviation Defense, Wichita, Kansas, has been awarded a $12,496,793 firm-fixed-price, undefinitized contract action for Tunisia T-6C long lead items procurement and site survey. This contract provides for the procurement of long lead production items and spares to support delivery of eight T-6Cs in 2022 and conducting a site survey in Tunisia. Work will be performed in Wichita, Kansas, and is expected to be completed October 2022. This contract involves Foreign Military Sales (FMS) to Tunisia and is the result of a sole-source acquisition. FMS funding in the amount of $6,248,163 are being obligated at the time of award. Air Force Life Cycle Management Center, Wright-Patterson Air Force Base, Ohio, is the contracting activity (FA8617-21-C-6235).</t>
  </si>
  <si>
    <t>This contract is part of the contract FA8617-21-C-6235</t>
  </si>
  <si>
    <t>Cisco Smart Net Total Care and Software Support Services</t>
  </si>
  <si>
    <t>Cisco Systems Inc., San Jose, California, was awarded a single-award indefinite-delivery/indefinite-quantity contract with a ceiling of $1,180,185,116 for brand name Cisco Smart Net Total Care and Software Support Services for users across the Department of Defense.  The period of performance is a one-year base period and two one-year option periods, for a total contract life cycle of three years. Proposals were solicited from the System for Award Management website (beta.SAM.gov), and three proposals were received.  The Defense Information Technology Contracting Organization, Scott Air Force Base, Illinois, is the contracting activity (HC1084-21-D-0003).</t>
  </si>
  <si>
    <t>https://www.defense.gov/News/Contracts/Contract/Article/2657500/</t>
  </si>
  <si>
    <t>Synthetic Training Environment-Information System (STE-IS)</t>
  </si>
  <si>
    <t>Cole Engineering Services Inc., Orlando, Florida, was awarded a $192,611,812 firm-fixed-price contract for the Synthetic Training Environment-Information System Training Simulation Software/Training Management Tool. Bids were solicited via the internet with 11 received. Work will be performed in Orlando, Florida, with an estimated completion date of Oct. 13, 2025. Fiscal 2021 research, development, test and evaluation, Army funds in the amount of $12,222,847 were obligated at the time of the award. U.S. Army Contracting Command, Orlando, Florida, is the contracting activity (W900KK-21-9-0009).</t>
  </si>
  <si>
    <t>M1A2 Abrams</t>
  </si>
  <si>
    <t xml:space="preserve"> M1147 Advanced Multi-Purpose (AMP) Gunner's Auxiliary Sight</t>
  </si>
  <si>
    <t>DRS Network &amp; Imaging Systems LLC, Melbourne, Florida, was awarded a $82,741,380 firm-fixed-price contract to procure Advanced Multi-Purpose Round Gunner's Auxiliary Sight units. Bids were solicited via the internet with one received. Work locations and funding will be determined with each order, with an estimated completion date of June 14, 2026. U.S. Army Contracting Command, Detroit Arsenal, Michigan, is the contracting activity (W56HZV-21-D-0056).</t>
  </si>
  <si>
    <t>Qatar Early Warning Radar (QEWR)</t>
  </si>
  <si>
    <t>AN/FPS-132 Block 5 Early Warning Radar (EWR)</t>
  </si>
  <si>
    <t>Raytheon Co., Woburn, Massachusetts, has been awarded a $78,109,766, firm-fixed-price, cost-plus-fixed-fee, cost-reimbursable modification (P00033) to contract FA8730-17-C-0010 for contractor logistic support. This contract modification is for contractor logistic support for the Qatar Early Warning Radar for a period of five years. Work will be performed in Woburn, Massachusetts; and Doha, Qatar, and is expected to be completed Dec. 31, 2026. Foreign Military Sales funds are being obligated at the time of award in the amount of $69,555,997. The cumulative face value of the contract is $1,207,797,790. Air Force Life Cycle Management, Hanscom Air Force Base, Massachusetts, is the contracting activity.</t>
  </si>
  <si>
    <t>This contract is part of the contract FA8730-17-C-0010</t>
  </si>
  <si>
    <t>MH-47G Chinook Block II</t>
  </si>
  <si>
    <t>Long-Lead Components and Parts</t>
  </si>
  <si>
    <t>The Boeing Co., Ridley Park, Pennsylvania, was awarded an $18,372,000 firm-fixed-price type delivery order modification to an existing contract (W91215-16-G-0001) for the procurement of long-lead components and parts in support of the MH-47G Chinook Block II production program. Fiscal 2021 Army aircraft procurement funds in the amount of $18,372,000 are being obligated at the time of award. The majority of the work will be performed in Ridley Park. This delivery order is a noncompetitive award and is in accordance with Federal Acquisition Regulation 6.302.1. U.S. Special Operations Command, Tampa, Florida, is the contracting activity.</t>
  </si>
  <si>
    <t>Spearhead-class</t>
  </si>
  <si>
    <t>USNS Fall River (T-EPF 4)</t>
  </si>
  <si>
    <t>Colonna’s Shipyard Inc., Norfolk, Virginia, is awarded a $9,405,299 firm-fixed-price contract for a 90-calendar day shipyard availability for the regularly scheduled overhaul and dry-docking of the expeditionary fast transport ship USNS Fall River (T-EPF 4). This contract contains 17 unexercised options which, if exercised, would bring the cumulative contract value to $11,955,991. Work will be performed in Norfolk, Virginia, and is expected to be completed by Oct. 11, 2021. Fiscal 2021 working capital funds (Navy) in the amount of $9,405,299 are obligated for this award and will not expire at the end of the current fiscal year. This contract was competitively procured via the beta.sam.gov website, with four proposals received. The Navy’s Military Sealift Command, Norfolk, Virginia, is the contracting activity (N3220521C2081).</t>
  </si>
  <si>
    <t>Supply-class</t>
  </si>
  <si>
    <t>USNS Arctic (T-AOE 8)</t>
  </si>
  <si>
    <t>East Coast Repair &amp; Fabrication, Chesapeake, Virginia, is awarded an $8,941,404 firm-fixed-price contract (N3220521C4028) for a 60-calendar day shipyard availability for the mid-term availability on the USNS Arctic (T-AOE 8). The contract includes options which, if exercised, would bring the total contract value to $9,062,371. Work will be performed in Newport News, Virginia, and is expected to be completed by Oct. 2, 2021. Contract funds in the amount of $8,941,404 are obligated in fiscal 2021 using working capital funds (Navy). This contract was competitively procured with proposals solicited via the sam.gov website and seven offers were received. The Navy’s Military Sealift Command, Norfolk, Virginia, is the contracting activity (N3220521C4028).</t>
  </si>
  <si>
    <t>AN/SPY-1 Elevated Radar Advanced Calibration Experiment</t>
  </si>
  <si>
    <t>Engineering Services</t>
  </si>
  <si>
    <t>Lockheed Martin Rotary and Mission Systems, Moorestown, New Jersey, is awarded an $8,255,829 cost-plus-fixed-fee order under basic ordering agreement N0016418GWP04 for engineering services in support of the AN/SPY-1 Elevated Radar Advanced Calibration Experiment. Work will be performed in Moorestown, New Jersey, and is expected to be completed by June 2023. Fiscal 2021 research, development, test, and evaluation (Navy) funds in the amount of $273,233 will be obligated at time of award and not expire at the end of the current fiscal year. This contract was not competitively procured in accordance with 10 U.S. Code 2304(c)(1) — only one responsible source and no other supplies or services will satisfy agency requirements. The Naval Surface Warfare Center, Crane, Indiana, is the contracting activity (N0016421FW101).</t>
  </si>
  <si>
    <t>https://www.defense.gov/News/Contracts/Contract/Article/2659241/</t>
  </si>
  <si>
    <t>Surface and Sub-surface Unmanned Maritime Systems Engaged in Waterborne and Underwater Mine Countermeasures</t>
  </si>
  <si>
    <t>Technical Support</t>
  </si>
  <si>
    <t>Applied Research Associates, Albuquerque, New Mexico (N66001-21-D-0132); Gryphon Technologies LLC, Washington, D.C. (N66001-21-D-0133); HII Mission Driven Innovative Solutions Inc., Huntsville, Alabama (N66001-21-D-0134); ISPA Technology LLC, Lithia, Florida (N66001-21-D-0135); Leidos Inc., Reston, Virginia (N66001-21-D-0136; Oasis Systems LLC, Burlington, Massachussetts (N66001-21-D-0137); Peraton Inc., Herndon, Virginia (N66001-21-D-0138); Science Applications International Corp., Reston, Virginia (N66001-21-D-0139); and Serco, Inc., of San Diego, California (N66001-21-D-0140) are awarded a $118,816,148 indefinite-delivery/indefinite-quantity, multiple-award contract with cost-plus-fixed-fee and cost-with-no-fee pricing for technical support including specification and design, fabrication, installation, test and evaluation, fielding, maintenance, training, and configuration and program management of hardware and software in support of surface and subsurface unmanned maritime systems engaged in waterborne and underwater mine countermeasures. This four-year contract includes four one-year option periods which, if exercised, would bring the overall potential value of this contract to an estimated $249,741,160. Work will be performed in San Diego, California (75%); and outside the continental U.S. (25%). The period of performance of the base award is from June 15, 2021, through June 14, 2025. If all options are exercised, the period of performance would extend through June 14, 2029. Awardees will have the opportunity to compete for task orders during the ordering period. No funds will be obligated at the time of award. Fiscal 2021 funds will be obligated as task orders are issued using operation and maintenance (Navy); other procurement (Navy); working capital (DOD); and research, development, test and evaluation (Navy) funds. This contract was competitively procured via a request for proposal (N66001-21-R-0014) published on the beta.sam.gov web site and Naval Information Warfare Systems Command e-Commerce Central website. Thirteen offers were received and nine were selected for award. Naval Information Warfare Center Pacific, San Diego, California, is the contracting activity.</t>
  </si>
  <si>
    <t>San Antonio-class</t>
  </si>
  <si>
    <t>USS San Diego (LPD 22)</t>
  </si>
  <si>
    <t>BAE Systems San Diego Ship Repair, San Diego, California, was awarded a $90,267,436 firm-fixed-price contract for the execution of the USS San Diego (LPD 22) fiscal 2021 docking selected restricted availability. This availability will include a combination of maintenance, modernization and repair of the USS San Diego. This contract includes options which, if exercised, would bring the cumulative value of this contract to $104,893,477. Work will be performed in San Diego, California, and is expected to be completed by November 2022. Fiscal 2021 other procurement (Navy) funds in the amount of $79,657,142 (88.25%); and fiscal 2021 operation and maintenance (Navy) funds in the amount of $10,610,294 (11.75%) will be obligated at time of award, of which $10,610,294 will expire at the end of the current fiscal year. This contract was competitively procured using full and open competition via the beta.sam.gov website. One offer was received in response to Solicitation No. N00024-21-R-4442. The Naval Sea Systems Command, Washington, D.C., is the contracting activity (N00024-21-C-4442). (Awarded June 11, 2021)</t>
  </si>
  <si>
    <t>BAE Systems Technology Solutions &amp; Services Inc., Rockville, Maryland, has been awarded a maximum $79,800,000 firm-fixed-price, indefinite-delivery/indefinite-quantity contract for automated tank gauging, independent alarm system, and overfill protection equipment maintenance. This was a competitive acquisition with three responses received. This is a one-year base contract with four one-year option periods. Locations of performance are Maryland and throughout the continental U.S. and the Caribbean, with a July 12, 2022, ordering period end date. Using customers are Army, Navy, Air Force, Marine Corps, National Guard and Coast Guard. Type of appropriation is fiscal 2021 through 2022 defense working capital funds. The contracting activity is the Defense Logistics Agency Contracting Services Office, Columbus, Ohio (SP4702-21-D-0005).</t>
  </si>
  <si>
    <t>Automated Tank Gauging, Independent Alarm System, and Overfill Protection Equipment Maintenance</t>
  </si>
  <si>
    <t>Maintenance Hangar</t>
  </si>
  <si>
    <t>Zodiac-Poettker HBZ JV II LLC, St. Louis, Missouri, was awarded a $56,295,000 firm-fixed-price contract for the construction of a six-bay maintenance hangar for rotary wing aircraft. Bids were solicited via the internet with five received. Work will be performed in Hunter Army Airfield, Georgia, with an estimated completion date of June 15, 2023. Fiscal 2021 military construction, Army funds in the amount of $56,295,000 were obligated at the time of the award. U.S. Army Corps of Engineers, Savannah, Georgia, is the contracting activity (W912HN-21-C-3005).</t>
  </si>
  <si>
    <t>M982 Excalibur</t>
  </si>
  <si>
    <t>M982A1</t>
  </si>
  <si>
    <t>Raytheon Co. Missile Systems, Tucson, Arizona, was awarded a $20,309,493 modification (P00012) to contract W15QKN-19-C-0017 for procurement of Excalibur 155 mm Increment Ib projectiles. Work will be performed in Anniston, Alabama; East Camden, Arkansas; Gilbert, Phoenix, and Tucson, Arizona; Healdsburg, Inglewood, Valencia, Santa Clara and Chino, California; Woodridge, Illinois; Cedar Rapids, Iowa; Joplin, Missouri; Cookstown, New Jersey; Farmington, New Mexico; Cincinnati, Ohio; McAlester, Oklahoma; Lansdale, Pennsylvania; Trenton, Texas; Salt Lake City, Utah; Southway and Glenrothes, United Kingdom; and Karlskoga, Sweden, with an estimated completion date of April 30, 2023. Fiscal 2021 Foreign Military Sales (Netherlands) funds in the amount of $20,309,493 were obligated at the time of the award. U.S. Army Contracting Command, Newark, New Jersey, is the contracting activity.</t>
  </si>
  <si>
    <t>DigiFlight Inc.,* Columbia, Maryland, was awarded a $13,802,929 modification (P00003) to contract W31P4Q-21-F-D003 for programmatic support for the Apache Attack Helicopter. Work will be performed in Columbia, Maryland, with an estimated completion date of May 23, 2022. Fiscal 2021 other procurement, Army funds in the amount of $13,802,929 were obligated at the time of the award. U.S. Army Contracting Command, Redstone Arsenal, Alabama, is the contracting activity.</t>
  </si>
  <si>
    <t>Raytheon Co. Missile Systems, Tucson, Arizona, was awarded a $9,173,935 modification (P00013) to contract W15QKN-19-C-0017 for procurement of 155 mm Excalibur Increment Ib projectiles. Work will be performed in Anniston, Alabama; East Camden, Arkansas; Gilbert, Phoenix, and Tucson, Arizona; Healdsburg, Inglewood, Valencia, Santa Clara, and Chino, California; Woodridge, Illinois; Cedar Rapids, Iowa; Joplin, Missouri; Cookstown, New Jersey; Farmington, New Mexico; Cincinnati, Ohio; McAlester, Oklahoma; Lansdale, Pennsylvania; Trenton, Texas; Salt Lake City, Utah; Southway and Glenrothes, United Kingdom; and Karlskoga, Sweden, with an estimated completion date of June 30, 2023. Fiscal 2021 Foreign Military Sales (India) funds in the amount of $9,173,935 were obligated at the time of the award. U.S. Army Contracting Command, Newark, New Jersey, is the contracting activity.</t>
  </si>
  <si>
    <t>Raytheon Co. Missile Systems, Tucson, Arizona, was awarded a $9,145,220 modification (P00011) to contract W15QKN-19-C-0017 for procurement of Excalibur 155mm Increment Ib projectiles. Work will be performed in in Anniston, Alabama; East Camden, Arkansas; Gilbert, Phoenix, and Tucson, Arizona; Healdsburg, Inglewood, Valencia, Santa Clara, and Chino, California; Woodridge, Illinois; Cedar Rapids, Iowa; Joplin, Missouri; Cookstown, New Jersey; Farmington, New Mexico; Cincinnati, Ohio; McAlester, Oklahoma; Lansdale, Pennsylvania; Trenton, Texas; Salt Lake City, Utah; Southway and Glenrothes, United Kingdom; and Karlskoga, Sweden, with an estimated completion date of Feb. 22, 2023. Fiscal 2021 Foreign Military Sales (Spain) funds in the amount of $9,145,220 were obligated at the time of the award. U.S. Army Contracting Command, Newark, New Jersey, is the contracting activity.</t>
  </si>
  <si>
    <t>Engineering and Technical Support; Studies, Analysis, and Evaluations; and Management and Professional Services</t>
  </si>
  <si>
    <t>Parsons Government Services, Huntsville, Alabama, is being awarded a competitive cost-plus-fixed-fee level-of-effort contract.  The total value of this contract is $2,241,762,696.  Under this new contract, the contractor will provide support that includes: engineering and technical support; studies, analysis, and evaluations; and management and professional services.  The work will be performed in Huntsville, Alabama; Fort Belvoir, Virginia; Colorado Springs, Colorado; Fort Greely, Alaska; Moorestown, New Jersey; Hanscom Air Force Base, Massachusetts; Phoenix, Arizona; Orlando, Florida; and Salt Lake City, Utah. The performance period is from July 2021 to January 2029. This contract was competitively procured via publication on the beta.SAM.gov website with two proposals received.  Fiscal 2021 research, development, test and evaluation funds in the amount of $36,407,574 are being obligated on this award.  The Missile Defense Agency, Huntsville, Alabama, is the contracting activity (HQ0858-21-C-0015).</t>
  </si>
  <si>
    <t>https://www.defense.gov/News/Contracts/Contract/Article/2661059/</t>
  </si>
  <si>
    <t>Test Support Services</t>
  </si>
  <si>
    <t>Mobius Parsons Solutions LLC,*** Alexandria, Virginia, is being awarded a competitive cost-plus fixed fee level-of-effort contract.  The total value of this contract is $566,667,195. Under this new contract, the contractor will provide test support services.  The work will be performed in Albuquerque, New Mexico; Bedford, Massachusetts; Colorado Springs, Colorado; Dahlgren, Virginia; Kwajalein Atoll; Wake Island; Honolulu, Hawaii; Huntsville, Alabama; Kauai, Hawaii; Vandenberg Air Force Base, California; and other locations as directed. The performance period is from September 2021 through September 2027. This contract was competitively procured via publication on the beta.SAM.gov website with two proposals received.  Fiscal 2021 research, development, test and evaluation funds in the amount of $3,727,363 are being obligated at time of award.  The Missile Defense Agency, Huntsville, Alabama, is the contracting activity (HQ0858-21-C-0014).</t>
  </si>
  <si>
    <t>Trident SSI Increment 8</t>
  </si>
  <si>
    <t>Inertial Navigation Systems and Associated Inertial Spares</t>
  </si>
  <si>
    <t>The Lockheed Martin Corp., Rotary and Mission Systems, Mitchel Field, New York, is awarded a $191,183,328 firm-fixed-price contract for the U.S. and United Kingdom to provide strategic weapon system Trident SSI Increment 8 production of inertial navigation systems and associated inertial spares for the Ohio and Columbia ballistic missile submarine shallow water submersible platforms for the fleet ballistic missile program. Work will be performed in Heath, Ohio (67%); Huntington Beach, California (21%); Mitchel Field, New York (9%); and Manassas, Virginia (3%), with an expected completion date of Feb. 28, 2028.  Fiscal 2021 other procurement (Navy) contract funds in the amount of $31,321,581 will be obligated; and fiscal 2021 shipbuilding and conversion (Navy) contract funds in the amount of $8,805,772, will be obligated on initial award.  No funds will expire at the end of the current fiscal year.  This contract was a sole-source acquisition in accordance with 10 U.S. Code 2304(c)(1) and (4). Strategic Systems Programs, Washington, D.C., is the contracting activity (N00030-21-C-0015).</t>
  </si>
  <si>
    <t>Submarine Materials</t>
  </si>
  <si>
    <t>Globe Composite Solutions, Stoughton, Massachusetts (N00167-21-D-0003); Goodrich Corp., Jacksonville, Florida (N00167-21-D-0004); and Westland Technologies Inc., Modesto, California (N00167-21-D-0005), is awarded a combined maximum dollar value of $72,000,000 for a firm-fixed-price, indefinite-delivery/indefinite-quantity, multiple award contract with a five-year ordering period for the procurement of submarine materials.  Each awardee will be awarded $1,000 (minimum contract guarantee per awardee) at contract award.  These three companies will have an opportunity to compete for individual delivery orders and all funding will be made available at the delivery order level as contracting actions occur.  All work will be performed at the contractors’ facilities (Stoughton, Massachusetts; Jacksonville, Florida; and Modesto, California), and is expected to be completed by June 2026.  Fiscal 2020 other procurement (Navy) funding in the amount of $3,000 will be obligated at the time of award and will not expire at the end of the current fiscal year.  These contracts were competitively procured through full and open competition and solicited through the system for award management website, with three offers received.  The Naval Surface Warfare Center, Carderock Division, Bethesda, Maryland, is the contracting activity.</t>
  </si>
  <si>
    <t>F/A-18 Hornet Fuel Tanks</t>
  </si>
  <si>
    <t>Meggitt Polymers and Composites, Rockmart, Georgia, has been awarded a maximum $8,476,025 delivery order (SPRPA1-21-F-R103) against a two-year long-term requirements contract (SPRPA1-20-D-001X) with three one-year option periods for F/A-18 aircraft fuel tanks.  This was a sole-source acquisition using justification 10 U.S. Code 2304 (c)(1), as stated in Federal Acquisition Regulations 6.302-1. Location of performance is Georgia, with an April 28, 2023, performance completion date. Using military service is Navy. Type of appropriation is fiscal 2021 Navy working capital funds. The contracting activity is the Defense Logistics Agency Aviation, Philadelphia, Pennsylvania.</t>
  </si>
  <si>
    <t>Fast Event-based Neuromorphic Camera and Electronics (FENCE)</t>
  </si>
  <si>
    <t>Raytheon Co., El Segundo, California, was awarded an $8,842,171 cost-plus-fixed-fee completion contract for a Defense Advanced Research Projects Agency research project for the Fast Event-based Neuromorphic Camera and Electronics (FENCE) program.  The FENCE program seeks to develop and demonstrate a low-latency, low-power, event-based camera and a new class of signal processing and learning algorithms that uses combined spatial and temporal (spatio-temporal) information to enable intelligent sensors for tactical Department of Defense applications.  Work will be performed in Goleta, California (53%); Cambridge, Massachusetts (17%); El Segundo, California (15%); McKinney, Texas (10%); Tempe, Arizona (3%); New York, New York (1%); and Tewksbury, Massachusetts (1%), with an expected completion date of May 2025.  Fiscal 2021 research, development, test and evaluation funds in the amount of $4,864,730 are being obligated at time of award.  This contract is a competitive acquisition in which nine proposals were received in response to broad agency announcement HR0011-21-S-0001.  The Defense Advanced Research Projects Agency, Arlington, Virginia, is the contracting activity (HR0011-21-C-0134).</t>
  </si>
  <si>
    <t>Heating system repairs</t>
  </si>
  <si>
    <t>Advanced Technology Construction Corp.,* Olympia, Washington (N44255-21-D-2000); Environet Inc.,* Kamuela, Hawaii (N44255-21-D-2001); I. E. Pacific Inc.,* Escondido, California (N44255-21-D-2002); Sea Pac Engineering Inc.,* Los Angeles, California (N44255-21-D-2003); Shape Construction Inc.,* Poulsbo, Washington (N44255-21-D-2004); and Veterans NW Construction,* Seattle, Washington (N44255-21-D-2005), are each awarded an indefinite-delivery/indefinite-quantity, multiple award construction contract for projects located primarily within the Naval Facilities Engineering Systems Command (NAVFAC) Northwest area of responsibility (AOR).  The maximum dollar value including the base period and four option periods for all six contracts combined is $240,000,000.  A seed project task order for heating system repairs at the Puget Sound Naval Shipyard, Bremerton, Washington, is awarded at this time to Environet Inc., in the amount of $3,446,610.  Types of projects include new construction, repair, alteration, demolition and renovation of commercial and institutional facilities, administrative and industrial facilities, housing facilities, warehouses, hangars and fire stations.  Work for this task order is expected to be completed by November 2022.  All work on this contract will be performed primarily within the NAVFAC Northwest AOR which includes Washington (92%); Oregon (2%); Alaska (2%); Idaho (1%); Montana (1%); Wyoming (1%); and remainder of the U.S. (1%).  The term of the contract is not to exceed 60 months, with an expected completion date of June 2026.  Fiscal 2021 operation and maintenance (Navy) contract funds in the amount of $3,471,610 (includes $3,446,610 for the initial seed project and $5,000 for each of the five firms in guaranteed minimums) are obligated on this award and will expire at the end of the current fiscal year.  Future task orders will be primarily funded by military construction (Navy); operation and maintenance (Navy); and Defense working capital funds.  This contract was competitively procured via the beta.SAM.gov website with 21 proposals received.  These six contractors may compete for task orders under the terms and conditions of the awarded contract.  Naval Facilities Engineering Systems Command, Northwest, Silverdale, Washington, is the contracting activity.</t>
  </si>
  <si>
    <t>Naval Facilities Engineering Systems Command (NAVFAC) Northwest area of responsibility (AOR)</t>
  </si>
  <si>
    <t>This contract is part of the contract N44255-21-D-2000</t>
  </si>
  <si>
    <t>Force on Force Training Systems-Next (FoFTS-Next)</t>
  </si>
  <si>
    <t>Saab Inc., Orlando, Florida, is awarded a $53,805,000 undefinitized contract for force on force training systems-next (FoFTS-Next).  The FoFTS-Next is the next generation of instrumented – tactical engagement simulation system (I-TESS) for the Marine Corps.  The FoFTS-Next Increment 1 consists of instrumentation systems for individuals, vehicles, buildings and weapons.  FoFTS-Next Increment 1 also encompasses the command and control and network systems required to transport, process and display data from the instrumentation.  The contract contains 68 option contract line items, which if exercised would increase the cumulative contract value to $127,868,001.  Work will be performed at the following locations:  Huskvarna, Sweden (66%); Orlando, Florida (17%); Stafford, Virginia (5%); Twentynine Palms, California (2%); Camp Pendleton, California (2%); Camp Lejeune, North Carolina (1%); Kaneohe Bay, Hawaii (1%); with the remaining work locations (7%) to be determined at definitization.  Work is expected to be completed by June 2024.  Fiscal 2019 procurement (Marine Corps) contract funds in the amount of $24,055,000 are obligated on this award and will expire at the end of the current fiscal year.  Fiscal 2020 procurement (Marine Corps) contract funds in the amount of $29,750,000 are obligated on this award and will not expire at the end of the current fiscal year.  This contract was awarded under the authority of 10 U.S. Code 2371b using competitive procedures.  Marine Corps Systems Command, Program Manager Training Systems, Orlando, Florida, is the contracting activity (M67854-21-C-8051).</t>
  </si>
  <si>
    <t>RQ-21A Blackjack; MQ-27 ScanEagle</t>
  </si>
  <si>
    <t>Insitu Inc., Bingen, Washington, is awarded a $12,514,386 modification (P00017) to previously awarded firm-fixed-price, indefinite-delivery/indefinite-quantity contract N00019-19-D-0033.  This modification increases the ceiling to provide additional air vehicles, support equipment and spares in support of the RQ-21A Blackjack Unmanned Aircraft Systems (UASs) and ScanEagle UAS for the Navy and Foreign Military Sales customers.  Work will be performed in Bingen, Washington (83%); various locations outside the continental U.S. (12%); and various locations within the continental U.S. (5%), and is expected to be completed in June 2022.  No funds will be obligated at the time of award; funds will be obligated on individual orders as they are issued.  The Naval Air Systems Command, Patuxent River, Maryland, is the contracting activity.</t>
  </si>
  <si>
    <t>https://www.defense.gov/News/Contracts/Contract/Article/2662720/</t>
  </si>
  <si>
    <t>This contract involve FMS customers. However, FMS customers and funds not mentioned</t>
  </si>
  <si>
    <t>Independence-class</t>
  </si>
  <si>
    <t>USS Canberra (LCS 30)</t>
  </si>
  <si>
    <t>Austal USA, Mobile, Alabama, is awarded a $10,605,201 cost-plus-fixed-fee and cost-only modification to previously awarded contract N00024-17-C-2301 to exercise an option for littoral combat ship industrial post-delivery availability support for USS Canberra (LCS 30).  Work will be performed in Mobile, Alabama (80%); and Pittsfield, Massachusetts (20%), and is expected to be completed by May 2022.  Fiscal 2021 shipbuilding and conversion (Navy) funds in the amount of $5,000,000 will be obligated at time of award and will not expire at the end of the current fiscal year.  The Naval Sea Systems Command, Washington, D.C., is the contracting activity.</t>
  </si>
  <si>
    <t>USS Daniel Inouye (DDG-118)</t>
  </si>
  <si>
    <t>General Dynamics, Bath Iron Works, Bath, Maine is awarded a $9,080,929 cost-plus-award-fee order N62786-21-F-0020, against previously awarded basic ordering agreement N00024-16-G-2301 to provide planning, management and emergent availability support for USS Daniel Inouye (DDG 118).  Work will be performed in Bath, Maine (65%); and Pearl Harbor, Hawaii (35%), and is expected to be completed by September 2022.  Funding in the amount of $8,504,999 will be obligated at time of award.  Fiscal 2021 shipbuilding and conversion (Navy) funds in the amount of $8,504,999 (94%) will be obligated at time of award and will not expire at the end of the current fiscal year.  The Supervisor of Shipbuilding, Bath, Maine, is the contracting activity.</t>
  </si>
  <si>
    <t>Commercial Shelters</t>
  </si>
  <si>
    <t>Weatherhaven Resources Inc.,* Blaine, Washington, has been awarded a maximum $200,000,000 firm-fixed-price, indefinite-delivery/indefinite-quantity contract under solicitation SPE1C1-18-R-0003 for commercial shelters.  This was a competitive acquisition with 15 responses received.  This is a one-year base contract with three one-year option periods.  Location of performance is Washington, with a June 17, 2022, ordering period end date.  Using military services are Army, Air Force, Navy and Marine Corps.  Type of appropriation is fiscal 2021 through 2022 defense working capital funds.  The contracting activity is the Defense Logistics Agency, Troop Support, Philadelphia, Pennsylvania (SPE1C1-21-D-1475).</t>
  </si>
  <si>
    <t>Plug-In Optronic Payload (POP)</t>
  </si>
  <si>
    <t>Shadow Plug-In Optronic 300 Series</t>
  </si>
  <si>
    <t>Stark Aerospace Inc., Columbus, Mississippi, was awarded a $56,087,580 firm-fixed-price contract for sustainment services of the Shadow Plug-In Optronic 300 series payloads in support of product manager Aerial Enhanced Radar, Optics, and Sensors.  Bids were solicited via the internet with one received.  Work locations and funding will be determined with each order, with an estimated completion date of July 25, 2026.  U.S. Army Contracting Command, Aberdeen Proving Ground, Maryland, is the contracting activity (W56KGY-21-D-0005).</t>
  </si>
  <si>
    <t>C-5 Isochronal Hangar</t>
  </si>
  <si>
    <t>Cianbro - A/Z JV, Pittsfield, Maine, was awarded a $46,421,000 firm-fixed-price contract for construction of the regional C-5 aircraft isochronal maintenance hangar at Westover Air Reserve Base, Maine.  Bids were solicited via the internet with six received.  Work will be performed in Chicopee, Maine, with an estimated completion date of June 30, 2023.  Fiscal 2017 and 2019 military construction (Defense-wide) funds in the amount of $46,421,000 were obligated at the time of the award.  U.S. Army Corps of Engineers, Louisville, Kentucky, is the contracting activity (W912QR-21-C-0025).</t>
  </si>
  <si>
    <t>Tail Rotor Blades Part Numbers</t>
  </si>
  <si>
    <t>The Boeing Co., Mesa, Arizona, was awarded a $32,577,153 modification (P00082) to contract W58RGZ-16-C-0023 to incorporate a directed change order for the remanufacture of twelve Apache aircraft and six-part numbers for the tail rotor blades.  Work will be performed in Mesa, Arizona, with an estimated completion date of Oct. 1, 2024.  Fiscal 2021 aircraft procurement (Army) funds in the amount of $33,040,693 were obligated at the time of the award.  U.S. Army Contracting Command, Redstone Arsenal, Alabama, is the contracting activity.</t>
  </si>
  <si>
    <t>This contract is part of the contract P00082</t>
  </si>
  <si>
    <t>AGM-114 HELLFIRE; AGM-179 Joint Air-to-Ground Missile (JAGM)</t>
  </si>
  <si>
    <t>Lockheed Martin Corp., Orlando, Florida, was awarded a $9,394,407 modification (P00059) to contract W31P4Q-19-C-0071 for HELLFIRE and Joint-Air-to-Ground Missile engineering services.  Work will be performed in Orlando, Florida, with an estimated completion date of June 16, 2023.  Fiscal 2021 research, development, test and evaluation (Air Force) funds; 2019 missile procurement (Air force) funds; 2021 operation and maintenance (Army) funds; 2020 weapons procurement (Navy) funds; 2021 missile procurement (Army) funds; 2021 weapons procurement (Navy) funds; and 2021 missile procurement (Air Force) funds, in the amount of $9,394,407 were obligated at the time of the award.  U.S. Army Contracting Command, Redstone Arsenal, Alabama, is the contracting activity.</t>
  </si>
  <si>
    <t>https://www.defense.gov/News/Contracts/Contract/Article/2665060/</t>
  </si>
  <si>
    <t>The Boeing Co., Mesa, Arizona, was awarded a $169,460,000 firm-fixed-price contract to support the Apache full-rate production Lot 12 long lead effort.  Bids were solicited via the internet with one received.  Work will be performed in Mesa, Arizona, with an estimated completion date of May 31, 2027.  Fiscal 2021 aircraft procurement (Army) funds in the amount of $169,460,000 were obligated at the time of the award.  U.S. Army Contracting Command, Redstone Arsenal, Alabama, is the contracting activity (W58RGZ-21-C-0015). (Awarded June 18, 2021)</t>
  </si>
  <si>
    <t>Dell Marketing L.P., Round Rock, Texas (N66001-21-A-0084) is being awarded an estimated $155,300,000; and Insight Public Sector Inc., Herndon, Virginia (N66001-21-A-0085) is being awarded an estimated $161,500,000, short-term, single-award, firm-fixed-price blanket purchase agreement under the Department of Defense Enterprise Software Initiative (DoD ESI) in accordance with Defense Federal Acquisition Regulation System (DFAR) 208.74.  The DoD ESI streamlines software licensing acquisition and provides information technology products that are compliant with DoD technical standards and represent the best value for the DoD.  This agreement will provide commercially available perpetual licenses, software assurance, user-based subscription licenses to include Microsoft 365, Microsoft Azure and client access licenses among others.  This agreement will be used by the Department of Navy to include the Marine Corp and Coast Guard when authorized under the provisions of 14 U.S. Code (U.S.C.) Section 3 and Section 145; 10 U.S.C. Section 2571; and 31 U.S.C. Section 1535.  The total value of this award is $316,800,000.  The ordering period will be for a total of six months from June 17, 2021, through Dec. 16, 2021.  This agreement will not obligate funds at the time of award.  Funds will be obligated via delivery orders using operation and maintenance (Navy) funds.  Future requirements will be procured in accordance with DFAR 8.405-3(c)(1).  This action was sole-sourced under the authority of DFAR 8.405-6(a)(1)(i)(a) urgent and compelling.  Naval Information Warfare Center Pacific, San Diego, California, is the contracting activity. (Awarded June 16, 2021)</t>
  </si>
  <si>
    <t>F-35A; F-35B</t>
  </si>
  <si>
    <t>Development and Integration of Weapons Capabilities</t>
  </si>
  <si>
    <t>Lockheed Martin Corp., Lockheed Martin Aeronautics Co., Fort Worth, Texas, is awarded a not-to-exceed $472,469,642 undefinitized contract modification (P00041) to previously awarded cost-plus-incentive-fee contract N00019-19-C-0010.  This modification adds scope to further develop and integrate three unique weapons capabilities through system functional review to development test complete on the F-35A and F-35B aircraft for the governments of the United Kingdom and Italy.  Work will be performed in Fort Worth, Texas (39%); Stevenage, United Kingdom (36%); Samlesbury, United Kingdom (12%); El Segundo, California (4%); Baltimore, Maryland (3%); Harlow, United Kingdom (2%); Tucson, Arizona (2%); Orlando, Florida (1%); and Amityville, New York (1%), and is expected to be completed in March 2026.  Non-Department of Defense participant funds in the amount of $116,462,707 will be obligated at time of award, none of which will expire at the end of the current fiscal year.  The Naval Air Systems Command, Patuxent River, Maryland, is the contracting activity. (Awarded June 18, 2021)</t>
  </si>
  <si>
    <t>This contract is part of contract P00041. Funds for Government of UK and Italy are non DoD funds.</t>
  </si>
  <si>
    <t>Naval Facilities Engineering Systems Command (NAVFAC) Mid-Atlantic area of responsibility (AOR)</t>
  </si>
  <si>
    <t>Benaka Inc.,* New Brunswick, New Jersey (N40085-21-D-0052); CCI Utility and Construction Services LLC,* Anchorage, Alaska (N40085-21-D-0053); Kunj Construction Corp.,* Northvale, New Jersey (N40085-21-D-0054); Ocean Construction Services,* Virginia Beach, Virginia (N40085-21-D-0055); PEM-Harkins JV,* Columbus, Ohio (N40085-21-D-0056) and Tantara Corp.,* Worcester, Massachusetts (N40085-21-D-0057), were each awarded an indefinite-delivery/indefinite-quantity, multiple award construction contract for facilities within the Naval Facilities Engineering Systems Command (NAVFAC) Mid-Atlantic area of responsibility (AOR).  The maximum dollar value including the base period and four option years for all five contracts combined is $249,000,000.  Types of projects include construction, demolition, repair, alteration and renovation of buildings, systems and infrastructure.  All work on these contracts will be performed primarily in the NAVFAC Mid-Atlantic AOR to include Connecticut (15%); Delaware (1%); Maine (10%); Massachusetts (1%); New Hampshire (5%); New Jersey (10%); New York (2%); Pennsylvania (40%); Rhodes Island (15%); and Vermont (1%).  Fiscal 2021 contract funds in the amount of $30,000 are obligated on the six minimum guarantee task order awards and will not expire at the end of the current fiscal year.  The term of the contract is not-to-exceed 60 months, with an expected completion of June 2026.  Future task orders will be primarily funded by operation and maintenance (Navy); and military construction (Navy) funds.  This contract was competitively procured via the beta.SAM.gov website with 10 proposals received.  These six contractors may compete for task orders under the terms and conditions of the awarded contract.  NAVFAC Mid-Atlantic, Norfolk, Virginia, is the contracting activity. (Awarded June 17, 2021)</t>
  </si>
  <si>
    <t>Contract Line Item Numbers for Systems Engineering and Technical Services for Hardware and Software Interfaces</t>
  </si>
  <si>
    <t>Lockheed Martin Rotary and Mission Systems, Manassas, Virginia, is awarded an $85,563,849 indefinite-delivery/indefinite-quantity contract with cost-plus-fixed-fee and firm-fixed-price contract line item numbers for systems engineering and technical services for hardware and software interfaces.  Work will be performed in Manassas, Virginia (50%); West Bethesda, Maryland (43%); San Diego, California (1%); Bangor, Washington (1%); Pearl Harbor, Hawaii (1%); Kings Bay, Georgia (1%); Norfolk, Virginia (1%); Dahlgren, Virginia (1%); and New London, Connecticut (1%), and is expected to be completed by June 2027.  Fiscal 2021 other procurement (Navy) (72%) funds in the amount of $10,326,201; 2020 other procurement (Navy) (13%) funds in the amount of $1,856,497; 2021 research, development, test and evaluation (Navy) (6%) funds in the amount of $866,000; 2021 operation and maintenance (Navy) (6%) funds in the amount of $800,000; and 2018 shipbuilding and conversion (Navy) (3%) funds in the amount of $400,000 will be obligated at time of award, of which, funds in the amount of $800,000 will expire at the end of the current fiscal year.  This contract was not competitively procured in accordance with 10 U.S. Code 2304(c)(1) — only one responsible source and no other supplies or services will satisfy agency requirements.  The Naval Surface Warfare Center, Carderock Division, West Bethesda, Maryland, is the contracting activity (N00167-21-D-0007). (Awarded June 18, 2021)</t>
  </si>
  <si>
    <t>Spare Parts and Support</t>
  </si>
  <si>
    <t>Sikorsky Aircraft Corp., a Lockheed Martin Co., Stratford, Connecticut, is awarded a $73,221,421 modification (P00008) to firm-fixed-price order N00019-21-F-0434 against previously issued basic ordering agreement N00019-19-G-0029.  This modification adds scope to procure 362 spare parts and support required for the repair and maintenance of the CH-53K low rate initial production configuration aircraft.  Work will be performed in Stratford, Connecticut (35.34%); Stamford, Connecticut (8.83%); Quebec, Canada (7.22%); Seattle, Washington (4.23%); Pottsville, Pennsylvania (2.86%); Slough, United Kingdom (2.64%); Jackson, Mississippi (2.55%); Cudahy, Wisconsin (2.08%); Windsor Locks, Connecticut (1.96%); Los Angeles, California (1.87%); Stratford, Canada (1.47%); Cromwell, Connecticut (1.43%); Enfield, Connecticut (1.25%); Lindenhurst, New York (1.23%); Creston, Iowa (1.15%); Grapevine, Texas (1.06%); Waltham, Massachusetts (1.06%); various locations within the continental U.S. (21.09%); and various locations outside the continental U.S. (0.68%), and is expected to be completed in December 2026.  Fiscal 2021 aircraft procurement (Navy) funds in the amount of $73,221,421 will be obligated at the time of award, none of which will expire at the end of the current fiscal year.  The Naval Air Systems Command, Patuxent River, Maryland, is the contracting activity. (Awarded June 18, 2021)</t>
  </si>
  <si>
    <t>Aegis Combat System Development Test Sites Operation and Maintenance</t>
  </si>
  <si>
    <t>Lockheed Martin Corp., Rotary and Mission Systems, Moorestown, New Jersey, is awarded a $70,118,939 cost-plus-incentive-fee and cost-plus-fixed-fee modification to previously-awarded contract N00024-18-C-5103 to exercise Option Year Three in support of Aegis development test sites operation and maintenance.  Work will be performed in Moorestown, New Jersey, and is expected to be completed by June 2022.  This contract combines purchases for the U.S. government (66%) and the government of Japan (5%); and the Commonwealth of Australia (4%); South Korea (3%); and Spain (1%), under the Foreign Military Sales (FMS) program.  Fiscal 2014 shipbuilding and conversion (Navy) (36%) funds in the amount of $6,339,622; FMS Japan (26%) funds in the amount of $4,499,012; 2021 research, development, test and evaluation (Navy) (20%) funds in the amount of $3,584,901; 2021 operation and maintenance (Navy) (5%) funds in the amount of $884,395; 2021 operation and maintenance (MDA) (4%) funds in the amount of $712,558; FMS Australia (4%) funds in the amount of $666,854; FMS South Korea (3%) funds in the amount of $507,474; 2021; other procurement (Navy) (1%) funds in the amount of $139,515; and FMS Spain (1%) funds in the amount of $3,934, will be obligated at time of award.  Funds in the amount of $1,596,953 will expire at the end of the current fiscal year.  The Naval Sea Systems Command, Washington, D.C., is the contracting activity. (Awarded June 17, 2021)</t>
  </si>
  <si>
    <t>This contract is part of the contract N00024-18-C-5103</t>
  </si>
  <si>
    <t>Engineering Support</t>
  </si>
  <si>
    <t>Lockheed Martin Corp., Lockheed Martin Aeronautics Co., Fort Worth, Texas, is awarded a not-to-exceed $49,175,235 undefinitized cost reimbursable order (N00019-21-F-0836) against previously issued basic ordering agreement N00019-19-G-0008.  This order provides engineering support to address deficiencies for production and modifications of F-35 Joint Strike Fighter aircraft and delivery of associated technical data for the Navy, Marine Corps and the Air Force.  Work will be performed in Fort Worth, Texas, and is expected to be completed in March 2024.  Fiscal 2021 aircraft procurement (Air Force) funds in the amount $4,901,961; fiscal 2019 aircraft procurement (Navy) funds in the amount of $17,195,771; and fiscal 2019 aircraft procurement funds (Air Force) in the amount of $2,489,885, will be obligated at the time of award, $19,685,656 of which will expire at the end of the current fiscal year.  The Naval Air Systems Command, Patuxent River, Maryland, is the contracting activity. (Awarded June 18, 2021)</t>
  </si>
  <si>
    <t>V-22 Osprey</t>
  </si>
  <si>
    <t>V-22 Software Support Activity systems</t>
  </si>
  <si>
    <t>Raytheon Co., Intelligence, Information and Services, Indianapolis, Indiana, is awarded a $17,016,793 modification (P00018) to previously awarded cost reimbursable, cost-plus-fixed-fee order N00421-19-F-0531 issued under basic ordering agreement N00019-15-G-0003.  This modification exercises an option to provide software engineering and testing, avionics integration and testing and avionics acquisition support to include classified and unclassified laboratories, configuration and data management and release of avionics software products and related systems in support of V-22 Software Support Activity systems.  Work will be performed in Indianapolis, Indiana, and is expected to be completed in December 2023.  Fiscal 2021 operation and maintenance (Air Force) funds in the amount of $4,605,114; fiscal 2021 aircraft procurement (Air Force) funds in the amount of 1,206,933; fiscal 2021 operation and maintenance (Department of Defense (DoD)) funds in the amount of $988,118; fiscal 2021 aircraft procurement (Navy) funds in the amount of $767,668; fiscal 2021 research, development, test and evaluation (Navy) funds in the amount of $433,859; and fiscal 2021 procurement (DoD) funds in the amount of $362,423, will be obligated at time of award, $5,593,232 of which will expire at the end of the current fiscal year.  The Naval Air Warfare Center Aircraft Division, Patuxent River, Maryland, is the contracting activity. (Awarded June 18, 2021)</t>
  </si>
  <si>
    <t>F-35 and F-22 Joint Simulation Environment (JSE) Flight Simulation Visual Display Systems</t>
  </si>
  <si>
    <t>Image Generation Systems</t>
  </si>
  <si>
    <t>Aechelon Technology, San Francisco, California, has been awarded a $24,069,170, firm-fixed price, C-type option contract for Image Generation Systems.  Image Generators are required to support high fidelity F-35 and F-22 JSE Flight Simulation Visual Display Systems in Joint Simulation Environment.  Work will be performed at Edwards Air Force Base and Nellis AFB, and is expected to be completed by July 31, 2023, if option is exercised.  This award is the result of a non-competitive, sole-source acquisition.  Fiscal 2020 research, development, test and evaluation funds in the amount of $20,252,904 are being obligated at the time of the award.  The Air Force Training Center, Edwards AFB, is the contracting activity (FA9302-21-C-0011). (Awarded June 18, 2021)</t>
  </si>
  <si>
    <t xml:space="preserve">Wideband Global Satellite Communications (WGS) </t>
  </si>
  <si>
    <t>WGS-11</t>
  </si>
  <si>
    <t>The Boeing Co., El Segundo, California, has been awarded a $20,601,818 firm-fixed-price modification (P00127) to previously awarded contract FA8808-10-C-0001 for the launch and mission operations design and products effort for the Wideband Global Satellite Communication space vehicle 11.  Work will be performed in El Segundo, California, and is expected to be complete by June 24, 2024.  Fiscal 2021 procurement funds in the amount of $20,601,818 are being obligated at the time of award.  This modification brings the total cumulative face value of the contract to $2,535,155,954.  Space and Missile Systems Center, Los Angeles Air Force Base, California, is the contracting activity.</t>
  </si>
  <si>
    <t>H-47</t>
  </si>
  <si>
    <t>The Boeing Co., Ridley Park, Pennsylvania, received a delivery order in the amount of $580,598,636 on a previously negotiated option under a basic ordering agreement W91215-16-G-0001 for 14 H-47 extended range rotary wing aircraft that satisfy the United Kingdom’s requirement for heavy assault, rotary wing aircraft.  This modification exercises an option that was awarded on an existing delivery order.  Foreign Military Sales funding from the United Kingdom in the amount of $580,598,636 is being obligated at the time of award.  The majority of the work will be performed in Ridley Park, Pennsylvania, and is expected to be completed by July 2026.  This is a non-competitive award and is in accordance with Federal Acquisition Regulation 6.302-1.  U.S. Special Operations Command, Tampa, Florida, is the contracting activity.</t>
  </si>
  <si>
    <t>https://www.defense.gov/News/Contracts/Contract/Article/2667164/</t>
  </si>
  <si>
    <t>Aktarius LLC,* Panama City, Florida, is awarded a $65,000,000 indefinite-delivery/indefinite-quantity contract to provide expertise for all activities associated with the development, production, fielding, sustainment and disposal of shore, expeditionary and oceans systems across the lifecycle for Navy, Marine Corps, Department of Defense and other expeditionary customers.  An initial task order is being awarded at $150,000 to support test and evaluation, data management and analysis and research and development in Panama City, Florida.  Work for this task order is expected to be completed by June 2022.  The work to be performed is for engineering, integrated product support and technical services.  All work on this contract will be performed in Panama City, Florida, and various locations as indicated by each task order.  The term of the contract is not to exceed 60 months with a six-month option with an expected completion date of January 2027.  Fiscal 2021 research, development, test and evaluation (Navy) contract funds in the amount of $150,000 are obligated on this award and will not expire at the end of the current fiscal year.  Future task orders will be primarily funded by research, development, test and evaluation (Navy); other procurement (Navy); and operation and maintenance (Navy).  This contract was procured directly to an 8(a) Hawaiian Native-owned company under the solicitation number N39430-21-R-2311.  Naval Facilities Engineering Systems Command Engineering and Expeditionary Warfare Center, Port Hueneme, California, is the contracting activity (N39430-21-D-2206).</t>
  </si>
  <si>
    <t>Development, Production, Fielding, Sustainment and Disposal of Shore, Expeditionary and Oceans Systems Across the Lifecycle</t>
  </si>
  <si>
    <t>Littoral Combat Ship</t>
  </si>
  <si>
    <t>Littoral Combat Ship Class Design Services and Integrated Data and Product Model Environment Support</t>
  </si>
  <si>
    <t>Austal USA, Mobile, Alabama, is awarded a $44,384,296 cost-plus-fixed-fee, firm-fixed-price, and cost-only modification to previously awarded contract N00024-17-C-2301 to exercise an option for Littoral Combat Ship Class design services and integrated data and product model environment support.  Work will be performed in Mobile, Alabama (60%); and Pittsfield, Massachusetts (40%), and is expected to be completed by June 2022.  Fiscal 2018 shipbuilding and conversion (Navy) funds in the amount of $6,783,147 will be obligated at time of award and will not expire at the end of the current fiscal year.  The Naval Sea Systems Command, Washington, D.C., is the contracting activity.</t>
  </si>
  <si>
    <t>USS Carl M. Levin (DDG-120)</t>
  </si>
  <si>
    <t>Bath Iron Works, Bath, Maine, was awarded an $8,683,913 fixed-price incentive, firm target modification to previously awarded contract N00024-13-C-2305 to exercise an option for accomplishment of post- delivery availability work items for DDG 120.  Work will be performed in Bath, Maine (93%); Brunswick, Maine (6%); and other locations below 1% (collectively totaling less than 1%), and is expected to be completed by July 2022.  Fiscal 2013 shipbuilding and conversion (Navy) funding in the amount of $6,440,409 will be obligated at time of award and will not expire at the end of the current fiscal year.  Fiscal 2020 other procurement (Navy) funding in the amount of $2,243,962 will also be obligated at time of award and will expire at the end of the current fiscal year.  The Supervisor of Shipbuilding, Conversion and Repair, Bath, Maine, is the contracting activity. (Awarded June 21, 2021)</t>
  </si>
  <si>
    <t>Intelligence and Counter-Insider Threat advisory and assistance services</t>
  </si>
  <si>
    <t>Mobius Consulting LLC, Alexandria, Virginia, is being awarded a $64,455,271 competitive cost-plus-fixed-fee level-of-effort contract with a two-year base value of $13,295,467, two 2-year options, and one six-month option to extend services for Intelligence and Counter-Insider Threat advisory and assistance services.  The work will be performed in the National Capital Region; Dahlgren, Virginia; Huntsville, Alabama; Colorado Springs, Colorado; and other locations as directed with an estimated completion date of December 2027.  This contract was competitively procured via publication on the beta.SAM.gov website with three proposals evaluated.  Fiscal 2021 research, development, test and evaluation funds in the amount of $2,687,229.00 are being obligated at time of award.  The Missile Defense Agency, Huntsville, Alabama, is the contracting activity (HQ0858-21-C-0013).</t>
  </si>
  <si>
    <t>Saturn Arch Aerial Intelligence Systems Quick Reaction Capability</t>
  </si>
  <si>
    <t>Dash 8-300</t>
  </si>
  <si>
    <t>Leidos Inc., Reston, Virginia, was awarded a $12,757,260 modification (P00032) to contract W58RGZ-20-C-0024 for the Saturn Arch Aerial Intelligence Systems Quick Reaction Capability program.  Work will be performed in Reston, Virginia; Bridgewater, Virginia; and Huntsville, Alabama, with an estimated completion date of March 16, 2024.  Fiscal 2021 operation and maintenance (Army) funds in the amount of $12,757,260 were obligated at the time of the award.  U.S. Army Contracting Command, Redstone Arsenal, Alabama, is the contracting activity.</t>
  </si>
  <si>
    <t>New Construction and Related Site Work for Government facilities</t>
  </si>
  <si>
    <t>BL Harbert International, Birmingham, Alabama (W912HN-21-D-3000); Archer Western Federal JV, Chicago, Illinois (W912HN-21-D-3001); Hensel Phelps Construction Co., Orlando, Florida (W912HN-21-D-3002); JE Dunn Construction Co., Kansas City, Missouri (W912HN-21-D-3003); and Turner Construction, New York, New York (W912HN-21-D-3004), will compete for each order of the $950,000,000 firm-fixed-price contract for new construction relating to site work, fire protection, mechanical systems, plumbing, utility systems, structural, electrical, heating, ventilation and air conditioning, instrumentation, security and safety areas of government facilities.  Bids were solicited via the internet with 28 received.  Work locations and funding will be determined with each order, with an estimated completion date of June 22, 2026.  U.S. Army Corps of Engineers, Savannah, Georgia, is the contracting activity.</t>
  </si>
  <si>
    <t>Range Threat Systems Branch</t>
  </si>
  <si>
    <t>Advanced Radar Threat Systems (ARTS); Joint Threat Emitter (JTE); Branch Modernization Programs</t>
  </si>
  <si>
    <t>Amentum Services Inc., Germantown, Maryland (FA8210-21-D-0002); Applied Research Associates Inc., Albuquerque, New Mexico (FA8210-21-D-0003); Booz Allen Hamilton Inc., McLean, Virginia (FA8210-21-D-0004); Ball Aerospace &amp; Technologies Corp., Boulder, Colorado (FA8210-21-D-0005); Dynetics Inc., Huntsville, Alabama (FA8210-21-D-0006); EWA Government Systems Inc., Herndon, Virginia (FA8210-21-D-0007); Georgia Tech Applied Research Corp., Atlanta, Georgia (FA8210-21-D-0008); IERUS Technologies Inc., Huntsville, Alabama (FA8210-21-D-0009); KIHOMAC Inc., Reston, Virginia (FA8210-21-D-0010); DRS Training &amp; Control Systems LLC, Fort Walton Beach, Florida (FA8210-21-D-0011); Lockheed Martin Corp., Grand Prairie, Texas (FA8210-21-D-0012); Amherst Systems Inc., Buffalo, New York (FA8210-21-D-0013); Radiance Technologies Inc., Huntsville, Alabama (FA8210-21-D-0014); Raytheon Co., Tewksbury, Massachusetts (FA8210-21-D-0015); Saab Inc., Syracuse, New York (FA8210-21-D-0016); Scientific Research Corp., Atlanta, Georgia (FA8210-21-D-0017); Signature Research Inc., Calumet, Michigan (FA8210-21-D-0018); SRC Inc., Syracuse, New York (FA8210-21-D-0019); Technology Service Corp., Arlington, Virginia (FA8210-21-D-0020); and Viasat Inc., Tempe, Arizona (FA8210-21-D-0021), have been awarded a not-to-exceed $950,000,000 multiple-award, indefinite-delivery/indefinite-quantity contract for support of Range Threat Systems Branch, including Advanced Radar Threat Systems, Joint Treat Emitter and Branch Modernization programs.  This entails threat radar systems, along with supporting tools and infrastructure to the Air Force combat training ranges.  Work will be performed at Hill Air Force Base, Utah, and/or at the contractor’s facility, depending on the individual task order, and is expected to be completed June 22, 2027.  This award is the result of a competitive acquisition with 20 offers received.  Fiscal 2021 research, development, test and evaluations funds in the amount of $5,000 are being awarded to each contractor at the time of award.  Air Force Life Cycle Management Center, Hill Air Force Base, Utah, is the contracting activity.</t>
  </si>
  <si>
    <t>https://www.defense.gov/News/Contracts/Contract/Article/2669117/</t>
  </si>
  <si>
    <t>MK 15 Close-In Weapon System (CIWS)</t>
  </si>
  <si>
    <t>MK 15 Close-In Weapon System (CIWS) Upgrades and Conversions, System Overhauls and Associated Hardware</t>
  </si>
  <si>
    <t>Raytheon Missiles &amp; Defense, Tucson, Arizona, is awarded a $136,470,802 firm-fixed-price contract for MK 15 close-in weapon system upgrades and conversions, system overhauls and associated hardware.  This contract includes options which, if exercised, would bring the cumulative value of this contract to $344,400,000.  This contract combines purchases for the Navy (85%); and the government of South Korea (15%), under the foreign military sales (FMS) program.  Work will be performed in Louisville, Kentucky (33%); El Segundo, California (10%); Pittsburgh, Pennsylvania (6%); Williston, Vermont (5%); Tucson, Arizona (5%); Hauppauge, New York (2%); Andover, Massachusetts (2%); Melbourne, Florida (2%); Radford, Virginia (2%); Palo Alto, California (2%); Joplin, Missouri (1%); Tempe, Arizona (1%); Van Nuys California (1%); Anaheim, California (1%); Valencia, California (1%); Irvine, California (1%); East Syracuse, New York (1%); and various locations with less than 1% each (24% combined) and is expected to be completed by April 2024.  If all options are exercised, work will continue through September 2026.  Fiscal 2021 operation and maintenance (Navy) (61%) funds in the amount of $78,220,272; FMS (South Korea) (16%) funds in the amount of $20,314,585; 2021 shipbuilding and conversion (Navy) (10%) funds in the amount of $13,230,676; 2021 weapons procurement (Navy) (8%) funds in the amount of $9,825,994; and 2020 weapons procurement (Navy) (5%) funds in the amount of $6,279,275, will be obligated at time of award, of which, funding in the amount of $78,220,272 will expire at the end of the current fiscal year.  This contract was not competitively procured in accordance with 10 U.S. Code 2304(c)(1); only one responsible source and no other supplies or services will satisfy agency requirements.  The Naval Sea Systems Command, Washington, D.C., is the contracting activity (N00024-21-C-5406).</t>
  </si>
  <si>
    <t>https://www.defense.gov/News/Contracts/Contract/Article/2670768/</t>
  </si>
  <si>
    <t>U.S. Strategic Command Information Technology Capabilities</t>
  </si>
  <si>
    <t>HP Enterprise Services, Herndon, Virginia, has been awarded a $443,779,321 firm-fixed-price, cost-plus-incentive-fee, cost-plus-fixed-fee, cost-reimbursement contract for the U.S. Strategic Command Information Technology Capabilities.  This contract will provide services, capabilities and functions to include information technology infrastructure, mission critical systems and applications.  Work will be performed at Offutt Air Force Base, Nebraska, and is expected to be completed June 30, 2026.  No funds are being obligated at the time of award.  The 55th Contracting Squadron, Offutt AFB, Nebraska, is the contracting activity. (FA4600-21-D-0001).</t>
  </si>
  <si>
    <t>Design And Construction of the Michelson Laboratory Complex and Repair of Wings Six and Seven at the Michelson Laboratory</t>
  </si>
  <si>
    <t>RQ Construction LLC, Carlsbad, California, is awarded a $217,657,842 firm-fixed-price task order (N62473-21-F-4921) under a multiple award construction contract for the design and construction of the Michelson Laboratory Complex and repair of wings Six and Seven at the Michelson Laboratory building at Naval Air Weapons Station, China Lake.  The task order also contains 25 unexercised options, which if exercised, would increase cumulative task order value to $225,596,669.  The work to be performed provides for the design and construction of an industrial shop, environmental laboratory and a chemistry laboratory for advanced materials research and development.  Work will be performed in Ridgecrest, California, and is expected to be completed by August 2025.  Fiscal 2020 military construction (Navy) contract funds in the amount of $186,453,782; and fiscal 2021 Navy working capital funds in the amount of $31,204,060, for a total of $217,657,842, are obligated on this award, with the Navy working capital funds expiring at the end of the current fiscal year.  Four proposals were received for this task order.  Naval Facilities Engineering Systems Command, Southwest, San Diego, California, is the contracting activity (N62473-21-D-1211).</t>
  </si>
  <si>
    <t>Lockheed Martin Corp., Fort Worth, Texas, is awarded a not-to-exceed $19,066,327 undefinitized modification (P00005) to a previously awarded, cost-plus-fixed-fee contract (N0001920C0032). This modification adds scope to procure 16 Operational Data Integrated Network Base kits, to include software installation and integration support for the F-35 Lightning II Joint Strike Fighter program in support of the Navy, Air Force and non-U.S. Department of Defense (DOD) participants. Work will be performed in Fort Worth, Texas, and is expected to be completed in January 2024. Fiscal 2021 aircraft procurement (Navy) funds in the amount of $4,051,967; fiscal 2021 aircraft procurement (Air Force) funds in the amount of $2,929,986; and non-DoD participants funds in the amount of $2,551,229 will be obligated at time of award, none of which will expire at the end of the current fiscal year. The Naval Air Systems Command, Patuxent River, Maryland, is the contracting activity.</t>
  </si>
  <si>
    <t>https://www.defense.gov/News/Contracts/Contract/Article/2702957/</t>
  </si>
  <si>
    <t>Operational Data Integrated Network (ODIN) Base kits</t>
  </si>
  <si>
    <t>This contract is part of the contract P00005</t>
  </si>
  <si>
    <t>Naval Air Weapons Station</t>
  </si>
  <si>
    <t>Range Control Complex</t>
  </si>
  <si>
    <t>Webcor Construction LP doing business as Webcor Builders, Alameda, California, is awarded a $113,295,656 firm-fixed-price task order (N62473-21-F-4923) under a multiple award construction contract for design and construction of a range control complex at Naval Air Weapons Station, China Lake.  The task order also contains 15 unexercised options, which if exercised, would increase cumulative task order value to $115,355,217.  The work to be performed includes design and construction of a range control complex consisting of four buildings, a range control center, range engineering and operations building, range instrumentation support facility and one building that will contain both the range fire control and missile assembly buildings.  Work will be performed in Ridgecrest, California, and is expected to be completed by January 2024.  Fiscal 2021 military construction (Navy) contract funds in the amount of $113,295,656 are obligated on this award and will not expire at the end of the current fiscal year.  Nine proposals were received for this task order.  Naval Facilities Engineering Systems Command, Southwest, San Diego, California, is the contracting activity (N62473-21-D-1214).</t>
  </si>
  <si>
    <t>F-5N+/F+ Avionics Reconfiguration and Tactical Enhancement/Modernization for Inventory Standardization</t>
  </si>
  <si>
    <t>F-5N+ kits</t>
  </si>
  <si>
    <t>F-5F+ kits</t>
  </si>
  <si>
    <t>Tactical Air Support Inc., Reno, Nevada, is awarded a $14,800,000 firm-fixed-price contract.  This contract provides for the procurement of six block upgrade system kits, consisting of four F-5N+ kits and two F-5F+ kits, in support of the F-5N+/F+ avionics reconfiguration and tactical enhancement/modernization for inventory standardization program.  Work will be performed in Jacksonville, Florida (28%); Olathe, Kansas (15%); Carlsbad, California (11%); Clarksburg, Maryland (10%); Grand Rapids, Michigan (7%); Woodland Hills, California (6%); Franklin, North Carolina (6%); Salt Lake City, Utah (4%); Minneapolis, Minnesota (3%); Warner Robbins, Georgia (2%); Camarillo, California (2%); Jupiter, Florida (2%); Avenel, New Jersey (1%); Fairborn, Ohio (1%); Deerfield, Illinois (1%); and Auburn, Alabama (1%), and is expected to be completed in August 2022.  Fiscal 2021 aircraft procurement (Navy) funds in the amount of $14,800,000 will be obligated at the time of award, none of which will expire at the end of the current fiscal year.  This contract was not competitively procured pursuant to Defense Federal Acquisition Regulation 6.302-1.  The Naval Air Warfare Center, Aircraft Division, Patuxent River, Maryland, is the contracting activity (N00421-21-C-0037).</t>
  </si>
  <si>
    <t>This contract is part of the contract N00421-21-C-0037</t>
  </si>
  <si>
    <t>Enhanced Side Ballistic Inserts (ESBIs)</t>
  </si>
  <si>
    <t>Leading Technology Composites Inc., doing business as LTC Inc., Wichita, Kansas, has been awarded a maximum $94,743,060 firm-fixed-price, indefinite-quantity contract for enhanced side ballistic inserts.  This was a competitive acquisition with five responses received.  This is a three-year six-month contract with no option periods.  Location of performance is Kansas, with a Dec. 23, 2024, ordering period end date.  Using customers are Army, Navy, Air Force, Marine Corps and Coast Guard.  Type of appropriation is fiscal 2021 through 2022 defense working capital funds.  The contracting activity is the Defense Logistics Agency, Troop Support, Philadelphia, Pennsylvania (SPE1C1-21-D-1461).</t>
  </si>
  <si>
    <t>Sikorsky Aircraft Corp., a Lockheed Martin Co., Stratford, Connecticut, is awarded a $735,903,127 modification (P00004) to previously awarded firm-fixed-price contract N00019-20-C-0047.  This modification increases the scope for nine Lot Five low rate initial production CH-53K heavy-lift aircraft and associated aircraft, programmatic and logistical support.  Work will be performed in Stratford, Connecticut (36.71%); Wichita, Kansas (9.86%); Salt Lake City, Utah (6.19%); St. Louis, Missouri (4.30%); Bridgeport, West Virginia (3.19%); Redmond, Washington (1.91%); Quebec, Canada (1.66%); Kent, Washington (1.63%); Rochester, United Kingdom (1.59%); Cudahy, Wisconsin (1.39%); Fort Walton Beach, Florida (1.19%); Jupiter, Florida (1.01%); various locations within the continental U.S. (CONUS) (27.37%); and various locations outside CONUS (2%), and is expected to be completed in December 2024.  Fiscal 2021 aircraft procurement (Navy) funds in the amount of $735,903,127 will be obligated at time of award, none of which will expire at the end of the current fiscal year.  The Naval Air Systems Command, Patuxent River, Maryland, is the contracting activity.</t>
  </si>
  <si>
    <t>https://www.defense.gov/News/Contracts/Contract/Article/2672658/</t>
  </si>
  <si>
    <t>Aquatic Tank Facility</t>
  </si>
  <si>
    <t>Clark/Bryne Aquatics JV, Houston, Texas, was awarded a $58,950,000 firm-fixed-price contract for construction of an aquatic tank facility.  Bids were solicited via the internet with six received.  Work will be performed in San Antonio, Texas, with an estimated completion date of Jan. 6, 2023.  Fiscal 2020 military construction (Army) funds in the amount of $58,950,000 were obligated at the time of the award.  U.S. Army Corps of Engineers, Fort Worth, Texas, is the contracting activity (W9126G-21-C-0012).</t>
  </si>
  <si>
    <t>Commercial Ethernet Gateway Region 5</t>
  </si>
  <si>
    <t>Comcast Government Services LLC, Reston, Virginia, was awarded a competitive firm-fixed-price, single award, indefinite-delivery/indefinite-quantity contract with a ceiling value of $71,606,000 for the Commercial Ethernet Gateway Region 5 to provide mission partner access, via Ethernet connections to the Department of Defense Information Network and to enable the replacement of legacy, time division multiplexing-based circuits.  The contract, with a $500 minimum guarantee, will be funded by fiscal 2021 operation and maintenance funds.  Primary performance will be at the contractor’s above-identified facility in Reston, Virginia, and government sites, as designated within the individual task orders, throughout the states of California and Nevada. Proposals were solicited via beta.sam.gov and four proposals were received.  The period of performance is 10 years, with a six-year base period and two 2-year option periods beginning June 30, 2021, through June 29, 2031.  The Defense Information Technology Contracting Organization, Scott Air Force Base, Illinois, is the contracting activity (HC1013-21-D-0005).</t>
  </si>
  <si>
    <t>Hardware and Abrasives Used as Spare Parts in Multiple Weapon Systems</t>
  </si>
  <si>
    <t>Noble Supply and Logistics,* Rockland, Massachusetts, has been awarded a $263,432,318 fixed-price, indefinite-delivery/indefinite-quantity contract with economic-price-adjustment for hardware and abrasives used as spare parts in multiple weapon systems.  This was a competitive acquisition with two responses received.  This is a three-year base contract with a one-year transition period and two three-year option periods.  Locations of performance are Massachusetts and Arizona, with a June 27, 2025, ordering period end date.  Using military services are Army, Navy, Air Force and Marine Corps.  Type of appropriation is fiscal 2021 through 2025 defense working capital funds.  The contracting activity is the Defense Logistics Agency, Aviation, Richmond, Virginia (SPE4AX-21-D-9407).</t>
  </si>
  <si>
    <t>https://www.defense.gov/News/Contracts/Contract/Article/2674228/</t>
  </si>
  <si>
    <t>MQ-9 Reaper</t>
  </si>
  <si>
    <t>General Atomics Aeronautical Systems Inc., Poway, California, has been awarded a $79,420,164 order (FA8689-21-F-2805) to previously awarded indefinite-delivery/indefinite-quantity contract FA8689-20-D-2020 for the France MQ-9 Block 5 aircraft procurement program.  Work will be performed in Poway, California, and is expected to be completed by March 29, 2024.  This contract involves 100% Foreign Military Sales (FMS) to France.  FMS funds in the amount of $79,420,164, are being obligated at the time of award.  The Air Force Life Cycle Management Center, Wright Patterson Air Force Base, Ohio, is the contracting activity.</t>
  </si>
  <si>
    <t>FFG 62</t>
  </si>
  <si>
    <t>Combat System Ship Integration and Testing</t>
  </si>
  <si>
    <t>Lockheed Martin Corp., Rotary and Mission Systems, Moorestown, New Jersey, is awarded a $7,869,505 cost-plus-incentive-fee modification to previously awarded contract N00024-19-C-5602 to exercise options for combat system ship integration and testing on FFG 62 class ships.  Work will be performed in Moorestown, New Jersey (85%); Marinette, Wisconsin (10%); Bath, Maine (3%); and Pascagoula, Mississippi (2%), and is expected to be completed by June 2022.  Fiscal 2021 shipbuilding and conversion (Navy) funds in the amount of $1,336,192 will be obligated at the time of award and will not expire at the end of the current fiscal year.  The Naval Sea Systems Command, Washington, D.C., is the contracting activity.</t>
  </si>
  <si>
    <t>Joint Base Elmendorf-Richardson</t>
  </si>
  <si>
    <t>Road and Airfield Paving Requirements</t>
  </si>
  <si>
    <t>ASRC Earthworks LLC, Anchorage, Alaska, has been awarded a $133,000,000 indefinite-delivery/indefinite-quantity contract for road and airfield paving requirements on Joint Base Elmendorf-Richardson, Anchorage, Alaska.  The period of performance for this contract is expected to be July 1, 2021, to June 30, 2026, with an optional two-year extension resulting in a total end date of June 30, 2028.  This award is the result of a competitive Alaska District 8(a) business development program set-aside.  A total of six proposals were received in response to this solicitation.  Fiscal 2021 operation and management funds in the amount of $491,853 are being obligated at the time of award.  The 673rd Contracting Squadron, Elmendorf Air Force Base, Alaska, is the contracting activity (FA5000-21-R-0008).</t>
  </si>
  <si>
    <t>https://www.defense.gov/News/Contracts/Contract/Article/2676201/</t>
  </si>
  <si>
    <t>C-172</t>
  </si>
  <si>
    <t>C-208</t>
  </si>
  <si>
    <t>Northrop Grumman Systems Corp., Fort Worth, Texas, has been awarded a $19,296,927 firm-fixed-price, cost-plus-fixed-fee, cost reimbursement contract for contractor logistics support of Iraq’s C-172 &amp; C-208 fleets.  The award provides for the exercise of options to extend the term of the contract for the continued services that may be needed in order to effectively maintain and operate a fleet.  The location of performance is Balad Air Base, Iraq, and work is expected to be complete by June 30, 2022.  This award involves Foreign Military Sales (FMS) to Iraq.  This award is the result of a sole-source acquisition.  FMS funds provided by Iraq in the amount of $19,296,927 will be obligated at the time of award.  Air Force Life Cycle Management Center, Legacy Training Aircraft Division, International Support Branch, Wright Patterson Air Force Base, Ohio is the contracting activity (FA8617-21-C-6237).</t>
  </si>
  <si>
    <t>This contract is part of the contract FA8617-21-C-6237</t>
  </si>
  <si>
    <t>Iraq Peace Dragon Program</t>
  </si>
  <si>
    <t>Textron Aviation Defense LLC, Wichita, Kansas, has been awarded a $7,605,208 firm-fixed price contract with cost-plus-fixed-fee and cost-reimbursable contract line item numbers for support and sustainment of the Iraq Peace Dragon Program.  This contract provides support of the field service representatives, program management, core/field engineering and repair-and-return.  Work will be performed in Wichita, Kansas, and Martyr Mohammed Ali Air Base, Iraq, and is expected to be completed Sept. 30, 2021.  This contract involves Foreign Military Sales (FMS) to Iraq and is the result of a sole-source acquisition.  FMS funds are being obligated for this award.  Air Force Life Cycle Management Center, Wright-Patterson Air Force Base, Ohio, is the contracting activity (FA8620-17-C-3011).</t>
  </si>
  <si>
    <t>S-70/H-60</t>
  </si>
  <si>
    <t>MH60R</t>
  </si>
  <si>
    <t>Lockheed Martin Corp., Owego, New York, is awarded a $129,000,000 modification (P00027) to previously awarded firm-fixed-price contract N00019-19-C-0013.  This modification increases the scope for the production and delivery of three MH-60R aircraft as replacement-in-kind for the Navy.  Work will be performed in Owego, New York (52%); Stratford, Connecticut (40%); and Troy, Alabama (8%), and is expected to be completed in May 2025.  Fiscal 2021 aircraft procurement (Navy) funds in the amount of $129,000,000 will be obligated at time of award, none of which will expire at the end of the current fiscal year.  The Naval Air Systems Command, Patuxent River, Maryland, is the contracting activity.</t>
  </si>
  <si>
    <t>USS Arleigh Burke (DDG-51)</t>
  </si>
  <si>
    <t>American Systems Corp., Chantilly, Virginia (N64498-21-D-0031); Delphinus Engineering Inc., Eddystone, Pennsylvania (N64498-21-D-0032); EHS Technologies Corp.,* Moorestown, New Jersey (N64498-21-D-0033); Advanced Internet Marketing Inc. doing business as The GBS Group,* Virginia Beach, Virginia (N64498-21-D-0034); General Dynamics Information Technology Inc., Falls Church, Virginia (N64498-21-D-0035); Green Expert Technology Inc.,* Haddonfield, New Jersey (N64498-21-D-0036); McKean Defense Group LLC., Philadelphia, Pennsylvania (N64498-21-D-0037); and TDI Technologies Inc.,* King of Prussia, Pennsylvania (N64498-21-D-0038), is awarded a cost-plus-fixed-fee, indefinite-delivery/indefinite-quantity contract for the procurement of modernization-engineering, life-cycle and in- service engineering to support DDG-51 FLTI (flight), FLTII, FLTIIA (legacy, modernization and new ship construction), FLTIII &amp; HED (hybrid electric drive), modernization and obsolescence machinery control systems DDG 51 class ships, cybersecurity and information assurance, DDG-51 integrated bridge controls systems and fuel control system.  The maximum dollar value for all eight contracts is $72,667,301.  Each awardee will be awarded $100,000 at time of initial contract award.  These contracts all have an ordering period of five-years.  The period of performance will be from the date of award through 72 months thereafter.  Work will be performed in Philadelphia, Pennsylvania, and is expected to be completed by April 2027.  Fiscal 2021 operation and maintenance (Navy); other procurement navy (Navy); and shipbuilding conversion (Navy), funding in the amount of $800,000 will be obligated at the time of award, of which $200,000 will expire at the end of the current fiscal year.  All other funding will be made available at the task order level as contracting actions occur.  This contract was competitively procured via the beta.SAM.gov website, with eight offers received.  The Naval Sea Warfare Center, Philadelphia Division, Philadelphia, Pennsylvania, is the contracting activity.</t>
  </si>
  <si>
    <t>E-6</t>
  </si>
  <si>
    <t>E-6B HPTS modernization validation kit</t>
  </si>
  <si>
    <t>E-6B HPTS modernization verification kit</t>
  </si>
  <si>
    <t>Collins Aerospace, Richardson, Texas, is awarded an $18,159,063 cost-plus-fixed-fee order (N00019-21-F-0213) against previously issued basic ordering agreement N00019-19-G-0031.  This order procures one high power transmit set (HPTS) modernization validation kit and one HPTS modernization verification kit and installation of each in the E-6B Mercury aircraft.  Work will be performed in Richardson, Texas (70%); and Tinker, Oklahoma (30%), and is expected to be completed in August 2023.  Fiscal 2021 aircraft procurement (Navy) funds in the amount of $18,159,063 will be obligated at time of award, none of which will expire at the end of the current fiscal year.  The Naval Air Systems Command, Patuxent River, Maryland, is the contracting activity.</t>
  </si>
  <si>
    <t>This contract is part of the contract N00019-21-F-0213</t>
  </si>
  <si>
    <t>F-35 Lightning II Air Systems</t>
  </si>
  <si>
    <t>Lockheed Martin Corp., Lockheed Martin Aeronautics Co., Fort Worth, Texas, is awarded a not-to-exceed $1,803,683,878 cost-plus-fixed-fee, cost-plus-incentive-fee, and fixed-price-incentive-firm undefinitized contract action. This contract provides for the procurement of recurring logistics services for delivered F-35 Lightning II Joint Strike Fighter air systems in support of the Air Force, Marine Corps, Navy, non-U.S. Department of Defense (DOD) participants and Foreign Military Sales (FMS) customers. Services to be provided include ground maintenance activities, action request resolution, depot activation activities, automatic logistics information system operations and maintenance, reliability, maintainability and health management implementation and support, supply chain management and activities to provide and support pilot and maintainer initial training. Work will be performed in Fort Worth, Texas (61%); Orlando, Florida (24%); Greenville, South Carolina (8%); Samlesbury, United Kingdom (4%); and El Segundo, California (3%), and is expected to be completed in December 2021.  Fiscal 2021 operation and maintenance (Air Force) funds in the amount of $91,083,695; fiscal 2021 operation and maintenance (Air National Guard) funds in the amount of $40,478,232; fiscal 2021 operation and maintenance (Marine Corps) funds in the amount of $56,922,784; fiscal 2021 operation and maintenance (Navy) funds in the amount of $27,192,677; non-U.S. DOD participant funds in the amount of $76,946,111; and FMS funds in the amount of $41,266,703 will be obligated at the time of the award, $215,677,388 of which will expire at the end of the current fiscal year. This contract was not competitively procured pursuant to Defense Federal Acquisition Regulation 6.302-1. The Naval Air Systems Command, Patuxent River, Maryland, is the contracting activity (N0001921C0020).</t>
  </si>
  <si>
    <t>This contract is part of the contract N0001921C0020. The funds here is attributed to non-DOD participants</t>
  </si>
  <si>
    <t>This contract is part of the contract N0001921C0020. The funds here is attributed to FMS customers</t>
  </si>
  <si>
    <t>Virginia class</t>
  </si>
  <si>
    <t>SSN-774</t>
  </si>
  <si>
    <t>General Dynamics Electric Boat Corp., Groton, Connecticut, is awarded a $300,207,213 cost-plus-fixed-fee modification to a previously awarded contract (N00024-20-C-2120) for lead yard support and development studies and design efforts related to Virginia-class submarines. This contract modification includes options which, if exercised, would bring the cumulative value of the modification to $1,874,187,944. Work will be performed in Groton, Connecticut (99%); and Newport and Quonset, Rhode Island (1%), and is expected to be completed October 2021. If all options are exercised, work will continue through October 2024.  Fiscal 2014 shipbuilding and conversion (Navy) funds in the amount of $400,000 (1%); fiscal 2015 shipbuilding and conversion (Navy) funds in the amount of $234,454 (1%); fiscal 2016 shipbuilding and conversion (Navy) funds in the amount of $2,530,234 (7%); fiscal 2017 shipbuilding and conversion (Navy) funds in the amount of $549,861 (2%); fiscal 2019 shipbuilding and conversion (Navy) funds in the amount of $242,437 (1%); fiscal 2020 shipbuilding and conversion (Navy) funds in the amount of $3,000,000 (9%); fiscal 2021 shipbuilding and conversion (Navy) funds in the amount of $21,973,769 (63%); and fiscal 2021 research, development, test, and evaluation funds in the amount of $5,972,304 (17%) will be obligated at time of award and will not expire at the end of the current fiscal year. This contract was not competitively procured. This is a sole source award in accordance with Defense Federal Acquisition Regulation 6.302-1(a)(2)(iii) - only one responsible source and no other supplies or services will satisfy agency requirements. The Naval Sea Systems Command, Washington, D.C., is the contracting activity.</t>
  </si>
  <si>
    <t>Naval nuclear propulsion components</t>
  </si>
  <si>
    <t>Bechtel Plant Machinery Inc., Monroeville, Pennsylvania, is awarded a $98,523,846 cost-plus-fixed-fee modification to a previously-awarded contract (N00024-19-C-2112) for naval nuclear propulsion components. Work will be performed in Monroeville, Pennsylvania (74%); and Schenectady, New York (26%). Fiscal 2021 other procurement (Navy) funds in the amount of $96,446,444 (98%); and fiscal 2021 shipbuilding and conversion (Navy) funds in the amount of $2,077,402 (2%) will be obligated at time of award and funds will not expire at the end of the current fiscal year. The Naval Sea Systems Command, Washington, D.C., is the contracting activity.</t>
  </si>
  <si>
    <t>MK 57 NATO Seasparrow</t>
  </si>
  <si>
    <t>Raytheon Co., Raytheon Missiles &amp; Defense, Portsmouth, Rhode Island, is awarded an $27,694,306 firm-fixed-price contract for assembly, fabrication, development and testing to produce and deliver MK 57 NATO Seasparrow missile system. This contract includes options which, if exercised, would bring the cumulative value of this contract to $48,408,502. Work will be performed in Indianapolis, Indiana (73.25%); Portsmouth, Rhode Island (26.74%); and Andover, Massachusetts (0.01%), and is expected to be completed by October 2024. Fiscal 2016 shipbuilding and conversion (Navy) funds in the amount of $11,117,073 (40.14%); 2019 other procurement (Navy) funds in the amount of $8,756,581 (31.62%); and 2021 other procurement (Navy) funds in the amount of $7,820,652 (28.24%) funding will be obligated at time of award, of which funds in the amount of $19,873,654 will expire at the end of the current fiscal year. This contract was not competitively procured in accordance with 10 U.S. Code 2304(c)(4) — the terms of an international agreement or a treaty between the U.S. and a foreign government or international organization. The Naval Surface Warfare Center Port Hueneme Division, Port Hueneme, California, is the contracting activity (N63394-21-F-0017).</t>
  </si>
  <si>
    <t>Littoral Battlespace Sensing-Glider (LBS-G) program</t>
  </si>
  <si>
    <t xml:space="preserve">Teledyne Brown Engineering Inc., Huntsville, Alabama, is awarded a $27,437,235 indefinite-quantity/indefinite-delivery, firm-fixed-price, and time-and-materials contract for the Littoral Battlespace Sensing-Glider (LBS-G) program. The contract is for program management, engineering support, production, maintenance, repairs, test, training, documentation updates, spares, system upgrades and other logistic related tasks for the LBS-G program. Fiscal 2021 other procurement (Navy) funds in the amount of $2,498,692 will be obligated at time of award on the first task order. The contract includes a single five-year ordering period and five one-year option periods. The option periods, if exercised, would bring the cumulative value of this contract to an estimated $39,238,235. Funding will not expire at the end of the current fiscal year. Work will be performed in Huntsville, Alabama, and is expected to be completed in June 2026. If options are exercised, work could continue until June 2031. This requirement was solicited using full and open competition via the Naval Information Warfare Systems Command E-Commerce Central website, with two offers received. The Naval Information Warfare Systems Command, San Diego, California, is the contracting activity (N0003921D6001). </t>
  </si>
  <si>
    <t>MV-22 IASE A-kits Configuration B to C</t>
  </si>
  <si>
    <t>MV-22 IASE A-kits Configuration A to C</t>
  </si>
  <si>
    <t>MV-22 IASE Fuel Tank Delta A-kits</t>
  </si>
  <si>
    <t>Bell Boeing Joint Project Office, Amarillo, Texas, is awarded a $17,303,517 modification (P00011) to a firm-fixed-price order (N0001918F1645) against a previously issued basic ordering agreement (N0001917G0002). This modification increases the scope to procure 12 MV-22 Integrated Aircraft Survivability Equipment (IASE) A-kits configuration B to C; 24 MV-22 IASE A-kits configuration A to C; and 60 MV-22 IASE fuel tank Delta A-kits. Work will be performed in Philadelphia, Pennsylvania, and is expected to be completed in September 2026. Fiscal 2021 aircraft procurement (Navy) funds in the amount of $17,303,517 will be obligated at the time of award, none of which will expire at the end of the current fiscal year. The Naval Air Systems Command, Patuxent River, Maryland, is the contracting activity.</t>
  </si>
  <si>
    <t xml:space="preserve">E-3 </t>
  </si>
  <si>
    <t>E-3D</t>
  </si>
  <si>
    <t>This contract is part of the contract N0001918F1645</t>
  </si>
  <si>
    <t>United Kingdom Ministry of Defence, Defence Business Services Finance, Liverpool, Merseyside, United Kingdom, is awarded a $15,000,000 firm-fixed-price contract. This contract procures one E-3D aircraft for use as an in-flight trainer in support of the E-6B aircraft program for the Navy. Work will be performed in Lake Charles, Louisiana, and is expected to be completed in September 2021. Fiscal 2021 aircraft procurement (Navy) funds in the amount of $15,000,000 will be obligated at the time of award, none of which will expire at the end of the current fiscal year. This contract was not competitively procured pursuant to 10 U.S. Code 2304(c)(1). The Naval Air Systems Command, Patuxent River, Maryland, is the contracting activity (N0001921C0045).</t>
  </si>
  <si>
    <t xml:space="preserve">Acciona CMS JV LLC,* Bargersville, Indiana (N62470-21-D-0011); Castellano Cobra UTE MACC LEY 18-1982, Rota, Spain (N62470-21-D-0012); Constructora San Jose SA, Pontevedra, Spain (N62470-21-D-0013); Dragados Sociedad Anonima, Madrid, Spain (N62470-21-D-0014); Eiffage Group UTE, Dos Hermanas, Spain (N62470-21-D-0015); Ferrovial Agroman SA, Sevilla, Spain (N62470-21-D-0016); and Sociedad Espanola De Montajes Industriales SA, Madrid, Spain (N62470-21-D-0017), are each awarded an indefinite-delivery/indefinite-quantity, multiple award, design-build, design-bid-build construction contract for general construction projects located primarily in the Rota, Spain, region. The maximum dollar value including the base period and seven option years for all seven contracts combined is $500,000,000. The work to be performed provides for tasks for general building projects including airfield, industrial, infrastructure, administrative, training, retail, food service, munition storage, and community support facilities. The term of the contract is not to exceed 96 months, with an expected completion date of June 2029. Fiscal 2021 operation and maintenance (Navy) contract funds in the amount of $70,000 ($10,000 per contractor) are obligated on this award and will expire at the end of the current fiscal year. Future task orders will be primarily funded by military construction (Navy) and operation and maintenance (Navy) funds. This contract was competitively procured via the beta.sam.gov website with 10 proposals received. These seven contractors may compete for task orders under the terms and conditions of the awarded contract. Naval Facilities Engineering Systems Command Atlantic, Norfolk, Virginia, is the contracting activity. </t>
  </si>
  <si>
    <t>This contract does not specify any FMS, however, the work location mentioned is Spain. Hence, considering this as FMS</t>
  </si>
  <si>
    <t>General Construction Projects</t>
  </si>
  <si>
    <t>E-2D Hawkeye Integrated Training Systems IV</t>
  </si>
  <si>
    <t>Rockwell Collins Simulation and Training Solutions, Cedar Rapids, Iowa, is awarded a $64,878,541 firm-fixed-price contract. This contract provides for the procurement of one E-2D Hawkeye Integrated Training Systems IV weapons systems trainer, technical refreshes and E-2D system software configuration (DSSCs) concurrency updates to the distributed readiness trainers, technical refreshes and DSSCs concurrency updates to the simulated maintenance trainers, power plant trainer, personal computer simulations, associated technical data for each device, maintenance, user, cyber security/software support training, and interim contractor support. Work will be performed in Sterling, Virginia (65%); Binghamton, New York (20%); and Tampa, Florida (15%), and is expected to be completed in December 2024. Fiscal 2021 aircraft procurement (Navy) funds in the amount of $62,593,241; and fiscal 2020 aircraft procurement (Navy) funds in the amount of $2,285,300 will be obligated at time of award, none of which will expire at the end of the current fiscal year. This contract was not competitively procured pursuant to 10 U.S. Code 2304 (c)(1). The Naval Air Warfare Center Training Systems Division, Orlando, Florida, is the contracting activity (N6134021C0017).</t>
  </si>
  <si>
    <t>F-15 Mission Training Center (MTC) simulation services</t>
  </si>
  <si>
    <t>The Boeing Co., St. Louis, Missouri, has been awarded a $128,843,992 firm-fixed-price contract for the F-15 Mission Training Center (MTC) simulation services to support the Air Combat Command, Pacific Air Forces and Air Force in Europe locations.  The contractor will provide all personnel, equipment, supplies, transportation, tools, materials, supervision and other items to perform all MTC services.  These services will provide simulation capability to train F-15 pilots and system operators in high-fidelity training devices.  Work will be performed in St. Louis, Missouri; Kadena Air Base, Japan; Mountain Home Air Force Base, Idaho; Nellis AFB, Nevada; Royal Air Force Lakenheath, United Kingdom; and Seymour-Johnson AFB, North Carolina, and is expected to be completed Dec. 31, 2021.  Fiscal 2021 operation and maintenance funds in the amount of $13,177,889 are being obligated at the time of award.  Air Force Life Cycle Management Center, Wright-Patterson AFB, Ohio, is the contracting activity (FA8621-21-C-0001).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</si>
</sst>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000_);_(* \(#,##0.000\);_(* &quot;-&quot;??_);_(@_)"/>
    <numFmt numFmtId="166" formatCode="#,##0.000"/>
    <numFmt numFmtId="167" formatCode="0.000"/>
    <numFmt numFmtId="168" formatCode="_-[$$-409]* #,##0.00_ ;_-[$$-409]* \-#,##0.00\ ;_-[$$-409]* &quot;-&quot;??_ ;_-@_ "/>
    <numFmt numFmtId="169" formatCode="#,##0_ ;\-#,##0\ "/>
    <numFmt numFmtId="170" formatCode="[$$-409]#,##0.00"/>
    <numFmt numFmtId="171" formatCode="[$-409]d\-mmm\-yyyy;@"/>
  </numFmts>
  <fonts count="33" x14ac:knownFonts="1">
    <font>
      <sz val="11"/>
      <color rgb="FF000000"/>
      <name val="Open Sans Light"/>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Open Sans"/>
      <family val="2"/>
    </font>
    <font>
      <b/>
      <sz val="10"/>
      <color indexed="8"/>
      <name val="Open Sans"/>
      <family val="2"/>
    </font>
    <font>
      <sz val="11"/>
      <color theme="1"/>
      <name val="Open Sans Light"/>
      <family val="2"/>
    </font>
    <font>
      <sz val="8"/>
      <name val="Open Sans Light"/>
      <family val="2"/>
    </font>
    <font>
      <u/>
      <sz val="11"/>
      <color theme="10"/>
      <name val="Open Sans Light"/>
      <family val="2"/>
    </font>
    <font>
      <b/>
      <sz val="12"/>
      <color indexed="9"/>
      <name val="Arial"/>
      <family val="2"/>
    </font>
    <font>
      <sz val="12"/>
      <color indexed="8"/>
      <name val="Arial"/>
      <family val="2"/>
    </font>
    <font>
      <sz val="11"/>
      <color theme="0"/>
      <name val="Open Sans Light"/>
      <family val="2"/>
    </font>
    <font>
      <b/>
      <sz val="11"/>
      <color rgb="FFFFFFFF"/>
      <name val="Open Sans Light"/>
      <family val="2"/>
    </font>
    <font>
      <b/>
      <sz val="11"/>
      <color rgb="FF000000"/>
      <name val="Open Sans Light"/>
      <family val="2"/>
    </font>
    <font>
      <sz val="12"/>
      <color theme="0"/>
      <name val="Open Sans Light"/>
      <family val="2"/>
    </font>
    <font>
      <b/>
      <sz val="26"/>
      <color theme="0"/>
      <name val="Arial"/>
      <family val="2"/>
    </font>
    <font>
      <b/>
      <sz val="12"/>
      <color rgb="FFFFFFFF"/>
      <name val="Open Sans Light"/>
      <family val="2"/>
    </font>
    <font>
      <b/>
      <sz val="11"/>
      <color theme="0"/>
      <name val="Open Sans Light"/>
      <family val="2"/>
    </font>
    <font>
      <sz val="11"/>
      <color rgb="FF000000"/>
      <name val="Calibri"/>
      <family val="2"/>
    </font>
    <font>
      <b/>
      <sz val="12"/>
      <color theme="0"/>
      <name val="Arial"/>
      <family val="2"/>
    </font>
    <font>
      <b/>
      <sz val="24"/>
      <color theme="0"/>
      <name val="Arial"/>
      <family val="2"/>
    </font>
    <font>
      <sz val="11"/>
      <color rgb="FFFFFFFF"/>
      <name val="Open Sans Light"/>
      <family val="2"/>
    </font>
    <font>
      <sz val="12"/>
      <color theme="1"/>
      <name val="Arial"/>
      <family val="2"/>
    </font>
    <font>
      <sz val="10"/>
      <color rgb="FF000000"/>
      <name val="Open Sans"/>
      <family val="2"/>
    </font>
    <font>
      <sz val="12"/>
      <color rgb="FF333333"/>
      <name val="Arial"/>
      <family val="2"/>
    </font>
    <font>
      <sz val="11"/>
      <color rgb="FF333333"/>
      <name val="Open Sans"/>
      <family val="2"/>
    </font>
    <font>
      <sz val="12"/>
      <name val="Arial"/>
      <family val="2"/>
    </font>
    <font>
      <b/>
      <u/>
      <sz val="11"/>
      <color rgb="FF000000"/>
      <name val="Open Sans Light"/>
      <family val="2"/>
    </font>
    <font>
      <sz val="12"/>
      <color rgb="FF001D35"/>
      <name val="Arial"/>
      <family val="2"/>
    </font>
    <font>
      <u/>
      <sz val="12"/>
      <color theme="10"/>
      <name val="Arial"/>
      <family val="2"/>
    </font>
    <font>
      <u/>
      <sz val="11"/>
      <color theme="10"/>
      <name val="Calibri"/>
      <family val="2"/>
      <scheme val="minor"/>
    </font>
    <font>
      <sz val="12"/>
      <color rgb="FF000000"/>
      <name val="Arial"/>
      <family val="2"/>
    </font>
  </fonts>
  <fills count="51">
    <fill>
      <patternFill patternType="none"/>
    </fill>
    <fill>
      <patternFill patternType="gray125"/>
    </fill>
    <fill>
      <patternFill patternType="solid">
        <fgColor indexed="22"/>
        <bgColor indexed="22"/>
      </patternFill>
    </fill>
    <fill>
      <patternFill patternType="solid">
        <fgColor indexed="10"/>
        <bgColor indexed="10"/>
      </patternFill>
    </fill>
    <fill>
      <patternFill patternType="solid">
        <fgColor indexed="49"/>
        <bgColor indexed="49"/>
      </patternFill>
    </fill>
    <fill>
      <patternFill patternType="solid">
        <fgColor indexed="25"/>
        <bgColor indexed="25"/>
      </patternFill>
    </fill>
    <fill>
      <patternFill patternType="solid">
        <fgColor indexed="62"/>
        <bgColor indexed="62"/>
      </patternFill>
    </fill>
    <fill>
      <patternFill patternType="solid">
        <fgColor indexed="54"/>
        <bgColor indexed="54"/>
      </patternFill>
    </fill>
    <fill>
      <patternFill patternType="solid">
        <fgColor indexed="53"/>
        <bgColor indexed="53"/>
      </patternFill>
    </fill>
    <fill>
      <patternFill patternType="solid">
        <fgColor indexed="44"/>
        <bgColor indexed="44"/>
      </patternFill>
    </fill>
    <fill>
      <patternFill patternType="solid">
        <fgColor indexed="55"/>
        <bgColor indexed="55"/>
      </patternFill>
    </fill>
    <fill>
      <patternFill patternType="solid">
        <fgColor indexed="31"/>
        <bgColor indexed="31"/>
      </patternFill>
    </fill>
    <fill>
      <patternFill patternType="solid">
        <fgColor indexed="51"/>
        <bgColor indexed="51"/>
      </patternFill>
    </fill>
    <fill>
      <patternFill patternType="solid">
        <fgColor indexed="29"/>
        <bgColor indexed="29"/>
      </patternFill>
    </fill>
    <fill>
      <patternFill patternType="solid">
        <fgColor indexed="57"/>
        <bgColor indexed="57"/>
      </patternFill>
    </fill>
    <fill>
      <patternFill patternType="solid">
        <fgColor indexed="36"/>
        <bgColor indexed="36"/>
      </patternFill>
    </fill>
    <fill>
      <patternFill patternType="solid">
        <fgColor indexed="63"/>
        <bgColor indexed="63"/>
      </patternFill>
    </fill>
    <fill>
      <patternFill patternType="solid">
        <fgColor indexed="9"/>
        <bgColor indexed="9"/>
      </patternFill>
    </fill>
    <fill>
      <patternFill patternType="solid">
        <fgColor indexed="53"/>
        <bgColor indexed="64"/>
      </patternFill>
    </fill>
    <fill>
      <patternFill patternType="solid">
        <fgColor indexed="22"/>
        <bgColor indexed="64"/>
      </patternFill>
    </fill>
    <fill>
      <patternFill patternType="solid">
        <fgColor indexed="51"/>
        <bgColor indexed="64"/>
      </patternFill>
    </fill>
    <fill>
      <patternFill patternType="solid">
        <fgColor indexed="43"/>
        <bgColor indexed="64"/>
      </patternFill>
    </fill>
    <fill>
      <patternFill patternType="solid">
        <fgColor indexed="26"/>
        <bgColor indexed="64"/>
      </patternFill>
    </fill>
    <fill>
      <patternFill patternType="solid">
        <fgColor indexed="57"/>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bgColor indexed="62"/>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002244"/>
        <bgColor indexed="64"/>
      </patternFill>
    </fill>
    <fill>
      <patternFill patternType="solid">
        <fgColor theme="5"/>
        <bgColor indexed="40"/>
      </patternFill>
    </fill>
    <fill>
      <patternFill patternType="solid">
        <fgColor theme="5"/>
        <bgColor indexed="10"/>
      </patternFill>
    </fill>
    <fill>
      <patternFill patternType="solid">
        <fgColor rgb="FF00B0F0"/>
        <bgColor indexed="64"/>
      </patternFill>
    </fill>
    <fill>
      <patternFill patternType="solid">
        <fgColor theme="4"/>
        <bgColor indexed="56"/>
      </patternFill>
    </fill>
    <fill>
      <patternFill patternType="solid">
        <fgColor theme="9"/>
        <bgColor indexed="10"/>
      </patternFill>
    </fill>
    <fill>
      <patternFill patternType="solid">
        <fgColor theme="9"/>
        <bgColor indexed="49"/>
      </patternFill>
    </fill>
    <fill>
      <patternFill patternType="solid">
        <fgColor theme="9"/>
        <bgColor indexed="25"/>
      </patternFill>
    </fill>
    <fill>
      <patternFill patternType="solid">
        <fgColor theme="3"/>
        <bgColor indexed="46"/>
      </patternFill>
    </fill>
    <fill>
      <patternFill patternType="solid">
        <fgColor theme="3"/>
        <bgColor indexed="64"/>
      </patternFill>
    </fill>
    <fill>
      <patternFill patternType="solid">
        <fgColor theme="9"/>
        <bgColor indexed="64"/>
      </patternFill>
    </fill>
    <fill>
      <patternFill patternType="solid">
        <fgColor theme="4"/>
        <bgColor indexed="64"/>
      </patternFill>
    </fill>
    <fill>
      <patternFill patternType="solid">
        <fgColor theme="4" tint="0.59999389629810485"/>
        <bgColor indexed="46"/>
      </patternFill>
    </fill>
    <fill>
      <patternFill patternType="solid">
        <fgColor theme="4" tint="0.39997558519241921"/>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00B050"/>
        <bgColor indexed="64"/>
      </patternFill>
    </fill>
    <fill>
      <patternFill patternType="solid">
        <fgColor rgb="FFFFC000"/>
        <bgColor indexed="49"/>
      </patternFill>
    </fill>
    <fill>
      <patternFill patternType="solid">
        <fgColor theme="2" tint="0.39997558519241921"/>
        <bgColor indexed="64"/>
      </patternFill>
    </fill>
    <fill>
      <patternFill patternType="solid">
        <fgColor theme="2" tint="0.59999389629810485"/>
        <bgColor indexed="64"/>
      </patternFill>
    </fill>
  </fills>
  <borders count="35">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bottom style="medium">
        <color indexed="8"/>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0"/>
      </top>
      <bottom/>
      <diagonal/>
    </border>
    <border>
      <left style="thin">
        <color theme="4" tint="0.39997558519241921"/>
      </left>
      <right style="thin">
        <color theme="4" tint="0.39997558519241921"/>
      </right>
      <top style="thin">
        <color theme="4" tint="0.39997558519241921"/>
      </top>
      <bottom/>
      <diagonal/>
    </border>
    <border>
      <left/>
      <right/>
      <top style="thick">
        <color theme="0"/>
      </top>
      <bottom/>
      <diagonal/>
    </border>
    <border>
      <left/>
      <right/>
      <top style="thick">
        <color theme="0"/>
      </top>
      <bottom style="thin">
        <color theme="4" tint="0.39997558519241921"/>
      </bottom>
      <diagonal/>
    </border>
    <border>
      <left/>
      <right/>
      <top style="thin">
        <color theme="0"/>
      </top>
      <bottom style="thin">
        <color theme="4" tint="0.39997558519241921"/>
      </bottom>
      <diagonal/>
    </border>
    <border>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7">
    <xf numFmtId="0" fontId="0" fillId="0" borderId="0"/>
    <xf numFmtId="0" fontId="9" fillId="0" borderId="0" applyNumberFormat="0" applyFill="0" applyBorder="0" applyAlignment="0" applyProtection="0"/>
    <xf numFmtId="0" fontId="4" fillId="0" borderId="0"/>
    <xf numFmtId="0" fontId="3" fillId="0" borderId="0"/>
    <xf numFmtId="0" fontId="2" fillId="0" borderId="0"/>
    <xf numFmtId="0" fontId="31" fillId="0" borderId="0" applyNumberFormat="0" applyFill="0" applyBorder="0" applyAlignment="0" applyProtection="0"/>
    <xf numFmtId="0" fontId="1" fillId="0" borderId="0"/>
  </cellStyleXfs>
  <cellXfs count="177">
    <xf numFmtId="0" fontId="0" fillId="0" borderId="0" xfId="0"/>
    <xf numFmtId="0" fontId="5" fillId="2" borderId="0" xfId="0" applyFont="1" applyFill="1"/>
    <xf numFmtId="0" fontId="5" fillId="0" borderId="0" xfId="0" applyFont="1"/>
    <xf numFmtId="0" fontId="6" fillId="0" borderId="0" xfId="0" applyFont="1"/>
    <xf numFmtId="0" fontId="5" fillId="6" borderId="0" xfId="0" applyFont="1" applyFill="1"/>
    <xf numFmtId="0" fontId="5" fillId="7" borderId="0" xfId="0" applyFont="1" applyFill="1"/>
    <xf numFmtId="0" fontId="5" fillId="3" borderId="0" xfId="0" applyFont="1" applyFill="1"/>
    <xf numFmtId="0" fontId="5" fillId="4" borderId="0" xfId="0" applyFont="1" applyFill="1"/>
    <xf numFmtId="0" fontId="5" fillId="8" borderId="0" xfId="0" applyFont="1" applyFill="1"/>
    <xf numFmtId="0" fontId="5" fillId="9" borderId="0" xfId="0" applyFont="1" applyFill="1"/>
    <xf numFmtId="0" fontId="5" fillId="10" borderId="0" xfId="0" applyFont="1" applyFill="1"/>
    <xf numFmtId="0" fontId="5" fillId="11" borderId="0" xfId="0" applyFont="1" applyFill="1"/>
    <xf numFmtId="0" fontId="5" fillId="12" borderId="0" xfId="0" applyFont="1" applyFill="1"/>
    <xf numFmtId="0" fontId="5" fillId="13" borderId="0" xfId="0" applyFont="1" applyFill="1"/>
    <xf numFmtId="0" fontId="5" fillId="14" borderId="0" xfId="0" applyFont="1" applyFill="1"/>
    <xf numFmtId="0" fontId="5" fillId="15" borderId="0" xfId="0" applyFont="1" applyFill="1"/>
    <xf numFmtId="0" fontId="5" fillId="16" borderId="0" xfId="0" applyFont="1" applyFill="1"/>
    <xf numFmtId="0" fontId="5" fillId="17" borderId="0" xfId="0" applyFont="1" applyFill="1"/>
    <xf numFmtId="0" fontId="5" fillId="2" borderId="0" xfId="0" applyFont="1" applyFill="1" applyAlignment="1">
      <alignment wrapText="1"/>
    </xf>
    <xf numFmtId="0" fontId="6" fillId="2" borderId="0" xfId="0" applyFont="1" applyFill="1"/>
    <xf numFmtId="0" fontId="6" fillId="0" borderId="1" xfId="0" applyFont="1" applyBorder="1" applyAlignment="1">
      <alignment wrapText="1"/>
    </xf>
    <xf numFmtId="0" fontId="6" fillId="0" borderId="2" xfId="0" applyFont="1" applyBorder="1" applyAlignment="1">
      <alignment wrapText="1"/>
    </xf>
    <xf numFmtId="0" fontId="6" fillId="0" borderId="3" xfId="0" applyFont="1" applyBorder="1" applyAlignment="1">
      <alignment wrapText="1"/>
    </xf>
    <xf numFmtId="0" fontId="6" fillId="0" borderId="0" xfId="0" applyFont="1" applyAlignment="1">
      <alignment wrapText="1"/>
    </xf>
    <xf numFmtId="0" fontId="5" fillId="0" borderId="0" xfId="0" applyFont="1" applyAlignment="1">
      <alignment wrapText="1"/>
    </xf>
    <xf numFmtId="0" fontId="5" fillId="5" borderId="4" xfId="0" applyFont="1" applyFill="1" applyBorder="1" applyAlignment="1">
      <alignment horizontal="centerContinuous" wrapText="1"/>
    </xf>
    <xf numFmtId="0" fontId="5" fillId="0" borderId="0" xfId="0" applyFont="1" applyAlignment="1">
      <alignment horizontal="left" vertical="top" wrapText="1"/>
    </xf>
    <xf numFmtId="0" fontId="5" fillId="18" borderId="0" xfId="0" applyFont="1" applyFill="1"/>
    <xf numFmtId="0" fontId="5" fillId="19" borderId="0" xfId="0" applyFont="1" applyFill="1"/>
    <xf numFmtId="0" fontId="5" fillId="20" borderId="0" xfId="0" applyFont="1" applyFill="1"/>
    <xf numFmtId="0" fontId="5" fillId="21" borderId="0" xfId="0" applyFont="1" applyFill="1"/>
    <xf numFmtId="0" fontId="5" fillId="22" borderId="0" xfId="0" applyFont="1" applyFill="1"/>
    <xf numFmtId="0" fontId="5" fillId="23" borderId="0" xfId="0" applyFont="1" applyFill="1"/>
    <xf numFmtId="0" fontId="7" fillId="25" borderId="5" xfId="0" applyFont="1" applyFill="1" applyBorder="1"/>
    <xf numFmtId="0" fontId="7" fillId="0" borderId="5" xfId="0" applyFont="1" applyBorder="1"/>
    <xf numFmtId="0" fontId="5" fillId="26" borderId="0" xfId="0" applyFont="1" applyFill="1"/>
    <xf numFmtId="0" fontId="6" fillId="24" borderId="8" xfId="0" applyFont="1" applyFill="1" applyBorder="1"/>
    <xf numFmtId="0" fontId="5" fillId="25" borderId="8" xfId="0" applyFont="1" applyFill="1" applyBorder="1"/>
    <xf numFmtId="0" fontId="5" fillId="0" borderId="8" xfId="0" applyFont="1" applyBorder="1"/>
    <xf numFmtId="0" fontId="5" fillId="11" borderId="8" xfId="0" applyFont="1" applyFill="1" applyBorder="1"/>
    <xf numFmtId="0" fontId="5" fillId="0" borderId="5" xfId="0" applyFont="1" applyBorder="1"/>
    <xf numFmtId="0" fontId="5" fillId="6" borderId="8" xfId="0" applyFont="1" applyFill="1" applyBorder="1"/>
    <xf numFmtId="0" fontId="5" fillId="4" borderId="8" xfId="0" applyFont="1" applyFill="1" applyBorder="1"/>
    <xf numFmtId="0" fontId="5" fillId="9" borderId="5" xfId="0" applyFont="1" applyFill="1" applyBorder="1"/>
    <xf numFmtId="0" fontId="6" fillId="24" borderId="0" xfId="0" applyFont="1" applyFill="1"/>
    <xf numFmtId="0" fontId="5" fillId="3" borderId="9" xfId="0" applyFont="1" applyFill="1" applyBorder="1"/>
    <xf numFmtId="0" fontId="5" fillId="13" borderId="7" xfId="0" applyFont="1" applyFill="1" applyBorder="1"/>
    <xf numFmtId="0" fontId="5" fillId="16" borderId="9" xfId="0" applyFont="1" applyFill="1" applyBorder="1"/>
    <xf numFmtId="0" fontId="5" fillId="7" borderId="7" xfId="0" applyFont="1" applyFill="1" applyBorder="1"/>
    <xf numFmtId="0" fontId="5" fillId="2" borderId="7" xfId="0" applyFont="1" applyFill="1" applyBorder="1"/>
    <xf numFmtId="0" fontId="5" fillId="17" borderId="7" xfId="0" applyFont="1" applyFill="1" applyBorder="1"/>
    <xf numFmtId="0" fontId="7" fillId="25" borderId="8" xfId="0" applyFont="1" applyFill="1" applyBorder="1"/>
    <xf numFmtId="0" fontId="7" fillId="0" borderId="8" xfId="0" applyFont="1" applyBorder="1"/>
    <xf numFmtId="0" fontId="5" fillId="25" borderId="5" xfId="0" applyFont="1" applyFill="1" applyBorder="1"/>
    <xf numFmtId="0" fontId="5" fillId="18" borderId="8" xfId="0" applyFont="1" applyFill="1" applyBorder="1"/>
    <xf numFmtId="0" fontId="5" fillId="19" borderId="8" xfId="0" applyFont="1" applyFill="1" applyBorder="1"/>
    <xf numFmtId="0" fontId="5" fillId="19" borderId="5" xfId="0" applyFont="1" applyFill="1" applyBorder="1"/>
    <xf numFmtId="0" fontId="5" fillId="3" borderId="10" xfId="0" applyFont="1" applyFill="1" applyBorder="1"/>
    <xf numFmtId="0" fontId="5" fillId="13" borderId="11" xfId="0" applyFont="1" applyFill="1" applyBorder="1"/>
    <xf numFmtId="0" fontId="5" fillId="16" borderId="10" xfId="0" applyFont="1" applyFill="1" applyBorder="1"/>
    <xf numFmtId="0" fontId="5" fillId="7" borderId="11" xfId="0" applyFont="1" applyFill="1" applyBorder="1"/>
    <xf numFmtId="0" fontId="5" fillId="2" borderId="11" xfId="0" applyFont="1" applyFill="1" applyBorder="1"/>
    <xf numFmtId="0" fontId="5" fillId="17" borderId="11" xfId="0" applyFont="1" applyFill="1" applyBorder="1"/>
    <xf numFmtId="0" fontId="5" fillId="18" borderId="5" xfId="0" applyFont="1" applyFill="1" applyBorder="1"/>
    <xf numFmtId="0" fontId="5" fillId="11" borderId="5" xfId="0" applyFont="1" applyFill="1" applyBorder="1"/>
    <xf numFmtId="0" fontId="5" fillId="25" borderId="6" xfId="0" applyFont="1" applyFill="1" applyBorder="1"/>
    <xf numFmtId="0" fontId="5" fillId="0" borderId="6" xfId="0" applyFont="1" applyBorder="1"/>
    <xf numFmtId="0" fontId="6" fillId="24" borderId="12" xfId="0" applyFont="1" applyFill="1" applyBorder="1"/>
    <xf numFmtId="0" fontId="5" fillId="25" borderId="12" xfId="0" applyFont="1" applyFill="1" applyBorder="1"/>
    <xf numFmtId="0" fontId="5" fillId="0" borderId="12" xfId="0" applyFont="1" applyBorder="1"/>
    <xf numFmtId="0" fontId="11" fillId="0" borderId="0" xfId="0" applyFont="1" applyAlignment="1">
      <alignment vertical="top" wrapText="1"/>
    </xf>
    <xf numFmtId="165" fontId="11" fillId="0" borderId="0" xfId="0" applyNumberFormat="1" applyFont="1" applyAlignment="1">
      <alignment vertical="top" wrapText="1"/>
    </xf>
    <xf numFmtId="10" fontId="11" fillId="27" borderId="0" xfId="0" applyNumberFormat="1" applyFont="1" applyFill="1" applyAlignment="1">
      <alignment vertical="top" wrapText="1"/>
    </xf>
    <xf numFmtId="0" fontId="0" fillId="28" borderId="0" xfId="0" applyFill="1"/>
    <xf numFmtId="0" fontId="0" fillId="28" borderId="0" xfId="0" applyFill="1" applyAlignment="1">
      <alignment wrapText="1"/>
    </xf>
    <xf numFmtId="166" fontId="11" fillId="0" borderId="0" xfId="0" applyNumberFormat="1" applyFont="1" applyAlignment="1">
      <alignment wrapText="1"/>
    </xf>
    <xf numFmtId="0" fontId="14" fillId="28" borderId="0" xfId="0" applyFont="1" applyFill="1"/>
    <xf numFmtId="167" fontId="14" fillId="28" borderId="0" xfId="0" applyNumberFormat="1" applyFont="1" applyFill="1"/>
    <xf numFmtId="0" fontId="0" fillId="0" borderId="0" xfId="0" applyAlignment="1">
      <alignment horizontal="left"/>
    </xf>
    <xf numFmtId="0" fontId="12" fillId="30" borderId="0" xfId="0" applyFont="1" applyFill="1" applyProtection="1">
      <protection locked="0"/>
    </xf>
    <xf numFmtId="169" fontId="16" fillId="30" borderId="0" xfId="0" applyNumberFormat="1" applyFont="1" applyFill="1" applyProtection="1">
      <protection locked="0"/>
    </xf>
    <xf numFmtId="0" fontId="15" fillId="30" borderId="0" xfId="0" applyFont="1" applyFill="1" applyProtection="1">
      <protection locked="0"/>
    </xf>
    <xf numFmtId="168" fontId="16" fillId="30" borderId="0" xfId="0" applyNumberFormat="1" applyFont="1" applyFill="1" applyProtection="1">
      <protection locked="0"/>
    </xf>
    <xf numFmtId="0" fontId="5" fillId="33" borderId="0" xfId="0" applyFont="1" applyFill="1"/>
    <xf numFmtId="0" fontId="0" fillId="27" borderId="0" xfId="0" applyFill="1"/>
    <xf numFmtId="0" fontId="5" fillId="27" borderId="5" xfId="0" applyFont="1" applyFill="1" applyBorder="1"/>
    <xf numFmtId="0" fontId="12" fillId="39" borderId="0" xfId="0" applyFont="1" applyFill="1" applyAlignment="1" applyProtection="1">
      <alignment horizontal="left"/>
      <protection locked="0"/>
    </xf>
    <xf numFmtId="0" fontId="18" fillId="40" borderId="0" xfId="0" applyFont="1" applyFill="1" applyProtection="1">
      <protection locked="0"/>
    </xf>
    <xf numFmtId="0" fontId="17" fillId="30" borderId="0" xfId="0" applyFont="1" applyFill="1" applyAlignment="1" applyProtection="1">
      <alignment horizontal="left" wrapText="1" readingOrder="1"/>
      <protection locked="0"/>
    </xf>
    <xf numFmtId="0" fontId="12" fillId="30" borderId="0" xfId="0" applyFont="1" applyFill="1" applyAlignment="1" applyProtection="1">
      <alignment horizontal="left"/>
      <protection locked="0"/>
    </xf>
    <xf numFmtId="0" fontId="12" fillId="39" borderId="0" xfId="0" applyFont="1" applyFill="1" applyProtection="1">
      <protection locked="0"/>
    </xf>
    <xf numFmtId="0" fontId="19" fillId="0" borderId="0" xfId="0" applyFont="1" applyAlignment="1">
      <alignment vertical="center"/>
    </xf>
    <xf numFmtId="170" fontId="16" fillId="39" borderId="0" xfId="0" applyNumberFormat="1" applyFont="1" applyFill="1"/>
    <xf numFmtId="0" fontId="0" fillId="0" borderId="0" xfId="0" applyAlignment="1">
      <alignment wrapText="1"/>
    </xf>
    <xf numFmtId="0" fontId="12" fillId="41" borderId="0" xfId="0" applyFont="1" applyFill="1" applyAlignment="1" applyProtection="1">
      <alignment horizontal="left"/>
      <protection locked="0"/>
    </xf>
    <xf numFmtId="170" fontId="21" fillId="30" borderId="0" xfId="0" applyNumberFormat="1" applyFont="1" applyFill="1" applyProtection="1">
      <protection locked="0"/>
    </xf>
    <xf numFmtId="168" fontId="12" fillId="30" borderId="0" xfId="0" applyNumberFormat="1" applyFont="1" applyFill="1" applyProtection="1">
      <protection locked="0"/>
    </xf>
    <xf numFmtId="0" fontId="0" fillId="0" borderId="0" xfId="0" pivotButton="1"/>
    <xf numFmtId="0" fontId="6" fillId="24" borderId="13" xfId="0" applyFont="1" applyFill="1" applyBorder="1"/>
    <xf numFmtId="0" fontId="24" fillId="0" borderId="0" xfId="0" applyFont="1"/>
    <xf numFmtId="0" fontId="4" fillId="0" borderId="0" xfId="2"/>
    <xf numFmtId="0" fontId="26" fillId="0" borderId="0" xfId="0" applyFont="1"/>
    <xf numFmtId="0" fontId="0" fillId="43" borderId="0" xfId="0" applyFill="1"/>
    <xf numFmtId="0" fontId="0" fillId="44" borderId="0" xfId="0" applyFill="1"/>
    <xf numFmtId="0" fontId="0" fillId="45" borderId="0" xfId="0" applyFill="1"/>
    <xf numFmtId="0" fontId="0" fillId="45" borderId="14" xfId="0" applyFill="1" applyBorder="1"/>
    <xf numFmtId="0" fontId="14" fillId="45" borderId="15" xfId="0" applyFont="1" applyFill="1" applyBorder="1"/>
    <xf numFmtId="0" fontId="0" fillId="45" borderId="16" xfId="0" applyFill="1" applyBorder="1"/>
    <xf numFmtId="0" fontId="14" fillId="45" borderId="17" xfId="0" applyFont="1" applyFill="1" applyBorder="1"/>
    <xf numFmtId="0" fontId="0" fillId="45" borderId="14" xfId="0" applyFill="1" applyBorder="1" applyAlignment="1">
      <alignment horizontal="left"/>
    </xf>
    <xf numFmtId="0" fontId="0" fillId="45" borderId="18" xfId="0" applyFill="1" applyBorder="1" applyAlignment="1">
      <alignment horizontal="right"/>
    </xf>
    <xf numFmtId="0" fontId="0" fillId="45" borderId="16" xfId="0" applyFill="1" applyBorder="1" applyAlignment="1">
      <alignment horizontal="left"/>
    </xf>
    <xf numFmtId="0" fontId="0" fillId="45" borderId="19" xfId="0" applyFill="1" applyBorder="1" applyAlignment="1">
      <alignment horizontal="right"/>
    </xf>
    <xf numFmtId="0" fontId="0" fillId="45" borderId="20" xfId="0" applyFill="1" applyBorder="1"/>
    <xf numFmtId="0" fontId="0" fillId="45" borderId="21" xfId="0" applyFill="1" applyBorder="1"/>
    <xf numFmtId="0" fontId="0" fillId="46" borderId="22" xfId="0" applyFill="1" applyBorder="1"/>
    <xf numFmtId="0" fontId="0" fillId="46" borderId="23" xfId="0" applyFill="1" applyBorder="1"/>
    <xf numFmtId="0" fontId="14" fillId="45" borderId="24" xfId="0" applyFont="1" applyFill="1" applyBorder="1"/>
    <xf numFmtId="0" fontId="0" fillId="46" borderId="25" xfId="0" applyFill="1" applyBorder="1"/>
    <xf numFmtId="0" fontId="0" fillId="44" borderId="25" xfId="0" applyFill="1" applyBorder="1"/>
    <xf numFmtId="0" fontId="0" fillId="47" borderId="0" xfId="0" applyFill="1"/>
    <xf numFmtId="0" fontId="22" fillId="39" borderId="0" xfId="0" applyFont="1" applyFill="1" applyAlignment="1" applyProtection="1">
      <alignment horizontal="left"/>
      <protection locked="0"/>
    </xf>
    <xf numFmtId="0" fontId="0" fillId="39" borderId="0" xfId="0" applyFill="1" applyAlignment="1" applyProtection="1">
      <alignment horizontal="left"/>
      <protection locked="0"/>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10" fillId="38" borderId="0" xfId="0" applyFont="1" applyFill="1" applyAlignment="1" applyProtection="1">
      <alignment horizontal="center" vertical="center" wrapText="1"/>
      <protection locked="0"/>
    </xf>
    <xf numFmtId="0" fontId="10" fillId="42" borderId="0" xfId="0" applyFont="1" applyFill="1" applyAlignment="1" applyProtection="1">
      <alignment horizontal="center" vertical="center" wrapText="1"/>
      <protection locked="0"/>
    </xf>
    <xf numFmtId="0" fontId="11" fillId="0" borderId="0" xfId="0" applyFont="1" applyAlignment="1" applyProtection="1">
      <alignment vertical="top" wrapText="1"/>
      <protection locked="0"/>
    </xf>
    <xf numFmtId="0" fontId="20" fillId="34" borderId="0" xfId="0" applyFont="1" applyFill="1" applyAlignment="1" applyProtection="1">
      <alignment vertical="center" wrapText="1"/>
      <protection locked="0"/>
    </xf>
    <xf numFmtId="0" fontId="10" fillId="34" borderId="0" xfId="0" applyFont="1" applyFill="1" applyAlignment="1" applyProtection="1">
      <alignment vertical="center" wrapText="1"/>
      <protection locked="0"/>
    </xf>
    <xf numFmtId="0" fontId="10" fillId="31" borderId="0" xfId="0" applyFont="1" applyFill="1" applyAlignment="1" applyProtection="1">
      <alignment vertical="center" wrapText="1"/>
      <protection locked="0"/>
    </xf>
    <xf numFmtId="0" fontId="10" fillId="32" borderId="0" xfId="0" applyFont="1" applyFill="1" applyAlignment="1" applyProtection="1">
      <alignment vertical="center" wrapText="1"/>
      <protection locked="0"/>
    </xf>
    <xf numFmtId="0" fontId="10" fillId="35" borderId="0" xfId="0" applyFont="1" applyFill="1" applyAlignment="1" applyProtection="1">
      <alignment vertical="center" wrapText="1"/>
      <protection locked="0"/>
    </xf>
    <xf numFmtId="0" fontId="10" fillId="35" borderId="0" xfId="0" applyFont="1" applyFill="1" applyAlignment="1" applyProtection="1">
      <alignment horizontal="center" vertical="center" wrapText="1"/>
      <protection locked="0"/>
    </xf>
    <xf numFmtId="164" fontId="10" fillId="36" borderId="0" xfId="0" applyNumberFormat="1" applyFont="1" applyFill="1" applyAlignment="1" applyProtection="1">
      <alignment vertical="center" wrapText="1"/>
      <protection locked="0"/>
    </xf>
    <xf numFmtId="0" fontId="10" fillId="36" borderId="0" xfId="0" applyFont="1" applyFill="1" applyAlignment="1" applyProtection="1">
      <alignment vertical="center" wrapText="1"/>
      <protection locked="0"/>
    </xf>
    <xf numFmtId="0" fontId="10" fillId="37" borderId="0" xfId="0" applyFont="1" applyFill="1" applyAlignment="1" applyProtection="1">
      <alignment vertical="center" wrapText="1"/>
      <protection locked="0"/>
    </xf>
    <xf numFmtId="0" fontId="10" fillId="38" borderId="0" xfId="0" applyFont="1" applyFill="1" applyAlignment="1" applyProtection="1">
      <alignment vertical="center" wrapText="1"/>
      <protection locked="0"/>
    </xf>
    <xf numFmtId="0" fontId="10" fillId="0" borderId="0" xfId="0" applyFont="1" applyAlignment="1" applyProtection="1">
      <alignment vertical="top" wrapText="1"/>
      <protection locked="0"/>
    </xf>
    <xf numFmtId="167" fontId="11" fillId="0" borderId="0" xfId="0" applyNumberFormat="1" applyFont="1" applyAlignment="1" applyProtection="1">
      <alignment vertical="top" wrapText="1"/>
      <protection locked="0"/>
    </xf>
    <xf numFmtId="17" fontId="11" fillId="0" borderId="0" xfId="0" applyNumberFormat="1" applyFont="1" applyAlignment="1" applyProtection="1">
      <alignment vertical="top" wrapText="1"/>
      <protection locked="0"/>
    </xf>
    <xf numFmtId="3" fontId="11" fillId="0" borderId="0" xfId="0" applyNumberFormat="1" applyFont="1" applyAlignment="1" applyProtection="1">
      <alignment vertical="top" wrapText="1"/>
      <protection locked="0"/>
    </xf>
    <xf numFmtId="0" fontId="11" fillId="0" borderId="0" xfId="0" applyFont="1" applyAlignment="1" applyProtection="1">
      <alignment horizontal="center" vertical="top" wrapText="1"/>
      <protection locked="0"/>
    </xf>
    <xf numFmtId="15" fontId="11" fillId="0" borderId="0" xfId="0" applyNumberFormat="1" applyFont="1" applyAlignment="1" applyProtection="1">
      <alignment horizontal="center" vertical="top" wrapText="1"/>
      <protection locked="0"/>
    </xf>
    <xf numFmtId="0" fontId="27" fillId="0" borderId="0" xfId="0" applyFont="1" applyAlignment="1" applyProtection="1">
      <alignment vertical="top" wrapText="1"/>
      <protection locked="0"/>
    </xf>
    <xf numFmtId="0" fontId="23" fillId="0" borderId="0" xfId="1" applyFont="1" applyFill="1" applyAlignment="1" applyProtection="1">
      <alignment vertical="top" wrapText="1"/>
      <protection locked="0"/>
    </xf>
    <xf numFmtId="0" fontId="11" fillId="0" borderId="0" xfId="0" applyFont="1" applyAlignment="1" applyProtection="1">
      <alignment horizontal="left" vertical="top" wrapText="1"/>
      <protection locked="0"/>
    </xf>
    <xf numFmtId="164" fontId="11" fillId="0" borderId="0" xfId="0" applyNumberFormat="1" applyFont="1" applyAlignment="1" applyProtection="1">
      <alignment vertical="top" wrapText="1"/>
      <protection locked="0"/>
    </xf>
    <xf numFmtId="0" fontId="10" fillId="35" borderId="0" xfId="0" applyFont="1" applyFill="1" applyAlignment="1" applyProtection="1">
      <alignment vertical="top" wrapText="1"/>
      <protection locked="0"/>
    </xf>
    <xf numFmtId="49" fontId="11" fillId="0" borderId="0" xfId="0" applyNumberFormat="1" applyFont="1" applyAlignment="1" applyProtection="1">
      <alignment horizontal="center" vertical="top" wrapText="1"/>
      <protection locked="0"/>
    </xf>
    <xf numFmtId="0" fontId="29" fillId="0" borderId="0" xfId="0" applyFont="1" applyAlignment="1">
      <alignment wrapText="1"/>
    </xf>
    <xf numFmtId="0" fontId="25" fillId="0" borderId="0" xfId="0" applyFont="1"/>
    <xf numFmtId="15" fontId="0" fillId="0" borderId="0" xfId="0" applyNumberFormat="1"/>
    <xf numFmtId="0" fontId="30" fillId="0" borderId="0" xfId="1" applyFont="1" applyFill="1" applyAlignment="1" applyProtection="1">
      <alignment vertical="top" wrapText="1"/>
      <protection locked="0"/>
    </xf>
    <xf numFmtId="0" fontId="20" fillId="38" borderId="0" xfId="0" applyFont="1" applyFill="1" applyAlignment="1" applyProtection="1">
      <alignment vertical="center" wrapText="1"/>
      <protection locked="0"/>
    </xf>
    <xf numFmtId="0" fontId="10" fillId="48" borderId="0" xfId="0" applyFont="1" applyFill="1" applyAlignment="1" applyProtection="1">
      <alignment vertical="center" wrapText="1"/>
      <protection locked="0"/>
    </xf>
    <xf numFmtId="171" fontId="11" fillId="0" borderId="0" xfId="0" applyNumberFormat="1" applyFont="1" applyAlignment="1" applyProtection="1">
      <alignment horizontal="center" vertical="top" wrapText="1"/>
      <protection locked="0"/>
    </xf>
    <xf numFmtId="0" fontId="11" fillId="49" borderId="0" xfId="0" applyFont="1" applyFill="1" applyAlignment="1" applyProtection="1">
      <alignment vertical="top" wrapText="1"/>
      <protection locked="0"/>
    </xf>
    <xf numFmtId="0" fontId="11" fillId="50" borderId="0" xfId="0" applyFont="1" applyFill="1" applyAlignment="1" applyProtection="1">
      <alignment vertical="top" wrapText="1"/>
      <protection locked="0"/>
    </xf>
    <xf numFmtId="0" fontId="32" fillId="0" borderId="0" xfId="0" applyFont="1" applyAlignment="1" applyProtection="1">
      <alignment vertical="top" wrapText="1"/>
      <protection locked="0"/>
    </xf>
    <xf numFmtId="0" fontId="11" fillId="0" borderId="0" xfId="0" applyFont="1" applyAlignment="1" applyProtection="1">
      <alignment vertical="top"/>
      <protection locked="0"/>
    </xf>
    <xf numFmtId="0" fontId="9" fillId="0" borderId="0" xfId="1" applyFill="1" applyAlignment="1" applyProtection="1">
      <alignment vertical="top" wrapText="1"/>
      <protection locked="0"/>
    </xf>
    <xf numFmtId="0" fontId="10" fillId="34" borderId="0" xfId="0" applyFont="1" applyFill="1" applyAlignment="1" applyProtection="1">
      <alignment horizontal="center" vertical="top" wrapText="1"/>
      <protection locked="0"/>
    </xf>
    <xf numFmtId="0" fontId="10" fillId="31" borderId="0" xfId="0" applyFont="1" applyFill="1" applyAlignment="1" applyProtection="1">
      <alignment horizontal="center" vertical="top" wrapText="1"/>
      <protection locked="0"/>
    </xf>
    <xf numFmtId="0" fontId="10" fillId="35" borderId="0" xfId="0" applyFont="1" applyFill="1" applyAlignment="1" applyProtection="1">
      <alignment horizontal="center" vertical="top" wrapText="1"/>
      <protection locked="0"/>
    </xf>
    <xf numFmtId="0" fontId="10" fillId="38" borderId="0" xfId="0" applyFont="1" applyFill="1" applyAlignment="1" applyProtection="1">
      <alignment horizontal="center" vertical="top" wrapText="1"/>
      <protection locked="0"/>
    </xf>
    <xf numFmtId="0" fontId="17" fillId="30" borderId="0" xfId="0" applyFont="1" applyFill="1" applyAlignment="1" applyProtection="1">
      <alignment horizontal="left" wrapText="1" readingOrder="1"/>
      <protection locked="0"/>
    </xf>
    <xf numFmtId="168" fontId="16" fillId="30" borderId="0" xfId="0" applyNumberFormat="1" applyFont="1" applyFill="1" applyAlignment="1" applyProtection="1">
      <alignment horizontal="center"/>
      <protection locked="0"/>
    </xf>
    <xf numFmtId="0" fontId="13" fillId="29" borderId="0" xfId="0" applyFont="1" applyFill="1" applyAlignment="1">
      <alignment horizontal="center"/>
    </xf>
    <xf numFmtId="0" fontId="12" fillId="29" borderId="0" xfId="0" applyFont="1" applyFill="1" applyAlignment="1">
      <alignment horizontal="center"/>
    </xf>
  </cellXfs>
  <cellStyles count="7">
    <cellStyle name="Hyperlink" xfId="1" builtinId="8"/>
    <cellStyle name="Hyperlink 2" xfId="5" xr:uid="{583B7436-5B08-474F-A74A-59B7702A1ABC}"/>
    <cellStyle name="Normal" xfId="0" builtinId="0" customBuiltin="1"/>
    <cellStyle name="Normal 2" xfId="2" xr:uid="{03627F9F-B583-469F-B87B-82EF41827730}"/>
    <cellStyle name="Normal 2 2" xfId="3" xr:uid="{DD87AA83-28A2-4960-93C3-B037C466F801}"/>
    <cellStyle name="Normal 3" xfId="4" xr:uid="{F9A1FDD6-6749-478C-B6EC-574303CCA00F}"/>
    <cellStyle name="Normal 4" xfId="6" xr:uid="{A201B148-2316-4A33-8BA7-CBEF0D5CE9DF}"/>
  </cellStyles>
  <dxfs count="139">
    <dxf>
      <font>
        <b val="0"/>
        <i val="0"/>
        <strike val="0"/>
        <condense val="0"/>
        <extend val="0"/>
        <outline val="0"/>
        <shadow val="0"/>
        <u val="none"/>
        <vertAlign val="baseline"/>
        <sz val="10"/>
        <color indexed="8"/>
        <name val="Open Sans"/>
        <family val="2"/>
        <scheme val="none"/>
      </font>
      <fill>
        <patternFill patternType="solid">
          <fgColor indexed="62"/>
          <bgColor indexed="62"/>
        </patternFill>
      </fill>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fill>
        <patternFill patternType="none">
          <fgColor indexed="64"/>
          <bgColor indexed="65"/>
        </patternFill>
      </fill>
    </dxf>
    <dxf>
      <font>
        <b val="0"/>
        <i val="0"/>
        <strike val="0"/>
        <condense val="0"/>
        <extend val="0"/>
        <outline val="0"/>
        <shadow val="0"/>
        <u val="none"/>
        <vertAlign val="baseline"/>
        <sz val="10"/>
        <color indexed="8"/>
        <name val="Open Sans"/>
        <family val="2"/>
        <scheme val="none"/>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border outline="0">
        <left style="thin">
          <color theme="4" tint="0.39997558519241921"/>
        </left>
      </border>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border diagonalUp="0" diagonalDown="0">
        <left style="thin">
          <color theme="4" tint="0.39997558519241921"/>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0"/>
        <color indexed="8"/>
        <name val="Open Sans"/>
        <family val="2"/>
        <scheme val="none"/>
      </font>
      <fill>
        <patternFill patternType="solid">
          <fgColor indexed="29"/>
          <bgColor indexed="29"/>
        </patternFill>
      </fill>
      <border diagonalUp="0" diagonalDown="0">
        <left/>
        <right/>
        <top style="thin">
          <color theme="0"/>
        </top>
        <bottom/>
        <vertical/>
        <horizontal/>
      </border>
    </dxf>
    <dxf>
      <font>
        <b val="0"/>
        <i val="0"/>
        <strike val="0"/>
        <condense val="0"/>
        <extend val="0"/>
        <outline val="0"/>
        <shadow val="0"/>
        <u val="none"/>
        <vertAlign val="baseline"/>
        <sz val="10"/>
        <color indexed="8"/>
        <name val="Open Sans"/>
        <family val="2"/>
        <scheme val="none"/>
      </font>
    </dxf>
    <dxf>
      <font>
        <b/>
        <i val="0"/>
        <strike val="0"/>
        <condense val="0"/>
        <extend val="0"/>
        <outline val="0"/>
        <shadow val="0"/>
        <u val="none"/>
        <vertAlign val="baseline"/>
        <sz val="10"/>
        <color indexed="8"/>
        <name val="Open Sans"/>
        <family val="2"/>
        <scheme val="none"/>
      </font>
      <fill>
        <patternFill patternType="solid">
          <fgColor theme="4"/>
          <bgColor theme="4"/>
        </patternFill>
      </fill>
      <border diagonalUp="0" diagonalDown="0" outline="0">
        <left style="thin">
          <color theme="4" tint="0.39997558519241921"/>
        </left>
        <right style="thin">
          <color theme="4" tint="0.39997558519241921"/>
        </right>
        <top/>
        <bottom/>
      </border>
    </dxf>
    <dxf>
      <font>
        <b/>
        <i val="0"/>
        <strike val="0"/>
        <condense val="0"/>
        <extend val="0"/>
        <outline val="0"/>
        <shadow val="0"/>
        <u val="none"/>
        <vertAlign val="baseline"/>
        <sz val="10"/>
        <color indexed="8"/>
        <name val="Open Sans"/>
        <family val="2"/>
        <scheme val="none"/>
      </font>
    </dxf>
    <dxf>
      <fill>
        <patternFill>
          <bgColor theme="3"/>
        </patternFill>
      </fill>
    </dxf>
    <dxf>
      <fill>
        <patternFill>
          <bgColor theme="3"/>
        </patternFill>
      </fill>
    </dxf>
    <dxf>
      <fill>
        <patternFill>
          <bgColor theme="9"/>
        </patternFill>
      </fill>
    </dxf>
    <dxf>
      <fill>
        <patternFill>
          <bgColor theme="9"/>
        </patternFill>
      </fill>
    </dxf>
    <dxf>
      <fill>
        <patternFill>
          <bgColor theme="3"/>
        </patternFill>
      </fill>
    </dxf>
    <dxf>
      <fill>
        <patternFill>
          <bgColor theme="3"/>
        </patternFill>
      </fill>
    </dxf>
    <dxf>
      <fill>
        <patternFill>
          <bgColor theme="3"/>
        </patternFill>
      </fill>
    </dxf>
    <dxf>
      <font>
        <b/>
      </font>
    </dxf>
    <dxf>
      <font>
        <b/>
      </font>
    </dxf>
    <dxf>
      <fill>
        <patternFill>
          <bgColor theme="8"/>
        </patternFill>
      </fill>
    </dxf>
    <dxf>
      <fill>
        <patternFill>
          <bgColor theme="8"/>
        </patternFill>
      </fill>
    </dxf>
    <dxf>
      <fill>
        <patternFill patternType="solid">
          <fgColor indexed="64"/>
          <bgColor rgb="FF002244"/>
        </patternFill>
      </fill>
    </dxf>
    <dxf>
      <fill>
        <patternFill patternType="solid">
          <fgColor indexed="64"/>
          <bgColor rgb="FF002244"/>
        </patternFill>
      </fill>
    </dxf>
    <dxf>
      <fill>
        <patternFill patternType="solid">
          <fgColor indexed="64"/>
          <bgColor rgb="FF002244"/>
        </patternFill>
      </fill>
    </dxf>
    <dxf>
      <fill>
        <patternFill patternType="solid">
          <fgColor indexed="64"/>
          <bgColor rgb="FF002244"/>
        </patternFill>
      </fill>
    </dxf>
    <dxf>
      <font>
        <color theme="0"/>
      </font>
    </dxf>
    <dxf>
      <fill>
        <patternFill patternType="solid">
          <bgColor rgb="FF002244"/>
        </patternFill>
      </fill>
    </dxf>
    <dxf>
      <protection locked="0"/>
    </dxf>
    <dxf>
      <protection locked="0"/>
    </dxf>
    <dxf>
      <protection locked="0"/>
    </dxf>
    <dxf>
      <protection locked="0"/>
    </dxf>
    <dxf>
      <protection locked="0"/>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6"/>
        </patternFill>
      </fill>
    </dxf>
    <dxf>
      <fill>
        <patternFill patternType="solid">
          <bgColor theme="6"/>
        </patternFill>
      </fill>
    </dxf>
    <dxf>
      <fill>
        <patternFill>
          <bgColor theme="3"/>
        </patternFill>
      </fill>
    </dxf>
    <dxf>
      <fill>
        <patternFill>
          <bgColor theme="3"/>
        </patternFill>
      </fill>
    </dxf>
    <dxf>
      <font>
        <color theme="0"/>
      </font>
    </dxf>
    <dxf>
      <font>
        <color theme="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9"/>
        </patternFill>
      </fill>
    </dxf>
    <dxf>
      <fill>
        <patternFill>
          <bgColor theme="9"/>
        </patternFill>
      </fill>
    </dxf>
    <dxf>
      <fill>
        <patternFill>
          <bgColor theme="3"/>
        </patternFill>
      </fill>
    </dxf>
    <dxf>
      <fill>
        <patternFill>
          <bgColor theme="3"/>
        </patternFill>
      </fill>
    </dxf>
    <dxf>
      <font>
        <b/>
      </font>
    </dxf>
    <dxf>
      <font>
        <b/>
      </font>
    </dxf>
    <dxf>
      <fill>
        <patternFill>
          <bgColor theme="8"/>
        </patternFill>
      </fill>
    </dxf>
    <dxf>
      <fill>
        <patternFill>
          <bgColor theme="8"/>
        </patternFill>
      </fill>
    </dxf>
    <dxf>
      <fill>
        <patternFill patternType="solid">
          <fgColor indexed="64"/>
          <bgColor rgb="FF002244"/>
        </patternFill>
      </fill>
    </dxf>
    <dxf>
      <fill>
        <patternFill patternType="solid">
          <fgColor indexed="64"/>
          <bgColor rgb="FF002244"/>
        </patternFill>
      </fill>
    </dxf>
    <dxf>
      <font>
        <color rgb="FFFFFFFF"/>
      </font>
    </dxf>
    <dxf>
      <font>
        <color rgb="FFFFFFFF"/>
      </font>
    </dxf>
    <dxf>
      <fill>
        <patternFill patternType="solid">
          <fgColor indexed="64"/>
          <bgColor rgb="FF002244"/>
        </patternFill>
      </fill>
    </dxf>
    <dxf>
      <fill>
        <patternFill>
          <bgColor rgb="FF002244"/>
        </patternFill>
      </fill>
    </dxf>
    <dxf>
      <fill>
        <patternFill patternType="solid">
          <bgColor rgb="FF002244"/>
        </patternFill>
      </fill>
    </dxf>
    <dxf>
      <font>
        <color theme="0"/>
      </font>
    </dxf>
    <dxf>
      <fill>
        <patternFill>
          <bgColor rgb="FF002244"/>
        </patternFill>
      </fill>
    </dxf>
    <dxf>
      <font>
        <color theme="0"/>
      </font>
    </dxf>
    <dxf>
      <font>
        <color theme="0"/>
      </font>
    </dxf>
    <dxf>
      <font>
        <color theme="0"/>
      </font>
    </dxf>
    <dxf>
      <fill>
        <patternFill patternType="solid">
          <bgColor rgb="FF002244"/>
        </patternFill>
      </fill>
    </dxf>
    <dxf>
      <fill>
        <patternFill patternType="solid">
          <bgColor rgb="FF002244"/>
        </patternFill>
      </fill>
    </dxf>
    <dxf>
      <font>
        <color theme="0"/>
      </font>
    </dxf>
    <dxf>
      <fill>
        <patternFill patternType="solid">
          <bgColor rgb="FF002244"/>
        </patternFill>
      </fill>
    </dxf>
    <dxf>
      <fill>
        <patternFill>
          <bgColor rgb="FF002244"/>
        </patternFill>
      </fill>
    </dxf>
    <dxf>
      <font>
        <color theme="0"/>
      </font>
    </dxf>
    <dxf>
      <fill>
        <patternFill patternType="solid">
          <bgColor rgb="FF002244"/>
        </patternFill>
      </fill>
    </dxf>
    <dxf>
      <font>
        <color theme="0"/>
      </font>
    </dxf>
    <dxf>
      <fill>
        <patternFill patternType="solid">
          <bgColor rgb="FF002244"/>
        </patternFill>
      </fill>
    </dxf>
    <dxf>
      <protection locked="0"/>
    </dxf>
    <dxf>
      <protection locked="0"/>
    </dxf>
    <dxf>
      <protection locked="0"/>
    </dxf>
    <dxf>
      <protection locked="0"/>
    </dxf>
    <dxf>
      <protection locked="0"/>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border>
        <top style="thin">
          <color theme="4"/>
        </top>
      </border>
    </dxf>
    <dxf>
      <border>
        <top style="thin">
          <color theme="4"/>
        </top>
      </border>
    </dxf>
    <dxf>
      <fill>
        <patternFill patternType="solid">
          <bgColor theme="6"/>
        </patternFill>
      </fill>
    </dxf>
    <dxf>
      <fill>
        <patternFill patternType="solid">
          <bgColor theme="6"/>
        </patternFill>
      </fill>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9"/>
        </patternFill>
      </fill>
    </dxf>
    <dxf>
      <fill>
        <patternFill>
          <bgColor theme="9"/>
        </patternFill>
      </fill>
    </dxf>
    <dxf>
      <fill>
        <patternFill patternType="solid">
          <bgColor theme="3"/>
        </patternFill>
      </fill>
    </dxf>
    <dxf>
      <fill>
        <patternFill patternType="solid">
          <bgColor theme="3"/>
        </patternFill>
      </fill>
    </dxf>
    <dxf>
      <fill>
        <patternFill patternType="solid">
          <bgColor theme="3"/>
        </patternFill>
      </fill>
    </dxf>
    <dxf>
      <font>
        <b/>
      </font>
    </dxf>
    <dxf>
      <font>
        <b/>
      </font>
    </dxf>
    <dxf>
      <fill>
        <patternFill>
          <bgColor theme="8"/>
        </patternFill>
      </fill>
    </dxf>
    <dxf>
      <fill>
        <patternFill>
          <bgColor theme="8"/>
        </patternFill>
      </fill>
    </dxf>
    <dxf>
      <fill>
        <patternFill patternType="solid">
          <fgColor indexed="64"/>
          <bgColor rgb="FF002244"/>
        </patternFill>
      </fill>
    </dxf>
    <dxf>
      <fill>
        <patternFill patternType="solid">
          <fgColor indexed="64"/>
          <bgColor rgb="FF002244"/>
        </patternFill>
      </fill>
    </dxf>
    <dxf>
      <protection locked="0"/>
    </dxf>
    <dxf>
      <protection locked="0"/>
    </dxf>
    <dxf>
      <protection locked="0"/>
    </dxf>
    <dxf>
      <protection locked="0"/>
    </dxf>
    <dxf>
      <protection locked="0"/>
    </dxf>
    <dxf>
      <fill>
        <patternFill>
          <bgColor theme="6"/>
        </patternFill>
      </fill>
    </dxf>
    <dxf>
      <fill>
        <patternFill>
          <bgColor theme="6"/>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9900"/>
      <color rgb="FF002244"/>
      <color rgb="FFEB2A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[Sample_Defence_Contract_SGA_New-Process.xlsx]Sheet2!PivotTable2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5"/>
        <c:overlap val="-27"/>
        <c:axId val="1988360384"/>
        <c:axId val="1988362880"/>
      </c:barChart>
      <c:catAx>
        <c:axId val="198836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crossAx val="1988362880"/>
        <c:crosses val="autoZero"/>
        <c:auto val="1"/>
        <c:lblAlgn val="ctr"/>
        <c:lblOffset val="100"/>
        <c:noMultiLvlLbl val="0"/>
      </c:catAx>
      <c:valAx>
        <c:axId val="1988362880"/>
        <c:scaling>
          <c:orientation val="minMax"/>
        </c:scaling>
        <c:delete val="0"/>
        <c:axPos val="l"/>
        <c:majorGridlines>
          <c:spPr>
            <a:ln w="317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r>
                  <a:rPr lang="en-GB"/>
                  <a:t>US$mn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crossAx val="198836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[Sample_Defence_Contract_SGA_New-Process.xlsx]Sheet2!PivotTable3</c:name>
    <c:fmtId val="5"/>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noFill/>
          </a:ln>
          <a:effectLst/>
        </c:spPr>
      </c:pivotFmt>
      <c:pivotFmt>
        <c:idx val="13"/>
        <c:spPr>
          <a:solidFill>
            <a:schemeClr val="accent6"/>
          </a:solidFill>
          <a:ln w="19050">
            <a:noFill/>
          </a:ln>
          <a:effectLst/>
        </c:spPr>
      </c:pivotFmt>
      <c:pivotFmt>
        <c:idx val="14"/>
        <c:spPr>
          <a:solidFill>
            <a:schemeClr val="accent6"/>
          </a:solidFill>
          <a:ln w="19050">
            <a:noFill/>
          </a:ln>
          <a:effectLst/>
        </c:spPr>
      </c:pivotFmt>
      <c:pivotFmt>
        <c:idx val="15"/>
        <c:spPr>
          <a:solidFill>
            <a:schemeClr val="accent6"/>
          </a:solidFill>
          <a:ln w="19050">
            <a:noFill/>
          </a:ln>
          <a:effectLst/>
        </c:spPr>
      </c:pivotFmt>
      <c:pivotFmt>
        <c:idx val="16"/>
        <c:spPr>
          <a:solidFill>
            <a:schemeClr val="accent6"/>
          </a:solidFill>
          <a:ln w="19050">
            <a:noFill/>
          </a:ln>
          <a:effectLst/>
        </c:spPr>
      </c:pivotFmt>
      <c:pivotFmt>
        <c:idx val="17"/>
        <c:spPr>
          <a:solidFill>
            <a:schemeClr val="accent6"/>
          </a:solidFill>
          <a:ln w="19050">
            <a:noFill/>
          </a:ln>
          <a:effectLst/>
        </c:spPr>
      </c:pivotFmt>
      <c:pivotFmt>
        <c:idx val="18"/>
        <c:spPr>
          <a:solidFill>
            <a:schemeClr val="accent6"/>
          </a:solidFill>
          <a:ln w="19050">
            <a:noFill/>
          </a:ln>
          <a:effectLst/>
        </c:spPr>
      </c:pivotFmt>
      <c:pivotFmt>
        <c:idx val="19"/>
        <c:spPr>
          <a:solidFill>
            <a:schemeClr val="accent6"/>
          </a:solidFill>
          <a:ln w="19050">
            <a:noFill/>
          </a:ln>
          <a:effectLst/>
        </c:spPr>
      </c:pivotFmt>
      <c:pivotFmt>
        <c:idx val="20"/>
        <c:spPr>
          <a:solidFill>
            <a:schemeClr val="accent6"/>
          </a:solidFill>
          <a:ln w="19050">
            <a:noFill/>
          </a:ln>
          <a:effectLst/>
        </c:spPr>
      </c:pivotFmt>
    </c:pivotFmts>
    <c:plotArea>
      <c:layout>
        <c:manualLayout>
          <c:layoutTarget val="inner"/>
          <c:xMode val="edge"/>
          <c:yMode val="edge"/>
          <c:x val="5.0314477867200974E-2"/>
          <c:y val="8.6641226861518678E-2"/>
          <c:w val="0.59651577192982019"/>
          <c:h val="0.80548579651744601"/>
        </c:manualLayout>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8152877751264862"/>
          <c:y val="0"/>
          <c:w val="0.29446777578550715"/>
          <c:h val="0.65404204454677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[Sample_Defence_Contract_SGA_New-Process.xlsx]Sheet2!PivotTable4</c:name>
    <c:fmtId val="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noFill/>
          </a:ln>
          <a:effectLst/>
        </c:spPr>
      </c:pivotFmt>
      <c:pivotFmt>
        <c:idx val="12"/>
        <c:spPr>
          <a:solidFill>
            <a:schemeClr val="accent6"/>
          </a:solidFill>
          <a:ln w="19050">
            <a:noFill/>
          </a:ln>
          <a:effectLst/>
        </c:spPr>
      </c:pivotFmt>
      <c:pivotFmt>
        <c:idx val="13"/>
        <c:spPr>
          <a:solidFill>
            <a:schemeClr val="accent6"/>
          </a:solidFill>
          <a:ln w="19050">
            <a:noFill/>
          </a:ln>
          <a:effectLst/>
        </c:spPr>
      </c:pivotFmt>
      <c:pivotFmt>
        <c:idx val="14"/>
        <c:spPr>
          <a:solidFill>
            <a:schemeClr val="accent6"/>
          </a:solidFill>
          <a:ln w="19050">
            <a:noFill/>
          </a:ln>
          <a:effectLst/>
        </c:spPr>
      </c:pivotFmt>
      <c:pivotFmt>
        <c:idx val="15"/>
        <c:spPr>
          <a:solidFill>
            <a:schemeClr val="accent6"/>
          </a:solidFill>
          <a:ln w="19050">
            <a:noFill/>
          </a:ln>
          <a:effectLst/>
        </c:spPr>
      </c:pivotFmt>
      <c:pivotFmt>
        <c:idx val="16"/>
        <c:spPr>
          <a:solidFill>
            <a:schemeClr val="accent6"/>
          </a:solidFill>
          <a:ln w="19050">
            <a:noFill/>
          </a:ln>
          <a:effectLst/>
        </c:spPr>
      </c:pivotFmt>
      <c:pivotFmt>
        <c:idx val="17"/>
        <c:spPr>
          <a:solidFill>
            <a:schemeClr val="accent6"/>
          </a:solidFill>
          <a:ln w="19050">
            <a:noFill/>
          </a:ln>
          <a:effectLst/>
        </c:spPr>
      </c:pivotFmt>
      <c:pivotFmt>
        <c:idx val="18"/>
        <c:spPr>
          <a:solidFill>
            <a:schemeClr val="accent6"/>
          </a:solidFill>
          <a:ln w="19050">
            <a:no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[Sample_Defence_Contract_SGA_New-Process.xlsx]Sheet2!PivotTable5</c:name>
    <c:fmtId val="5"/>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5"/>
        <c:overlap val="-27"/>
        <c:axId val="1844353760"/>
        <c:axId val="1844364160"/>
      </c:barChart>
      <c:catAx>
        <c:axId val="18443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crossAx val="1844364160"/>
        <c:crosses val="autoZero"/>
        <c:auto val="1"/>
        <c:lblAlgn val="ctr"/>
        <c:lblOffset val="100"/>
        <c:noMultiLvlLbl val="0"/>
      </c:catAx>
      <c:valAx>
        <c:axId val="1844364160"/>
        <c:scaling>
          <c:orientation val="minMax"/>
        </c:scaling>
        <c:delete val="0"/>
        <c:axPos val="l"/>
        <c:majorGridlines>
          <c:spPr>
            <a:ln w="317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r>
                  <a:rPr lang="en-GB"/>
                  <a:t>US$mn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crossAx val="184435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[Sample_Defence_Contract_SGA_New-Process.xlsx]Sheet2!PivotTable2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988360384"/>
        <c:axId val="1988362880"/>
      </c:barChart>
      <c:catAx>
        <c:axId val="198836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62880"/>
        <c:crosses val="autoZero"/>
        <c:auto val="1"/>
        <c:lblAlgn val="ctr"/>
        <c:lblOffset val="100"/>
        <c:noMultiLvlLbl val="0"/>
      </c:catAx>
      <c:valAx>
        <c:axId val="198836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6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[Sample_Defence_Contract_SGA_New-Process.xlsx]Sheet2!PivotTable3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[Sample_Defence_Contract_SGA_New-Process.xlsx]Sheet2!PivotTable4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[Sample_Defence_Contract_SGA_New-Process.xlsx]Sheet2!PivotTable5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844353760"/>
        <c:axId val="1844364160"/>
      </c:barChart>
      <c:catAx>
        <c:axId val="18443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64160"/>
        <c:crosses val="autoZero"/>
        <c:auto val="1"/>
        <c:lblAlgn val="ctr"/>
        <c:lblOffset val="100"/>
        <c:noMultiLvlLbl val="0"/>
      </c:catAx>
      <c:valAx>
        <c:axId val="184436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5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257175</xdr:colOff>
      <xdr:row>1</xdr:row>
      <xdr:rowOff>28575</xdr:rowOff>
    </xdr:from>
    <xdr:to>
      <xdr:col>5</xdr:col>
      <xdr:colOff>544272</xdr:colOff>
      <xdr:row>5</xdr:row>
      <xdr:rowOff>1749</xdr:rowOff>
    </xdr:to>
    <xdr:pic>
      <xdr:nvPicPr>
        <xdr:cNvPr id="3" name="Picture 2">
          <a:extLst>
            <a:ext uri="{FF2B5EF4-FFF2-40B4-BE49-F238E27FC236}">
              <a16:creationId xmlns:a16="http://schemas.microsoft.com/office/drawing/2014/main" id="{BE024F71-4742-13EE-CD37-1933835E8909}"/>
            </a:ext>
          </a:extLst>
        </xdr:cNvPr>
        <xdr:cNvPicPr>
          <a:picLocks noChangeAspect="1"/>
        </xdr:cNvPicPr>
      </xdr:nvPicPr>
      <xdr:blipFill>
        <a:blip xmlns:r="http://schemas.openxmlformats.org/officeDocument/2006/relationships" r:embed="rId1"/>
        <a:stretch>
          <a:fillRect/>
        </a:stretch>
      </xdr:blipFill>
      <xdr:spPr>
        <a:xfrm>
          <a:off x="1019175" y="238125"/>
          <a:ext cx="3565512" cy="1072632"/>
        </a:xfrm>
        <a:prstGeom prst="rect">
          <a:avLst/>
        </a:prstGeom>
      </xdr:spPr>
    </xdr:pic>
    <xdr:clientData/>
  </xdr:twoCellAnchor>
  <xdr:twoCellAnchor>
    <xdr:from>
      <xdr:col>5</xdr:col>
      <xdr:colOff>790575</xdr:colOff>
      <xdr:row>1</xdr:row>
      <xdr:rowOff>28575</xdr:rowOff>
    </xdr:from>
    <xdr:to>
      <xdr:col>5</xdr:col>
      <xdr:colOff>790847</xdr:colOff>
      <xdr:row>5</xdr:row>
      <xdr:rowOff>19050</xdr:rowOff>
    </xdr:to>
    <xdr:cxnSp macro="">
      <xdr:nvCxnSpPr>
        <xdr:cNvPr id="4" name="Straight Connector 3">
          <a:extLst>
            <a:ext uri="{FF2B5EF4-FFF2-40B4-BE49-F238E27FC236}">
              <a16:creationId xmlns:a16="http://schemas.microsoft.com/office/drawing/2014/main" id="{6D6BFD57-1FE9-00B3-0C4A-736DFBC2F6B4}"/>
            </a:ext>
            <a:ext uri="{147F2762-F138-4A5C-976F-8EAC2B608ADB}">
              <a16:predDERef xmlns:a16="http://schemas.microsoft.com/office/drawing/2014/main" pred="{BE024F71-4742-13EE-CD37-1933835E8909}"/>
            </a:ext>
          </a:extLst>
        </xdr:cNvPr>
        <xdr:cNvCxnSpPr>
          <a:cxnSpLocks/>
        </xdr:cNvCxnSpPr>
      </xdr:nvCxnSpPr>
      <xdr:spPr>
        <a:xfrm flipH="1">
          <a:off x="4600575" y="238125"/>
          <a:ext cx="272" cy="1095375"/>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757878</xdr:colOff>
      <xdr:row>9</xdr:row>
      <xdr:rowOff>130475</xdr:rowOff>
    </xdr:from>
    <xdr:to>
      <xdr:col>3</xdr:col>
      <xdr:colOff>263073</xdr:colOff>
      <xdr:row>9</xdr:row>
      <xdr:rowOff>130475</xdr:rowOff>
    </xdr:to>
    <xdr:cxnSp macro="">
      <xdr:nvCxnSpPr>
        <xdr:cNvPr id="8" name="Straight Connector 7">
          <a:extLst>
            <a:ext uri="{FF2B5EF4-FFF2-40B4-BE49-F238E27FC236}">
              <a16:creationId xmlns:a16="http://schemas.microsoft.com/office/drawing/2014/main" id="{4C542DBD-C12A-23B4-3A56-A3EC52C46007}"/>
            </a:ext>
          </a:extLst>
        </xdr:cNvPr>
        <xdr:cNvCxnSpPr/>
      </xdr:nvCxnSpPr>
      <xdr:spPr>
        <a:xfrm>
          <a:off x="988221" y="3006651"/>
          <a:ext cx="2020293"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372507</xdr:colOff>
      <xdr:row>9</xdr:row>
      <xdr:rowOff>137201</xdr:rowOff>
    </xdr:from>
    <xdr:to>
      <xdr:col>7</xdr:col>
      <xdr:colOff>246088</xdr:colOff>
      <xdr:row>9</xdr:row>
      <xdr:rowOff>137201</xdr:rowOff>
    </xdr:to>
    <xdr:cxnSp macro="">
      <xdr:nvCxnSpPr>
        <xdr:cNvPr id="10" name="Straight Connector 9">
          <a:extLst>
            <a:ext uri="{FF2B5EF4-FFF2-40B4-BE49-F238E27FC236}">
              <a16:creationId xmlns:a16="http://schemas.microsoft.com/office/drawing/2014/main" id="{6B13F54D-89F7-1246-8A6D-4F7C83BA5BD0}"/>
            </a:ext>
          </a:extLst>
        </xdr:cNvPr>
        <xdr:cNvCxnSpPr/>
      </xdr:nvCxnSpPr>
      <xdr:spPr>
        <a:xfrm>
          <a:off x="3497703" y="3013377"/>
          <a:ext cx="1896865"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378126</xdr:colOff>
      <xdr:row>9</xdr:row>
      <xdr:rowOff>133921</xdr:rowOff>
    </xdr:from>
    <xdr:to>
      <xdr:col>11</xdr:col>
      <xdr:colOff>252032</xdr:colOff>
      <xdr:row>9</xdr:row>
      <xdr:rowOff>133921</xdr:rowOff>
    </xdr:to>
    <xdr:cxnSp macro="">
      <xdr:nvCxnSpPr>
        <xdr:cNvPr id="12" name="Straight Connector 11">
          <a:extLst>
            <a:ext uri="{FF2B5EF4-FFF2-40B4-BE49-F238E27FC236}">
              <a16:creationId xmlns:a16="http://schemas.microsoft.com/office/drawing/2014/main" id="{7DDBE59F-DC98-8FEF-508E-0EA92AB6DE16}"/>
            </a:ext>
          </a:extLst>
        </xdr:cNvPr>
        <xdr:cNvCxnSpPr/>
      </xdr:nvCxnSpPr>
      <xdr:spPr>
        <a:xfrm>
          <a:off x="5794302" y="3010097"/>
          <a:ext cx="1884740"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392488</xdr:colOff>
      <xdr:row>9</xdr:row>
      <xdr:rowOff>137269</xdr:rowOff>
    </xdr:from>
    <xdr:to>
      <xdr:col>14</xdr:col>
      <xdr:colOff>262640</xdr:colOff>
      <xdr:row>9</xdr:row>
      <xdr:rowOff>137269</xdr:rowOff>
    </xdr:to>
    <xdr:cxnSp macro="">
      <xdr:nvCxnSpPr>
        <xdr:cNvPr id="13" name="Straight Connector 12">
          <a:extLst>
            <a:ext uri="{FF2B5EF4-FFF2-40B4-BE49-F238E27FC236}">
              <a16:creationId xmlns:a16="http://schemas.microsoft.com/office/drawing/2014/main" id="{25DC68BD-8CFD-06E2-13B4-94133E22C21F}"/>
            </a:ext>
          </a:extLst>
        </xdr:cNvPr>
        <xdr:cNvCxnSpPr/>
      </xdr:nvCxnSpPr>
      <xdr:spPr>
        <a:xfrm>
          <a:off x="8093419" y="3013445"/>
          <a:ext cx="1880986"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374185</xdr:colOff>
      <xdr:row>9</xdr:row>
      <xdr:rowOff>138538</xdr:rowOff>
    </xdr:from>
    <xdr:to>
      <xdr:col>17</xdr:col>
      <xdr:colOff>263357</xdr:colOff>
      <xdr:row>9</xdr:row>
      <xdr:rowOff>138538</xdr:rowOff>
    </xdr:to>
    <xdr:cxnSp macro="">
      <xdr:nvCxnSpPr>
        <xdr:cNvPr id="14" name="Straight Connector 13">
          <a:extLst>
            <a:ext uri="{FF2B5EF4-FFF2-40B4-BE49-F238E27FC236}">
              <a16:creationId xmlns:a16="http://schemas.microsoft.com/office/drawing/2014/main" id="{63880E2A-2194-F6B4-6806-591903A9B2D7}"/>
            </a:ext>
          </a:extLst>
        </xdr:cNvPr>
        <xdr:cNvCxnSpPr/>
      </xdr:nvCxnSpPr>
      <xdr:spPr>
        <a:xfrm>
          <a:off x="10359871" y="3014714"/>
          <a:ext cx="1900006"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27</xdr:col>
      <xdr:colOff>486974</xdr:colOff>
      <xdr:row>31</xdr:row>
      <xdr:rowOff>77313</xdr:rowOff>
    </xdr:from>
    <xdr:to>
      <xdr:col>30</xdr:col>
      <xdr:colOff>197543</xdr:colOff>
      <xdr:row>38</xdr:row>
      <xdr:rowOff>151991</xdr:rowOff>
    </xdr:to>
    <mc:AlternateContent xmlns:mc="http://schemas.openxmlformats.org/markup-compatibility/2006" xmlns:a14="http://schemas.microsoft.com/office/drawing/2010/main">
      <mc:Choice Requires="a14">
        <xdr:graphicFrame macro="">
          <xdr:nvGraphicFramePr>
            <xdr:cNvPr id="1388" name="Customer Region">
              <a:extLst>
                <a:ext uri="{FF2B5EF4-FFF2-40B4-BE49-F238E27FC236}">
                  <a16:creationId xmlns:a16="http://schemas.microsoft.com/office/drawing/2014/main" id="{AC4EB62F-D310-4FF4-977F-A6AD79FEF1BA}"/>
                </a:ext>
              </a:extLst>
            </xdr:cNvPr>
            <xdr:cNvGraphicFramePr/>
          </xdr:nvGraphicFramePr>
          <xdr:xfrm>
            <a:off x="0" y="0"/>
            <a:ext cx="0" cy="0"/>
          </xdr:xfrm>
          <a:graphic>
            <a:graphicData uri="http://schemas.microsoft.com/office/drawing/2010/slicer">
              <sle:slicer xmlns:sle="http://schemas.microsoft.com/office/drawing/2010/slicer" name="Customer Region"/>
            </a:graphicData>
          </a:graphic>
        </xdr:graphicFrame>
      </mc:Choice>
      <mc:Fallback xmlns="">
        <xdr:sp macro="" textlink="">
          <xdr:nvSpPr>
            <xdr:cNvPr id="0" name=""/>
            <xdr:cNvSpPr>
              <a:spLocks noTextEdit="1"/>
            </xdr:cNvSpPr>
          </xdr:nvSpPr>
          <xdr:spPr>
            <a:xfrm>
              <a:off x="21043656" y="7541449"/>
              <a:ext cx="1993393" cy="15415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485125</xdr:colOff>
      <xdr:row>39</xdr:row>
      <xdr:rowOff>127869</xdr:rowOff>
    </xdr:from>
    <xdr:to>
      <xdr:col>30</xdr:col>
      <xdr:colOff>197544</xdr:colOff>
      <xdr:row>46</xdr:row>
      <xdr:rowOff>182847</xdr:rowOff>
    </xdr:to>
    <mc:AlternateContent xmlns:mc="http://schemas.openxmlformats.org/markup-compatibility/2006" xmlns:a14="http://schemas.microsoft.com/office/drawing/2010/main">
      <mc:Choice Requires="a14">
        <xdr:graphicFrame macro="">
          <xdr:nvGraphicFramePr>
            <xdr:cNvPr id="1390" name="Customer Country">
              <a:extLst>
                <a:ext uri="{FF2B5EF4-FFF2-40B4-BE49-F238E27FC236}">
                  <a16:creationId xmlns:a16="http://schemas.microsoft.com/office/drawing/2014/main" id="{02536192-72BA-4374-8D01-0EEE73C0A74F}"/>
                </a:ext>
              </a:extLst>
            </xdr:cNvPr>
            <xdr:cNvGraphicFramePr/>
          </xdr:nvGraphicFramePr>
          <xdr:xfrm>
            <a:off x="0" y="0"/>
            <a:ext cx="0" cy="0"/>
          </xdr:xfrm>
          <a:graphic>
            <a:graphicData uri="http://schemas.microsoft.com/office/drawing/2010/slicer">
              <sle:slicer xmlns:sle="http://schemas.microsoft.com/office/drawing/2010/slicer" name="Customer Country"/>
            </a:graphicData>
          </a:graphic>
        </xdr:graphicFrame>
      </mc:Choice>
      <mc:Fallback xmlns="">
        <xdr:sp macro="" textlink="">
          <xdr:nvSpPr>
            <xdr:cNvPr id="0" name=""/>
            <xdr:cNvSpPr>
              <a:spLocks noTextEdit="1"/>
            </xdr:cNvSpPr>
          </xdr:nvSpPr>
          <xdr:spPr>
            <a:xfrm>
              <a:off x="21041807" y="9254551"/>
              <a:ext cx="1995243" cy="15186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280885</xdr:colOff>
      <xdr:row>14</xdr:row>
      <xdr:rowOff>79212</xdr:rowOff>
    </xdr:from>
    <xdr:to>
      <xdr:col>33</xdr:col>
      <xdr:colOff>11262</xdr:colOff>
      <xdr:row>22</xdr:row>
      <xdr:rowOff>73909</xdr:rowOff>
    </xdr:to>
    <mc:AlternateContent xmlns:mc="http://schemas.openxmlformats.org/markup-compatibility/2006" xmlns:a14="http://schemas.microsoft.com/office/drawing/2010/main">
      <mc:Choice Requires="a14">
        <xdr:graphicFrame macro="">
          <xdr:nvGraphicFramePr>
            <xdr:cNvPr id="1385" name="Supplier Region">
              <a:extLst>
                <a:ext uri="{FF2B5EF4-FFF2-40B4-BE49-F238E27FC236}">
                  <a16:creationId xmlns:a16="http://schemas.microsoft.com/office/drawing/2014/main" id="{670B8E1E-8402-4AA4-ABEB-E6008B1309C4}"/>
                </a:ext>
              </a:extLst>
            </xdr:cNvPr>
            <xdr:cNvGraphicFramePr/>
          </xdr:nvGraphicFramePr>
          <xdr:xfrm>
            <a:off x="0" y="0"/>
            <a:ext cx="0" cy="0"/>
          </xdr:xfrm>
          <a:graphic>
            <a:graphicData uri="http://schemas.microsoft.com/office/drawing/2010/slicer">
              <sle:slicer xmlns:sle="http://schemas.microsoft.com/office/drawing/2010/slicer" name="Supplier Region"/>
            </a:graphicData>
          </a:graphic>
        </xdr:graphicFrame>
      </mc:Choice>
      <mc:Fallback xmlns="">
        <xdr:sp macro="" textlink="">
          <xdr:nvSpPr>
            <xdr:cNvPr id="0" name=""/>
            <xdr:cNvSpPr>
              <a:spLocks noTextEdit="1"/>
            </xdr:cNvSpPr>
          </xdr:nvSpPr>
          <xdr:spPr>
            <a:xfrm>
              <a:off x="23123567" y="4097030"/>
              <a:ext cx="1981040" cy="15758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283278</xdr:colOff>
      <xdr:row>23</xdr:row>
      <xdr:rowOff>7563</xdr:rowOff>
    </xdr:from>
    <xdr:to>
      <xdr:col>33</xdr:col>
      <xdr:colOff>2348</xdr:colOff>
      <xdr:row>30</xdr:row>
      <xdr:rowOff>64572</xdr:rowOff>
    </xdr:to>
    <mc:AlternateContent xmlns:mc="http://schemas.openxmlformats.org/markup-compatibility/2006" xmlns:a14="http://schemas.microsoft.com/office/drawing/2010/main">
      <mc:Choice Requires="a14">
        <xdr:graphicFrame macro="">
          <xdr:nvGraphicFramePr>
            <xdr:cNvPr id="1387" name="Supplier Country">
              <a:extLst>
                <a:ext uri="{FF2B5EF4-FFF2-40B4-BE49-F238E27FC236}">
                  <a16:creationId xmlns:a16="http://schemas.microsoft.com/office/drawing/2014/main" id="{A94104DA-6D69-4458-9D45-E4342DF27C6C}"/>
                </a:ext>
              </a:extLst>
            </xdr:cNvPr>
            <xdr:cNvGraphicFramePr/>
          </xdr:nvGraphicFramePr>
          <xdr:xfrm>
            <a:off x="0" y="0"/>
            <a:ext cx="0" cy="0"/>
          </xdr:xfrm>
          <a:graphic>
            <a:graphicData uri="http://schemas.microsoft.com/office/drawing/2010/slicer">
              <sle:slicer xmlns:sle="http://schemas.microsoft.com/office/drawing/2010/slicer" name="Supplier Country"/>
            </a:graphicData>
          </a:graphic>
        </xdr:graphicFrame>
      </mc:Choice>
      <mc:Fallback xmlns="">
        <xdr:sp macro="" textlink="">
          <xdr:nvSpPr>
            <xdr:cNvPr id="0" name=""/>
            <xdr:cNvSpPr>
              <a:spLocks noTextEdit="1"/>
            </xdr:cNvSpPr>
          </xdr:nvSpPr>
          <xdr:spPr>
            <a:xfrm>
              <a:off x="23125960" y="5809154"/>
              <a:ext cx="1969733" cy="15270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286043</xdr:colOff>
      <xdr:row>31</xdr:row>
      <xdr:rowOff>76489</xdr:rowOff>
    </xdr:from>
    <xdr:to>
      <xdr:col>33</xdr:col>
      <xdr:colOff>9833</xdr:colOff>
      <xdr:row>38</xdr:row>
      <xdr:rowOff>150115</xdr:rowOff>
    </xdr:to>
    <mc:AlternateContent xmlns:mc="http://schemas.openxmlformats.org/markup-compatibility/2006" xmlns:a14="http://schemas.microsoft.com/office/drawing/2010/main">
      <mc:Choice Requires="a14">
        <xdr:graphicFrame macro="">
          <xdr:nvGraphicFramePr>
            <xdr:cNvPr id="1389" name="Market Segment">
              <a:extLst>
                <a:ext uri="{FF2B5EF4-FFF2-40B4-BE49-F238E27FC236}">
                  <a16:creationId xmlns:a16="http://schemas.microsoft.com/office/drawing/2014/main" id="{6E7940BD-5A5B-47B3-BA3F-256A7369D9D6}"/>
                </a:ext>
              </a:extLst>
            </xdr:cNvPr>
            <xdr:cNvGraphicFramePr/>
          </xdr:nvGraphicFramePr>
          <xdr:xfrm>
            <a:off x="0" y="0"/>
            <a:ext cx="0" cy="0"/>
          </xdr:xfrm>
          <a:graphic>
            <a:graphicData uri="http://schemas.microsoft.com/office/drawing/2010/slicer">
              <sle:slicer xmlns:sle="http://schemas.microsoft.com/office/drawing/2010/slicer" name="Market Segment"/>
            </a:graphicData>
          </a:graphic>
        </xdr:graphicFrame>
      </mc:Choice>
      <mc:Fallback xmlns="">
        <xdr:sp macro="" textlink="">
          <xdr:nvSpPr>
            <xdr:cNvPr id="0" name=""/>
            <xdr:cNvSpPr>
              <a:spLocks noTextEdit="1"/>
            </xdr:cNvSpPr>
          </xdr:nvSpPr>
          <xdr:spPr>
            <a:xfrm>
              <a:off x="23128725" y="7540625"/>
              <a:ext cx="1987153" cy="15404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278645</xdr:colOff>
      <xdr:row>39</xdr:row>
      <xdr:rowOff>87338</xdr:rowOff>
    </xdr:from>
    <xdr:to>
      <xdr:col>33</xdr:col>
      <xdr:colOff>366</xdr:colOff>
      <xdr:row>46</xdr:row>
      <xdr:rowOff>126132</xdr:rowOff>
    </xdr:to>
    <mc:AlternateContent xmlns:mc="http://schemas.openxmlformats.org/markup-compatibility/2006" xmlns:a14="http://schemas.microsoft.com/office/drawing/2010/main">
      <mc:Choice Requires="a14">
        <xdr:graphicFrame macro="">
          <xdr:nvGraphicFramePr>
            <xdr:cNvPr id="1391" name="System Type (General)">
              <a:extLst>
                <a:ext uri="{FF2B5EF4-FFF2-40B4-BE49-F238E27FC236}">
                  <a16:creationId xmlns:a16="http://schemas.microsoft.com/office/drawing/2014/main" id="{42E57991-240C-4142-9724-2662FD7D853A}"/>
                </a:ext>
              </a:extLst>
            </xdr:cNvPr>
            <xdr:cNvGraphicFramePr/>
          </xdr:nvGraphicFramePr>
          <xdr:xfrm>
            <a:off x="0" y="0"/>
            <a:ext cx="0" cy="0"/>
          </xdr:xfrm>
          <a:graphic>
            <a:graphicData uri="http://schemas.microsoft.com/office/drawing/2010/slicer">
              <sle:slicer xmlns:sle="http://schemas.microsoft.com/office/drawing/2010/slicer" name="System Type (General)"/>
            </a:graphicData>
          </a:graphic>
        </xdr:graphicFrame>
      </mc:Choice>
      <mc:Fallback xmlns="">
        <xdr:sp macro="" textlink="">
          <xdr:nvSpPr>
            <xdr:cNvPr id="0" name=""/>
            <xdr:cNvSpPr>
              <a:spLocks noTextEdit="1"/>
            </xdr:cNvSpPr>
          </xdr:nvSpPr>
          <xdr:spPr>
            <a:xfrm>
              <a:off x="23121327" y="9214020"/>
              <a:ext cx="1969326" cy="15024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476013</xdr:colOff>
      <xdr:row>47</xdr:row>
      <xdr:rowOff>104744</xdr:rowOff>
    </xdr:from>
    <xdr:to>
      <xdr:col>30</xdr:col>
      <xdr:colOff>198186</xdr:colOff>
      <xdr:row>54</xdr:row>
      <xdr:rowOff>172776</xdr:rowOff>
    </xdr:to>
    <mc:AlternateContent xmlns:mc="http://schemas.openxmlformats.org/markup-compatibility/2006" xmlns:a14="http://schemas.microsoft.com/office/drawing/2010/main">
      <mc:Choice Requires="a14">
        <xdr:graphicFrame macro="">
          <xdr:nvGraphicFramePr>
            <xdr:cNvPr id="1392" name="Program Type">
              <a:extLst>
                <a:ext uri="{FF2B5EF4-FFF2-40B4-BE49-F238E27FC236}">
                  <a16:creationId xmlns:a16="http://schemas.microsoft.com/office/drawing/2014/main" id="{ECCAF6FD-52E2-40E0-8A54-0A55CEE2DC94}"/>
                </a:ext>
              </a:extLst>
            </xdr:cNvPr>
            <xdr:cNvGraphicFramePr/>
          </xdr:nvGraphicFramePr>
          <xdr:xfrm>
            <a:off x="0" y="0"/>
            <a:ext cx="0" cy="0"/>
          </xdr:xfrm>
          <a:graphic>
            <a:graphicData uri="http://schemas.microsoft.com/office/drawing/2010/slicer">
              <sle:slicer xmlns:sle="http://schemas.microsoft.com/office/drawing/2010/slicer" name="Program Type"/>
            </a:graphicData>
          </a:graphic>
        </xdr:graphicFrame>
      </mc:Choice>
      <mc:Fallback xmlns="">
        <xdr:sp macro="" textlink="">
          <xdr:nvSpPr>
            <xdr:cNvPr id="0" name=""/>
            <xdr:cNvSpPr>
              <a:spLocks noTextEdit="1"/>
            </xdr:cNvSpPr>
          </xdr:nvSpPr>
          <xdr:spPr>
            <a:xfrm>
              <a:off x="21032695" y="10893971"/>
              <a:ext cx="2011347" cy="15348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13856</xdr:colOff>
      <xdr:row>14</xdr:row>
      <xdr:rowOff>35502</xdr:rowOff>
    </xdr:from>
    <xdr:to>
      <xdr:col>13</xdr:col>
      <xdr:colOff>0</xdr:colOff>
      <xdr:row>30</xdr:row>
      <xdr:rowOff>13607</xdr:rowOff>
    </xdr:to>
    <xdr:graphicFrame macro="">
      <xdr:nvGraphicFramePr>
        <xdr:cNvPr id="28" name="Chart 27">
          <a:extLst>
            <a:ext uri="{FF2B5EF4-FFF2-40B4-BE49-F238E27FC236}">
              <a16:creationId xmlns:a16="http://schemas.microsoft.com/office/drawing/2014/main" id="{25FA7FD9-3F4D-4600-84C1-B6994CFB44EF}"/>
            </a:ext>
            <a:ext uri="{147F2762-F138-4A5C-976F-8EAC2B608ADB}">
              <a16:predDERef xmlns:a16="http://schemas.microsoft.com/office/drawing/2014/main" pred="{86B02968-156A-4801-BB2E-0297FC620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12</xdr:row>
      <xdr:rowOff>81642</xdr:rowOff>
    </xdr:from>
    <xdr:to>
      <xdr:col>13</xdr:col>
      <xdr:colOff>54429</xdr:colOff>
      <xdr:row>13</xdr:row>
      <xdr:rowOff>176892</xdr:rowOff>
    </xdr:to>
    <xdr:sp macro="" textlink="">
      <xdr:nvSpPr>
        <xdr:cNvPr id="29" name="Rectangle: Rounded Corners 28">
          <a:extLst>
            <a:ext uri="{FF2B5EF4-FFF2-40B4-BE49-F238E27FC236}">
              <a16:creationId xmlns:a16="http://schemas.microsoft.com/office/drawing/2014/main" id="{E26348ED-6F74-2217-5C22-F863F1BF9EE1}"/>
            </a:ext>
          </a:extLst>
        </xdr:cNvPr>
        <xdr:cNvSpPr/>
      </xdr:nvSpPr>
      <xdr:spPr>
        <a:xfrm>
          <a:off x="993321" y="3646713"/>
          <a:ext cx="6885215" cy="299358"/>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Total Value of Contract by Month</a:t>
          </a:r>
        </a:p>
      </xdr:txBody>
    </xdr:sp>
    <xdr:clientData/>
  </xdr:twoCellAnchor>
  <xdr:twoCellAnchor>
    <xdr:from>
      <xdr:col>13</xdr:col>
      <xdr:colOff>180975</xdr:colOff>
      <xdr:row>12</xdr:row>
      <xdr:rowOff>81642</xdr:rowOff>
    </xdr:from>
    <xdr:to>
      <xdr:col>18</xdr:col>
      <xdr:colOff>63954</xdr:colOff>
      <xdr:row>13</xdr:row>
      <xdr:rowOff>176892</xdr:rowOff>
    </xdr:to>
    <xdr:sp macro="" textlink="">
      <xdr:nvSpPr>
        <xdr:cNvPr id="32" name="Rectangle: Rounded Corners 31">
          <a:extLst>
            <a:ext uri="{FF2B5EF4-FFF2-40B4-BE49-F238E27FC236}">
              <a16:creationId xmlns:a16="http://schemas.microsoft.com/office/drawing/2014/main" id="{93F3415F-5063-7EA1-680F-02ADDFC194EE}"/>
            </a:ext>
          </a:extLst>
        </xdr:cNvPr>
        <xdr:cNvSpPr/>
      </xdr:nvSpPr>
      <xdr:spPr>
        <a:xfrm>
          <a:off x="8020050" y="3682092"/>
          <a:ext cx="4045404" cy="30480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Total Contracts</a:t>
          </a:r>
          <a:r>
            <a:rPr lang="en-GB" sz="1200" baseline="0">
              <a:latin typeface="Open Sans Light" panose="020B0306030504020204" pitchFamily="34" charset="0"/>
              <a:ea typeface="Open Sans Light" panose="020B0306030504020204" pitchFamily="34" charset="0"/>
              <a:cs typeface="Open Sans Light" panose="020B0306030504020204" pitchFamily="34" charset="0"/>
            </a:rPr>
            <a:t> by Market Segment by Value</a:t>
          </a:r>
          <a:endParaRPr lang="en-GB" sz="1200">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13</xdr:col>
      <xdr:colOff>180975</xdr:colOff>
      <xdr:row>14</xdr:row>
      <xdr:rowOff>13608</xdr:rowOff>
    </xdr:from>
    <xdr:to>
      <xdr:col>18</xdr:col>
      <xdr:colOff>57149</xdr:colOff>
      <xdr:row>30</xdr:row>
      <xdr:rowOff>149679</xdr:rowOff>
    </xdr:to>
    <xdr:graphicFrame macro="">
      <xdr:nvGraphicFramePr>
        <xdr:cNvPr id="617" name="Chart 32">
          <a:extLst>
            <a:ext uri="{FF2B5EF4-FFF2-40B4-BE49-F238E27FC236}">
              <a16:creationId xmlns:a16="http://schemas.microsoft.com/office/drawing/2014/main" id="{41FDFF2E-DB1B-4FB8-A3BE-227B65ADAAA1}"/>
            </a:ext>
            <a:ext uri="{147F2762-F138-4A5C-976F-8EAC2B608ADB}">
              <a16:predDERef xmlns:a16="http://schemas.microsoft.com/office/drawing/2014/main" pred="{93F3415F-5063-7EA1-680F-02ADDFC19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21771</xdr:colOff>
      <xdr:row>30</xdr:row>
      <xdr:rowOff>206827</xdr:rowOff>
    </xdr:from>
    <xdr:to>
      <xdr:col>18</xdr:col>
      <xdr:colOff>76200</xdr:colOff>
      <xdr:row>32</xdr:row>
      <xdr:rowOff>92528</xdr:rowOff>
    </xdr:to>
    <xdr:sp macro="" textlink="">
      <xdr:nvSpPr>
        <xdr:cNvPr id="34" name="Rectangle: Rounded Corners 33">
          <a:extLst>
            <a:ext uri="{FF2B5EF4-FFF2-40B4-BE49-F238E27FC236}">
              <a16:creationId xmlns:a16="http://schemas.microsoft.com/office/drawing/2014/main" id="{A18A55B2-401B-E680-B6A8-4F4218779301}"/>
            </a:ext>
          </a:extLst>
        </xdr:cNvPr>
        <xdr:cNvSpPr/>
      </xdr:nvSpPr>
      <xdr:spPr>
        <a:xfrm>
          <a:off x="5174796" y="7369627"/>
          <a:ext cx="6902904" cy="304801"/>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Total Value of Contracts by Customer</a:t>
          </a:r>
          <a:r>
            <a:rPr lang="en-GB" sz="1200" baseline="0">
              <a:latin typeface="Open Sans Light" panose="020B0306030504020204" pitchFamily="34" charset="0"/>
              <a:ea typeface="Open Sans Light" panose="020B0306030504020204" pitchFamily="34" charset="0"/>
              <a:cs typeface="Open Sans Light" panose="020B0306030504020204" pitchFamily="34" charset="0"/>
            </a:rPr>
            <a:t> Country (Top 10)</a:t>
          </a:r>
          <a:endParaRPr lang="en-GB" sz="1200">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2</xdr:col>
      <xdr:colOff>2721</xdr:colOff>
      <xdr:row>31</xdr:row>
      <xdr:rowOff>4080</xdr:rowOff>
    </xdr:from>
    <xdr:to>
      <xdr:col>7</xdr:col>
      <xdr:colOff>144236</xdr:colOff>
      <xdr:row>32</xdr:row>
      <xdr:rowOff>104774</xdr:rowOff>
    </xdr:to>
    <xdr:sp macro="" textlink="">
      <xdr:nvSpPr>
        <xdr:cNvPr id="35" name="Rectangle: Rounded Corners 34">
          <a:extLst>
            <a:ext uri="{FF2B5EF4-FFF2-40B4-BE49-F238E27FC236}">
              <a16:creationId xmlns:a16="http://schemas.microsoft.com/office/drawing/2014/main" id="{6ADC2F3D-6A77-3FFB-7783-9F534ACB3D8B}"/>
            </a:ext>
          </a:extLst>
        </xdr:cNvPr>
        <xdr:cNvSpPr/>
      </xdr:nvSpPr>
      <xdr:spPr>
        <a:xfrm>
          <a:off x="993321" y="7376430"/>
          <a:ext cx="4037240" cy="310244"/>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Total Contracts</a:t>
          </a:r>
          <a:r>
            <a:rPr lang="en-GB" sz="1200" baseline="0">
              <a:latin typeface="Open Sans Light" panose="020B0306030504020204" pitchFamily="34" charset="0"/>
              <a:ea typeface="Open Sans Light" panose="020B0306030504020204" pitchFamily="34" charset="0"/>
              <a:cs typeface="Open Sans Light" panose="020B0306030504020204" pitchFamily="34" charset="0"/>
            </a:rPr>
            <a:t> by Program Type by Value</a:t>
          </a:r>
          <a:endParaRPr lang="en-GB" sz="1200">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2</xdr:col>
      <xdr:colOff>84664</xdr:colOff>
      <xdr:row>32</xdr:row>
      <xdr:rowOff>105835</xdr:rowOff>
    </xdr:from>
    <xdr:to>
      <xdr:col>7</xdr:col>
      <xdr:colOff>105830</xdr:colOff>
      <xdr:row>48</xdr:row>
      <xdr:rowOff>95251</xdr:rowOff>
    </xdr:to>
    <xdr:graphicFrame macro="">
      <xdr:nvGraphicFramePr>
        <xdr:cNvPr id="36" name="Chart 35">
          <a:extLst>
            <a:ext uri="{FF2B5EF4-FFF2-40B4-BE49-F238E27FC236}">
              <a16:creationId xmlns:a16="http://schemas.microsoft.com/office/drawing/2014/main" id="{5B67B5DA-577B-4910-90C2-0F8B2236D5E1}"/>
            </a:ext>
            <a:ext uri="{147F2762-F138-4A5C-976F-8EAC2B608ADB}">
              <a16:predDERef xmlns:a16="http://schemas.microsoft.com/office/drawing/2014/main" pred="{6ADC2F3D-6A77-3FFB-7783-9F534ACB3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169334</xdr:colOff>
      <xdr:row>33</xdr:row>
      <xdr:rowOff>42334</xdr:rowOff>
    </xdr:from>
    <xdr:to>
      <xdr:col>18</xdr:col>
      <xdr:colOff>148167</xdr:colOff>
      <xdr:row>49</xdr:row>
      <xdr:rowOff>169334</xdr:rowOff>
    </xdr:to>
    <xdr:graphicFrame macro="">
      <xdr:nvGraphicFramePr>
        <xdr:cNvPr id="6" name="Chart 36">
          <a:extLst>
            <a:ext uri="{FF2B5EF4-FFF2-40B4-BE49-F238E27FC236}">
              <a16:creationId xmlns:a16="http://schemas.microsoft.com/office/drawing/2014/main" id="{24F154CF-E5BD-4F50-AF22-42DD959F6E32}"/>
            </a:ext>
            <a:ext uri="{147F2762-F138-4A5C-976F-8EAC2B608ADB}">
              <a16:predDERef xmlns:a16="http://schemas.microsoft.com/office/drawing/2014/main" pred="{5B67B5DA-577B-4910-90C2-0F8B2236D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204106</xdr:colOff>
      <xdr:row>12</xdr:row>
      <xdr:rowOff>81645</xdr:rowOff>
    </xdr:from>
    <xdr:to>
      <xdr:col>20</xdr:col>
      <xdr:colOff>1088572</xdr:colOff>
      <xdr:row>13</xdr:row>
      <xdr:rowOff>176892</xdr:rowOff>
    </xdr:to>
    <xdr:sp macro="" textlink="">
      <xdr:nvSpPr>
        <xdr:cNvPr id="59" name="Rectangle: Rounded Corners 42">
          <a:extLst>
            <a:ext uri="{FF2B5EF4-FFF2-40B4-BE49-F238E27FC236}">
              <a16:creationId xmlns:a16="http://schemas.microsoft.com/office/drawing/2014/main" id="{3C377695-AAF8-49C2-B6C9-40FA94797B52}"/>
            </a:ext>
          </a:extLst>
        </xdr:cNvPr>
        <xdr:cNvSpPr/>
      </xdr:nvSpPr>
      <xdr:spPr>
        <a:xfrm>
          <a:off x="12205606" y="3646716"/>
          <a:ext cx="2639787" cy="299355"/>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Value of </a:t>
          </a:r>
          <a:r>
            <a:rPr lang="en-GB" sz="1200" b="1">
              <a:latin typeface="Open Sans Light" panose="020B0306030504020204" pitchFamily="34" charset="0"/>
              <a:ea typeface="Open Sans Light" panose="020B0306030504020204" pitchFamily="34" charset="0"/>
              <a:cs typeface="Open Sans Light" panose="020B0306030504020204" pitchFamily="34" charset="0"/>
            </a:rPr>
            <a:t>Sales</a:t>
          </a:r>
          <a:r>
            <a:rPr lang="en-GB" sz="1200">
              <a:latin typeface="Open Sans Light" panose="020B0306030504020204" pitchFamily="34" charset="0"/>
              <a:ea typeface="Open Sans Light" panose="020B0306030504020204" pitchFamily="34" charset="0"/>
              <a:cs typeface="Open Sans Light" panose="020B0306030504020204" pitchFamily="34" charset="0"/>
            </a:rPr>
            <a:t> by Country </a:t>
          </a:r>
        </a:p>
      </xdr:txBody>
    </xdr:sp>
    <xdr:clientData/>
  </xdr:twoCellAnchor>
  <xdr:twoCellAnchor>
    <xdr:from>
      <xdr:col>21</xdr:col>
      <xdr:colOff>122466</xdr:colOff>
      <xdr:row>12</xdr:row>
      <xdr:rowOff>82590</xdr:rowOff>
    </xdr:from>
    <xdr:to>
      <xdr:col>24</xdr:col>
      <xdr:colOff>51955</xdr:colOff>
      <xdr:row>13</xdr:row>
      <xdr:rowOff>173182</xdr:rowOff>
    </xdr:to>
    <xdr:sp macro="" textlink="">
      <xdr:nvSpPr>
        <xdr:cNvPr id="1393" name="Rectangle: Rounded Corners 43">
          <a:extLst>
            <a:ext uri="{FF2B5EF4-FFF2-40B4-BE49-F238E27FC236}">
              <a16:creationId xmlns:a16="http://schemas.microsoft.com/office/drawing/2014/main" id="{B7364747-81CC-4CD9-EE85-5D5BE4CB36E8}"/>
            </a:ext>
          </a:extLst>
        </xdr:cNvPr>
        <xdr:cNvSpPr/>
      </xdr:nvSpPr>
      <xdr:spPr>
        <a:xfrm>
          <a:off x="15016102" y="3684772"/>
          <a:ext cx="2786989" cy="29841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Value of </a:t>
          </a:r>
          <a:r>
            <a:rPr lang="en-GB" sz="1200" b="1">
              <a:latin typeface="Open Sans Light" panose="020B0306030504020204" pitchFamily="34" charset="0"/>
              <a:ea typeface="Open Sans Light" panose="020B0306030504020204" pitchFamily="34" charset="0"/>
              <a:cs typeface="Open Sans Light" panose="020B0306030504020204" pitchFamily="34" charset="0"/>
            </a:rPr>
            <a:t>Purchases</a:t>
          </a:r>
          <a:r>
            <a:rPr lang="en-GB" sz="1200">
              <a:latin typeface="Open Sans Light" panose="020B0306030504020204" pitchFamily="34" charset="0"/>
              <a:ea typeface="Open Sans Light" panose="020B0306030504020204" pitchFamily="34" charset="0"/>
              <a:cs typeface="Open Sans Light" panose="020B0306030504020204" pitchFamily="34" charset="0"/>
            </a:rPr>
            <a:t> by Country </a:t>
          </a:r>
        </a:p>
      </xdr:txBody>
    </xdr:sp>
    <xdr:clientData/>
  </xdr:twoCellAnchor>
  <xdr:twoCellAnchor>
    <xdr:from>
      <xdr:col>24</xdr:col>
      <xdr:colOff>259773</xdr:colOff>
      <xdr:row>12</xdr:row>
      <xdr:rowOff>86915</xdr:rowOff>
    </xdr:from>
    <xdr:to>
      <xdr:col>27</xdr:col>
      <xdr:colOff>340179</xdr:colOff>
      <xdr:row>13</xdr:row>
      <xdr:rowOff>155864</xdr:rowOff>
    </xdr:to>
    <xdr:sp macro="" textlink="">
      <xdr:nvSpPr>
        <xdr:cNvPr id="1394" name="Rectangle: Rounded Corners 44">
          <a:extLst>
            <a:ext uri="{FF2B5EF4-FFF2-40B4-BE49-F238E27FC236}">
              <a16:creationId xmlns:a16="http://schemas.microsoft.com/office/drawing/2014/main" id="{E827F2CF-CACA-2F8F-A627-925050B658A1}"/>
            </a:ext>
          </a:extLst>
        </xdr:cNvPr>
        <xdr:cNvSpPr/>
      </xdr:nvSpPr>
      <xdr:spPr>
        <a:xfrm>
          <a:off x="18010909" y="3689097"/>
          <a:ext cx="2782043" cy="276767"/>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Value of </a:t>
          </a:r>
          <a:r>
            <a:rPr lang="en-GB" sz="1200" b="1">
              <a:latin typeface="Open Sans Light" panose="020B0306030504020204" pitchFamily="34" charset="0"/>
              <a:ea typeface="Open Sans Light" panose="020B0306030504020204" pitchFamily="34" charset="0"/>
              <a:cs typeface="Open Sans Light" panose="020B0306030504020204" pitchFamily="34" charset="0"/>
            </a:rPr>
            <a:t>Sales</a:t>
          </a:r>
          <a:r>
            <a:rPr lang="en-GB" sz="1200">
              <a:latin typeface="Open Sans Light" panose="020B0306030504020204" pitchFamily="34" charset="0"/>
              <a:ea typeface="Open Sans Light" panose="020B0306030504020204" pitchFamily="34" charset="0"/>
              <a:cs typeface="Open Sans Light" panose="020B0306030504020204" pitchFamily="34" charset="0"/>
            </a:rPr>
            <a:t> by Company </a:t>
          </a:r>
        </a:p>
      </xdr:txBody>
    </xdr:sp>
    <xdr:clientData/>
  </xdr:twoCellAnchor>
  <xdr:twoCellAnchor>
    <xdr:from>
      <xdr:col>27</xdr:col>
      <xdr:colOff>474041</xdr:colOff>
      <xdr:row>12</xdr:row>
      <xdr:rowOff>68285</xdr:rowOff>
    </xdr:from>
    <xdr:to>
      <xdr:col>32</xdr:col>
      <xdr:colOff>716249</xdr:colOff>
      <xdr:row>13</xdr:row>
      <xdr:rowOff>174418</xdr:rowOff>
    </xdr:to>
    <xdr:sp macro="" textlink="">
      <xdr:nvSpPr>
        <xdr:cNvPr id="1383" name="Rectangle: Rounded Corners 4">
          <a:extLst>
            <a:ext uri="{FF2B5EF4-FFF2-40B4-BE49-F238E27FC236}">
              <a16:creationId xmlns:a16="http://schemas.microsoft.com/office/drawing/2014/main" id="{C4B8B1D4-9DD8-90CF-F7EA-62B9780B1117}"/>
            </a:ext>
          </a:extLst>
        </xdr:cNvPr>
        <xdr:cNvSpPr/>
      </xdr:nvSpPr>
      <xdr:spPr>
        <a:xfrm>
          <a:off x="21030723" y="3670467"/>
          <a:ext cx="4052208" cy="313951"/>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Filters (note: these do</a:t>
          </a:r>
          <a:r>
            <a:rPr lang="en-GB" sz="1200" baseline="0">
              <a:latin typeface="Open Sans Light" panose="020B0306030504020204" pitchFamily="34" charset="0"/>
              <a:ea typeface="Open Sans Light" panose="020B0306030504020204" pitchFamily="34" charset="0"/>
              <a:cs typeface="Open Sans Light" panose="020B0306030504020204" pitchFamily="34" charset="0"/>
            </a:rPr>
            <a:t> not effect headline figures above)</a:t>
          </a:r>
          <a:endParaRPr lang="en-GB" sz="1200">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5</xdr:col>
      <xdr:colOff>920750</xdr:colOff>
      <xdr:row>1</xdr:row>
      <xdr:rowOff>31750</xdr:rowOff>
    </xdr:from>
    <xdr:to>
      <xdr:col>10</xdr:col>
      <xdr:colOff>412750</xdr:colOff>
      <xdr:row>3</xdr:row>
      <xdr:rowOff>45757</xdr:rowOff>
    </xdr:to>
    <xdr:sp macro="" textlink="">
      <xdr:nvSpPr>
        <xdr:cNvPr id="5" name="Rectangle 4">
          <a:extLst>
            <a:ext uri="{FF2B5EF4-FFF2-40B4-BE49-F238E27FC236}">
              <a16:creationId xmlns:a16="http://schemas.microsoft.com/office/drawing/2014/main" id="{82473075-785B-2A6C-F65E-8F7584052F2F}"/>
            </a:ext>
          </a:extLst>
        </xdr:cNvPr>
        <xdr:cNvSpPr/>
      </xdr:nvSpPr>
      <xdr:spPr>
        <a:xfrm>
          <a:off x="4191000" y="238125"/>
          <a:ext cx="2730500" cy="426757"/>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b="1" strike="noStrike" spc="300"/>
            <a:t>MILITARY</a:t>
          </a:r>
        </a:p>
      </xdr:txBody>
    </xdr:sp>
    <xdr:clientData/>
  </xdr:twoCellAnchor>
  <xdr:twoCellAnchor>
    <xdr:from>
      <xdr:col>5</xdr:col>
      <xdr:colOff>920750</xdr:colOff>
      <xdr:row>3</xdr:row>
      <xdr:rowOff>50175</xdr:rowOff>
    </xdr:from>
    <xdr:to>
      <xdr:col>10</xdr:col>
      <xdr:colOff>412750</xdr:colOff>
      <xdr:row>5</xdr:row>
      <xdr:rowOff>31750</xdr:rowOff>
    </xdr:to>
    <xdr:sp macro="" textlink="">
      <xdr:nvSpPr>
        <xdr:cNvPr id="7" name="Rectangle 6">
          <a:extLst>
            <a:ext uri="{FF2B5EF4-FFF2-40B4-BE49-F238E27FC236}">
              <a16:creationId xmlns:a16="http://schemas.microsoft.com/office/drawing/2014/main" id="{528597AC-4425-4FFD-8F75-88A64DEB7562}"/>
            </a:ext>
          </a:extLst>
        </xdr:cNvPr>
        <xdr:cNvSpPr/>
      </xdr:nvSpPr>
      <xdr:spPr>
        <a:xfrm>
          <a:off x="4191000" y="669300"/>
          <a:ext cx="2730500" cy="664200"/>
        </a:xfrm>
        <a:prstGeom prst="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b="0" strike="noStrike" spc="300"/>
            <a:t>GLOBAL DEFENSE CONTRACTS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283845</xdr:colOff>
      <xdr:row>7</xdr:row>
      <xdr:rowOff>171450</xdr:rowOff>
    </xdr:from>
    <xdr:to>
      <xdr:col>6</xdr:col>
      <xdr:colOff>0</xdr:colOff>
      <xdr:row>12</xdr:row>
      <xdr:rowOff>171450</xdr:rowOff>
    </xdr:to>
    <xdr:sp macro="" textlink="">
      <xdr:nvSpPr>
        <xdr:cNvPr id="2" name="Rectangle 1">
          <a:extLst>
            <a:ext uri="{FF2B5EF4-FFF2-40B4-BE49-F238E27FC236}">
              <a16:creationId xmlns:a16="http://schemas.microsoft.com/office/drawing/2014/main" id="{118A6B95-F260-455E-99BD-EFD6975ECC41}"/>
            </a:ext>
          </a:extLst>
        </xdr:cNvPr>
        <xdr:cNvSpPr/>
      </xdr:nvSpPr>
      <xdr:spPr>
        <a:xfrm>
          <a:off x="3646805" y="1551940"/>
          <a:ext cx="391795" cy="984250"/>
        </a:xfrm>
        <a:prstGeom prst="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196215</xdr:colOff>
      <xdr:row>7</xdr:row>
      <xdr:rowOff>171450</xdr:rowOff>
    </xdr:from>
    <xdr:to>
      <xdr:col>6</xdr:col>
      <xdr:colOff>573405</xdr:colOff>
      <xdr:row>12</xdr:row>
      <xdr:rowOff>171450</xdr:rowOff>
    </xdr:to>
    <xdr:sp macro="" textlink="">
      <xdr:nvSpPr>
        <xdr:cNvPr id="3" name="Rectangle 2">
          <a:extLst>
            <a:ext uri="{FF2B5EF4-FFF2-40B4-BE49-F238E27FC236}">
              <a16:creationId xmlns:a16="http://schemas.microsoft.com/office/drawing/2014/main" id="{BDEBE647-9B89-4677-B879-792394DD2278}"/>
            </a:ext>
          </a:extLst>
        </xdr:cNvPr>
        <xdr:cNvSpPr/>
      </xdr:nvSpPr>
      <xdr:spPr>
        <a:xfrm>
          <a:off x="4233545" y="1551940"/>
          <a:ext cx="378460" cy="9842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190500</xdr:colOff>
      <xdr:row>15</xdr:row>
      <xdr:rowOff>9525</xdr:rowOff>
    </xdr:from>
    <xdr:to>
      <xdr:col>5</xdr:col>
      <xdr:colOff>114300</xdr:colOff>
      <xdr:row>23</xdr:row>
      <xdr:rowOff>133350</xdr:rowOff>
    </xdr:to>
    <xdr:sp macro="" textlink="">
      <xdr:nvSpPr>
        <xdr:cNvPr id="4" name="TextBox 5">
          <a:extLst>
            <a:ext uri="{FF2B5EF4-FFF2-40B4-BE49-F238E27FC236}">
              <a16:creationId xmlns:a16="http://schemas.microsoft.com/office/drawing/2014/main" id="{16B35AA9-6586-4EA8-BF64-6464364E8284}"/>
            </a:ext>
            <a:ext uri="{147F2762-F138-4A5C-976F-8EAC2B608ADB}">
              <a16:predDERef xmlns:a16="http://schemas.microsoft.com/office/drawing/2014/main" pred="{1A1CFE8B-D78A-4141-B00A-8AA1BDD5E775}"/>
            </a:ext>
          </a:extLst>
        </xdr:cNvPr>
        <xdr:cNvSpPr txBox="1"/>
      </xdr:nvSpPr>
      <xdr:spPr>
        <a:xfrm>
          <a:off x="1536700" y="2961005"/>
          <a:ext cx="1943100" cy="170243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Note:</a:t>
          </a:r>
        </a:p>
        <a:p>
          <a:r>
            <a:rPr lang="en-GB" sz="1100"/>
            <a:t>The designations</a:t>
          </a:r>
          <a:r>
            <a:rPr lang="en-GB" sz="1100" baseline="0"/>
            <a:t> </a:t>
          </a:r>
          <a:r>
            <a:rPr lang="en-GB" sz="1100" b="1" u="sng" baseline="0"/>
            <a:t>ONLY</a:t>
          </a:r>
          <a:r>
            <a:rPr lang="en-GB" sz="1100" baseline="0"/>
            <a:t> apply to the letters </a:t>
          </a:r>
          <a:r>
            <a:rPr lang="en-GB" sz="1100" b="1" u="sng" baseline="0"/>
            <a:t>BEFORE</a:t>
          </a:r>
          <a:r>
            <a:rPr lang="en-GB" sz="1100" baseline="0"/>
            <a:t> the dash and the numbers. </a:t>
          </a:r>
        </a:p>
        <a:p>
          <a:endParaRPr lang="en-GB" sz="1100" baseline="0"/>
        </a:p>
        <a:p>
          <a:r>
            <a:rPr lang="en-GB" sz="1100" baseline="0"/>
            <a:t>They do </a:t>
          </a:r>
          <a:r>
            <a:rPr lang="en-GB" sz="1100" b="1" u="sng" baseline="0"/>
            <a:t>NOT</a:t>
          </a:r>
          <a:r>
            <a:rPr lang="en-GB" sz="1100" baseline="0"/>
            <a:t> apply to the letters that come at the end (these letters refer to specific variants of the aircraft).</a:t>
          </a:r>
          <a:endParaRPr lang="en-GB" sz="1100"/>
        </a:p>
      </xdr:txBody>
    </xdr:sp>
    <xdr:clientData/>
  </xdr:twoCellAnchor>
  <xdr:twoCellAnchor>
    <xdr:from>
      <xdr:col>5</xdr:col>
      <xdr:colOff>153351</xdr:colOff>
      <xdr:row>13</xdr:row>
      <xdr:rowOff>22859</xdr:rowOff>
    </xdr:from>
    <xdr:to>
      <xdr:col>5</xdr:col>
      <xdr:colOff>569594</xdr:colOff>
      <xdr:row>17</xdr:row>
      <xdr:rowOff>130492</xdr:rowOff>
    </xdr:to>
    <xdr:sp macro="" textlink="">
      <xdr:nvSpPr>
        <xdr:cNvPr id="5" name="Arrow: Bent 4">
          <a:extLst>
            <a:ext uri="{FF2B5EF4-FFF2-40B4-BE49-F238E27FC236}">
              <a16:creationId xmlns:a16="http://schemas.microsoft.com/office/drawing/2014/main" id="{6EF25333-1AA6-449D-83D9-3B6B07D69E49}"/>
            </a:ext>
          </a:extLst>
        </xdr:cNvPr>
        <xdr:cNvSpPr/>
      </xdr:nvSpPr>
      <xdr:spPr>
        <a:xfrm rot="16200000" flipV="1">
          <a:off x="3281996" y="2821304"/>
          <a:ext cx="889953" cy="416243"/>
        </a:xfrm>
        <a:prstGeom prst="bentArrow">
          <a:avLst>
            <a:gd name="adj1" fmla="val 11078"/>
            <a:gd name="adj2" fmla="val 25000"/>
            <a:gd name="adj3" fmla="val 36442"/>
            <a:gd name="adj4" fmla="val 43750"/>
          </a:avLst>
        </a:prstGeom>
        <a:solidFill>
          <a:srgbClr val="92D050"/>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5</xdr:col>
      <xdr:colOff>152400</xdr:colOff>
      <xdr:row>13</xdr:row>
      <xdr:rowOff>19046</xdr:rowOff>
    </xdr:from>
    <xdr:to>
      <xdr:col>6</xdr:col>
      <xdr:colOff>478152</xdr:colOff>
      <xdr:row>21</xdr:row>
      <xdr:rowOff>60957</xdr:rowOff>
    </xdr:to>
    <xdr:sp macro="" textlink="">
      <xdr:nvSpPr>
        <xdr:cNvPr id="6" name="Arrow: Bent 5">
          <a:extLst>
            <a:ext uri="{FF2B5EF4-FFF2-40B4-BE49-F238E27FC236}">
              <a16:creationId xmlns:a16="http://schemas.microsoft.com/office/drawing/2014/main" id="{B7333AFE-8B9A-4AE4-AC13-CB018750F741}"/>
            </a:ext>
          </a:extLst>
        </xdr:cNvPr>
        <xdr:cNvSpPr/>
      </xdr:nvSpPr>
      <xdr:spPr>
        <a:xfrm rot="16200000" flipV="1">
          <a:off x="3207700" y="2885756"/>
          <a:ext cx="1621791" cy="1001392"/>
        </a:xfrm>
        <a:prstGeom prst="bentArrow">
          <a:avLst>
            <a:gd name="adj1" fmla="val 5319"/>
            <a:gd name="adj2" fmla="val 11994"/>
            <a:gd name="adj3" fmla="val 16289"/>
            <a:gd name="adj4" fmla="val 43750"/>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180975</xdr:colOff>
      <xdr:row>1</xdr:row>
      <xdr:rowOff>28575</xdr:rowOff>
    </xdr:from>
    <xdr:to>
      <xdr:col>3</xdr:col>
      <xdr:colOff>741200</xdr:colOff>
      <xdr:row>14</xdr:row>
      <xdr:rowOff>166747</xdr:rowOff>
    </xdr:to>
    <xdr:sp macro="" textlink="">
      <xdr:nvSpPr>
        <xdr:cNvPr id="2" name="TextBox 1">
          <a:extLst>
            <a:ext uri="{FF2B5EF4-FFF2-40B4-BE49-F238E27FC236}">
              <a16:creationId xmlns:a16="http://schemas.microsoft.com/office/drawing/2014/main" id="{E61997E3-161A-526E-CA60-7E9F95DA3A3B}"/>
            </a:ext>
          </a:extLst>
        </xdr:cNvPr>
        <xdr:cNvSpPr txBox="1"/>
      </xdr:nvSpPr>
      <xdr:spPr>
        <a:xfrm>
          <a:off x="457200" y="238125"/>
          <a:ext cx="2084225" cy="286232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Filters </a:t>
          </a:r>
        </a:p>
        <a:p>
          <a:r>
            <a:rPr lang="en-US"/>
            <a:t>Month</a:t>
          </a:r>
        </a:p>
        <a:p>
          <a:r>
            <a:rPr lang="en-US"/>
            <a:t>Year</a:t>
          </a:r>
        </a:p>
        <a:p>
          <a:r>
            <a:rPr lang="en-US"/>
            <a:t>Customer Region</a:t>
          </a:r>
        </a:p>
        <a:p>
          <a:r>
            <a:rPr lang="en-US"/>
            <a:t>Customer Country</a:t>
          </a:r>
        </a:p>
        <a:p>
          <a:r>
            <a:rPr lang="en-US"/>
            <a:t>Supplier Region </a:t>
          </a:r>
        </a:p>
        <a:p>
          <a:r>
            <a:rPr lang="en-US"/>
            <a:t>Supplier Country</a:t>
          </a:r>
        </a:p>
        <a:p>
          <a:r>
            <a:rPr lang="en-US"/>
            <a:t>Market Segment</a:t>
          </a:r>
        </a:p>
        <a:p>
          <a:r>
            <a:rPr lang="en-US"/>
            <a:t>System Type</a:t>
          </a:r>
        </a:p>
        <a:p>
          <a:r>
            <a:rPr lang="en-US"/>
            <a:t>Procurement Type</a:t>
          </a:r>
        </a:p>
      </xdr:txBody>
    </xdr:sp>
    <xdr:clientData/>
  </xdr:twoCellAnchor>
  <xdr:twoCellAnchor>
    <xdr:from>
      <xdr:col>5</xdr:col>
      <xdr:colOff>133350</xdr:colOff>
      <xdr:row>1</xdr:row>
      <xdr:rowOff>28575</xdr:rowOff>
    </xdr:from>
    <xdr:to>
      <xdr:col>9</xdr:col>
      <xdr:colOff>146188</xdr:colOff>
      <xdr:row>14</xdr:row>
      <xdr:rowOff>166747</xdr:rowOff>
    </xdr:to>
    <xdr:sp macro="" textlink="">
      <xdr:nvSpPr>
        <xdr:cNvPr id="3" name="TextBox 2">
          <a:extLst>
            <a:ext uri="{FF2B5EF4-FFF2-40B4-BE49-F238E27FC236}">
              <a16:creationId xmlns:a16="http://schemas.microsoft.com/office/drawing/2014/main" id="{3BF915E6-42EF-3636-F25F-057619AC977C}"/>
            </a:ext>
          </a:extLst>
        </xdr:cNvPr>
        <xdr:cNvSpPr txBox="1"/>
      </xdr:nvSpPr>
      <xdr:spPr>
        <a:xfrm>
          <a:off x="3457575" y="238125"/>
          <a:ext cx="3060838" cy="286232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Charts</a:t>
          </a:r>
        </a:p>
        <a:p>
          <a:r>
            <a:rPr lang="en-US"/>
            <a:t>Value by Month</a:t>
          </a:r>
        </a:p>
        <a:p>
          <a:r>
            <a:rPr lang="en-US"/>
            <a:t>Split by Market Segment</a:t>
          </a:r>
        </a:p>
        <a:p>
          <a:r>
            <a:rPr lang="en-US"/>
            <a:t>Split by Procurement Type</a:t>
          </a:r>
        </a:p>
        <a:p>
          <a:r>
            <a:rPr lang="en-US"/>
            <a:t>Value by Country </a:t>
          </a:r>
        </a:p>
        <a:p>
          <a:endParaRPr lang="en-US"/>
        </a:p>
        <a:p>
          <a:r>
            <a:rPr lang="en-US"/>
            <a:t>Table </a:t>
          </a:r>
        </a:p>
        <a:p>
          <a:r>
            <a:rPr lang="en-US"/>
            <a:t>Value of Sales by Country</a:t>
          </a:r>
        </a:p>
        <a:p>
          <a:r>
            <a:rPr lang="en-US"/>
            <a:t>Value of Imports by Country</a:t>
          </a:r>
        </a:p>
        <a:p>
          <a:r>
            <a:rPr lang="en-US"/>
            <a:t>Value of Sales by Company</a:t>
          </a:r>
        </a:p>
      </xdr:txBody>
    </xdr:sp>
    <xdr:clientData/>
  </xdr:twoCellAnchor>
  <xdr:twoCellAnchor>
    <xdr:from>
      <xdr:col>2</xdr:col>
      <xdr:colOff>57150</xdr:colOff>
      <xdr:row>33</xdr:row>
      <xdr:rowOff>147637</xdr:rowOff>
    </xdr:from>
    <xdr:to>
      <xdr:col>3</xdr:col>
      <xdr:colOff>2019300</xdr:colOff>
      <xdr:row>46</xdr:row>
      <xdr:rowOff>166687</xdr:rowOff>
    </xdr:to>
    <xdr:graphicFrame macro="">
      <xdr:nvGraphicFramePr>
        <xdr:cNvPr id="4" name="Chart 3">
          <a:extLst>
            <a:ext uri="{FF2B5EF4-FFF2-40B4-BE49-F238E27FC236}">
              <a16:creationId xmlns:a16="http://schemas.microsoft.com/office/drawing/2014/main" id="{E76AFBEA-73E6-5C11-E8BE-73317BD13DDC}"/>
            </a:ext>
            <a:ext uri="{147F2762-F138-4A5C-976F-8EAC2B608ADB}">
              <a16:predDERef xmlns:a16="http://schemas.microsoft.com/office/drawing/2014/main" pred="{3BF915E6-42EF-3636-F25F-057619AC9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32</xdr:row>
      <xdr:rowOff>176212</xdr:rowOff>
    </xdr:from>
    <xdr:to>
      <xdr:col>8</xdr:col>
      <xdr:colOff>28575</xdr:colOff>
      <xdr:row>45</xdr:row>
      <xdr:rowOff>195262</xdr:rowOff>
    </xdr:to>
    <xdr:graphicFrame macro="">
      <xdr:nvGraphicFramePr>
        <xdr:cNvPr id="5" name="Chart 4">
          <a:extLst>
            <a:ext uri="{FF2B5EF4-FFF2-40B4-BE49-F238E27FC236}">
              <a16:creationId xmlns:a16="http://schemas.microsoft.com/office/drawing/2014/main" id="{2EBEFCD1-3181-646F-EB3A-13B94C7CA007}"/>
            </a:ext>
            <a:ext uri="{147F2762-F138-4A5C-976F-8EAC2B608ADB}">
              <a16:predDERef xmlns:a16="http://schemas.microsoft.com/office/drawing/2014/main" pred="{E76AFBEA-73E6-5C11-E8BE-73317BD13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228600</xdr:colOff>
      <xdr:row>32</xdr:row>
      <xdr:rowOff>157162</xdr:rowOff>
    </xdr:from>
    <xdr:to>
      <xdr:col>11</xdr:col>
      <xdr:colOff>2019300</xdr:colOff>
      <xdr:row>45</xdr:row>
      <xdr:rowOff>176212</xdr:rowOff>
    </xdr:to>
    <xdr:graphicFrame macro="">
      <xdr:nvGraphicFramePr>
        <xdr:cNvPr id="6" name="Chart 5">
          <a:extLst>
            <a:ext uri="{FF2B5EF4-FFF2-40B4-BE49-F238E27FC236}">
              <a16:creationId xmlns:a16="http://schemas.microsoft.com/office/drawing/2014/main" id="{EE176C26-FCC8-2642-EB24-904A2BF4A36F}"/>
            </a:ext>
            <a:ext uri="{147F2762-F138-4A5C-976F-8EAC2B608ADB}">
              <a16:predDERef xmlns:a16="http://schemas.microsoft.com/office/drawing/2014/main" pred="{2EBEFCD1-3181-646F-EB3A-13B94C7CA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19050</xdr:colOff>
      <xdr:row>32</xdr:row>
      <xdr:rowOff>166687</xdr:rowOff>
    </xdr:from>
    <xdr:to>
      <xdr:col>16</xdr:col>
      <xdr:colOff>19050</xdr:colOff>
      <xdr:row>45</xdr:row>
      <xdr:rowOff>185737</xdr:rowOff>
    </xdr:to>
    <xdr:graphicFrame macro="">
      <xdr:nvGraphicFramePr>
        <xdr:cNvPr id="7" name="Chart 6">
          <a:extLst>
            <a:ext uri="{FF2B5EF4-FFF2-40B4-BE49-F238E27FC236}">
              <a16:creationId xmlns:a16="http://schemas.microsoft.com/office/drawing/2014/main" id="{522A6B14-378F-7FB5-18A9-06F84B330C00}"/>
            </a:ext>
            <a:ext uri="{147F2762-F138-4A5C-976F-8EAC2B608ADB}">
              <a16:predDERef xmlns:a16="http://schemas.microsoft.com/office/drawing/2014/main" pred="{EE176C26-FCC8-2642-EB24-904A2BF4A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my Wahlang" id="{729955BA-7B95-4B5E-BB41-5F130C32F4FF}" userId="S::amy.wahlang@sganalytics.com::ce154f77-8f31-4153-bcc3-b10ee07849a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tam Sowmya" refreshedDate="45740.497396412036" createdVersion="8" refreshedVersion="8" minRefreshableVersion="3" recordCount="4050" xr:uid="{023B5EE2-A9FE-49E4-BA12-C90BD22BC9CF}">
  <cacheSource type="worksheet">
    <worksheetSource ref="A2:AA1048576" sheet="Contracts"/>
  </cacheSource>
  <cacheFields count="26">
    <cacheField name="Customer Region" numFmtId="0">
      <sharedItems containsBlank="1" count="12">
        <s v="North America"/>
        <s v="Europe"/>
        <s v="Unknown"/>
        <s v="Asia-Pacific"/>
        <s v="Middle East and North Africa"/>
        <m/>
        <s v="."/>
        <s v="Sub-Saharan Africa" u="1"/>
        <s v="Latin America" u="1"/>
        <s v="International Organisations" u="1"/>
        <s v="South Asia" u="1"/>
        <s v="Russia &amp; CIS" u="1"/>
      </sharedItems>
    </cacheField>
    <cacheField name="Customer Country" numFmtId="0">
      <sharedItems containsBlank="1" count="104">
        <s v="USA"/>
        <s v="Georgia"/>
        <s v="Unknown"/>
        <s v="France"/>
        <s v="Taiwan"/>
        <s v="Iraq"/>
        <s v="Japan"/>
        <m/>
        <s v="Kuwait"/>
        <s v="India"/>
        <s v="Italy"/>
        <s v="Saudi Arabia"/>
        <s v="Canada"/>
        <s v="Australia"/>
        <s v="South Korea"/>
        <s v="Norway"/>
        <s v="Spain"/>
        <s v="United Arab Emirates"/>
        <s v="United Kingdom"/>
        <s v="."/>
        <s v="Bahrain" u="1"/>
        <s v="Egypt" u="1"/>
        <s v="Uganda" u="1"/>
        <s v="New Zealand" u="1"/>
        <s v="Poland" u="1"/>
        <s v="Nigeria" u="1"/>
        <s v="Dominican Republic" u="1"/>
        <s v="Austria" u="1"/>
        <s v="Colombia" u="1"/>
        <s v="Guatemala" u="1"/>
        <s v="Sweden" u="1"/>
        <s v="Romania" u="1"/>
        <s v="Lithuania" u="1"/>
        <s v="North Macedonia" u="1"/>
        <s v="Montenegro" u="1"/>
        <s v="Brazil" u="1"/>
        <s v="Israel" u="1"/>
        <s v="Hungary" u="1"/>
        <s v="Bulgaria" u="1"/>
        <s v="Turkey" u="1"/>
        <s v="Estonia" u="1"/>
        <s v="Germany" u="1"/>
        <s v="EU" u="1"/>
        <s v="Ukraine" u="1"/>
        <s v="NATO" u="1"/>
        <s v="Belgium" u="1"/>
        <s v="Finland" u="1"/>
        <s v="Zambia" u="1"/>
        <s v="Argentina" u="1"/>
        <s v="Angola" u="1"/>
        <s v="Czech Republic" u="1"/>
        <s v="Malaysia" u="1"/>
        <s v="Philippines" u="1"/>
        <s v="Paraguay" u="1"/>
        <s v="Switzerland" u="1"/>
        <s v="Singapore" u="1"/>
        <s v="Greece" u="1"/>
        <s v="Slovenia" u="1"/>
        <s v="Tajikistan" u="1"/>
        <s v="Netherlands" u="1"/>
        <s v="Denmark" u="1"/>
        <s v="Luxembourg" u="1"/>
        <s v="Honduras" u="1"/>
        <s v="Algeria" u="1"/>
        <s v="South Africa" u="1"/>
        <s v="Peru" u="1"/>
        <s v="Burkina Faso" u="1"/>
        <s v="Indonesia" u="1"/>
        <s v="Panama" u="1"/>
        <s v="Azerbaijan" u="1"/>
        <s v="Ecuador" u="1"/>
        <s v="Slovakia" u="1"/>
        <s v="El Salvador" u="1"/>
        <s v="Croatia" u="1"/>
        <s v="Gabon" u="1"/>
        <s v="Iceland" u="1"/>
        <s v="Uruguay" u="1"/>
        <s v="IFU" u="1"/>
        <s v="Lebanon" u="1"/>
        <s v="Portugal" u="1"/>
        <s v="Vietnam" u="1"/>
        <s v="Latvia" u="1"/>
        <s v="Jordan" u="1"/>
        <s v="Benin" u="1"/>
        <s v="Chile" u="1"/>
        <s v="Armenia" u="1"/>
        <s v="Thailand" u="1"/>
        <s v="Qatar" u="1"/>
        <s v="Maldives" u="1"/>
        <s v="Serbia" u="1"/>
        <s v="Tanzania" u="1"/>
        <s v="Morocco" u="1"/>
        <s v="Bahamas" u="1"/>
        <s v="Ireland" u="1"/>
        <s v="Mexico" u="1"/>
        <s v="Djibouti" u="1"/>
        <s v="Guyana" u="1"/>
        <s v="Bangladesh" u="1"/>
        <s v="Zimbabwe" u="1"/>
        <s v="Brunei" u="1"/>
        <s v="Jamaica" u="1"/>
        <s v="Kenya" u="1"/>
        <s v="Guinea" u="1"/>
        <s v="Ukraine (Assistance)" u="1"/>
      </sharedItems>
    </cacheField>
    <cacheField name="Customer Operator" numFmtId="0">
      <sharedItems containsBlank="1"/>
    </cacheField>
    <cacheField name="Supplier Region" numFmtId="0">
      <sharedItems containsBlank="1" count="11">
        <s v="North America"/>
        <s v="Europe"/>
        <m/>
        <s v="."/>
        <s v="Russia &amp; CIS" u="1"/>
        <s v="Asia-Pacific" u="1"/>
        <s v="Latin America" u="1"/>
        <s v="Middle East and North Africa" u="1"/>
        <s v="Sub-Saharan Africa" u="1"/>
        <s v="South Asia" u="1"/>
        <s v="International Organisations" u="1"/>
      </sharedItems>
    </cacheField>
    <cacheField name="Supplier Country" numFmtId="0">
      <sharedItems containsBlank="1" count="59">
        <s v="USA"/>
        <s v="Georgia"/>
        <s v="Norway"/>
        <m/>
        <s v="."/>
        <s v="Russia" u="1"/>
        <s v="Australia" u="1"/>
        <s v="South Korea" u="1"/>
        <s v="Spain" u="1"/>
        <s v="Italy" u="1"/>
        <s v="France" u="1"/>
        <s v="Sweden" u="1"/>
        <s v="Colombia" u="1"/>
        <s v="Israel" u="1"/>
        <s v="Germany" u="1"/>
        <s v="Czech Republic" u="1"/>
        <s v="Turkey" u="1"/>
        <s v="United Kingdom" u="1"/>
        <s v="Belgium" u="1"/>
        <s v="Croatia" u="1"/>
        <s v="South Africa" u="1"/>
        <s v="Austria" u="1"/>
        <s v="United Arab Emirates" u="1"/>
        <s v="Finland" u="1"/>
        <s v="Poland" u="1"/>
        <s v="India" u="1"/>
        <s v="Brazil" u="1"/>
        <s v="Switzerland" u="1"/>
        <s v="Canada" u="1"/>
        <s v="Singapore" u="1"/>
        <s v="Japan" u="1"/>
        <s v="Mexico" u="1"/>
        <s v="Argentina" u="1"/>
        <s v="Jordan" u="1"/>
        <s v="China" u="1"/>
        <s v="Guinea" u="1"/>
        <s v="Malaysia" u="1"/>
        <s v="Peru" u="1"/>
        <s v="Taiwan" u="1"/>
        <s v="Egypt" u="1"/>
        <s v="Qatar" u="1"/>
        <s v="Panama" u="1"/>
        <s v="Netherlands" u="1"/>
        <s v="Indonesia" u="1"/>
        <s v="Ukraine" u="1"/>
        <s v="New Zealand" u="1"/>
        <s v="Portugal" u="1"/>
        <s v="EU" u="1"/>
        <s v="Denmark" u="1"/>
        <s v="Romania" u="1"/>
        <s v="Monaco" u="1"/>
        <s v="Lithuania" u="1"/>
        <s v="Estonia" u="1"/>
        <s v="North Macedonia" u="1"/>
        <s v="Greece" u="1"/>
        <s v="Pakistan" u="1"/>
        <s v="Serbia" u="1"/>
        <s v="Iran" u="1"/>
        <s v="Burundi" u="1"/>
      </sharedItems>
    </cacheField>
    <cacheField name="Domestic Content" numFmtId="0">
      <sharedItems containsBlank="1"/>
    </cacheField>
    <cacheField name="Market Segment" numFmtId="0">
      <sharedItems containsBlank="1" count="10">
        <s v="Naval Platforms"/>
        <s v="Air Platforms"/>
        <s v="Infrastructure"/>
        <s v="Space Systems"/>
        <s v="Weapon Systems"/>
        <s v="C4ISR Systems"/>
        <s v="Land Platforms"/>
        <s v="Training &amp; Simulation"/>
        <m/>
        <s v="."/>
      </sharedItems>
    </cacheField>
    <cacheField name="System Type (General)" numFmtId="0">
      <sharedItems containsBlank="1" count="58">
        <s v="Logistics and Support (Maritime)"/>
        <s v="Fixed Wing"/>
        <s v="RDT&amp;E Facilities"/>
        <s v="Satellite"/>
        <s v="Electronic Warfare Systems"/>
        <s v="Cyber"/>
        <s v="Not Applicable"/>
        <s v="Integrated C4ISR System"/>
        <s v="Logistics &amp; Support"/>
        <s v="Amphibious (Maritime)"/>
        <m/>
        <s v="Radar"/>
        <s v="Other Maritime"/>
        <s v="Production Facilities"/>
        <s v="Training Aids"/>
        <s v="Maintenance Facilities"/>
        <s v="Integrated Weapon Systems"/>
        <s v="Rotary Wing"/>
        <s v="Launchers"/>
        <s v="Artificial Intelligence"/>
        <s v="Surface Combatants"/>
        <s v="Communications"/>
        <s v="Sub-Surface"/>
        <s v="Small Arms &amp; Ammunition"/>
        <s v="Armoured Fighting Vehicles"/>
        <s v="Precision Guided Weapons"/>
        <s v="Other"/>
        <s v="Mine Warfare/Mine Countermeasures (Maritime)"/>
        <s v="Missile"/>
        <s v="Simulators"/>
        <s v="Aircraft Basing"/>
        <s v="Defensive Systems"/>
        <s v="Electro-optic Sensor"/>
        <s v="Artillery"/>
        <s v="Torpedo"/>
        <s v="Sonar"/>
        <s v="Air Traffic Management"/>
        <s v="Other C4ISR"/>
        <s v="Utilities"/>
        <s v="Shipyards/Ports/Harbours"/>
        <s v="Patrol and Costal Combatants"/>
        <s v="Other Land"/>
        <s v="Non-military IT"/>
        <s v="Accomodation"/>
        <s v="Anti-Space"/>
        <s v="."/>
        <s v="N/A" u="1"/>
        <s v="Training Facilities" u="1"/>
        <s v="Land" u="1"/>
        <s v="Engineering &amp; Maintenance Vehicles" u="1"/>
        <s v="Command and Control" u="1"/>
        <s v="Amphibious Vehicles" u="1"/>
        <s v="Directed Energy Weapon" u="1"/>
        <s v="Other Lift Types" u="1"/>
        <s v="Mines" u="1"/>
        <s v="Computers" u="1"/>
        <s v="Rolling Stock" u="1"/>
        <s v="Launch Vehicle" u="1"/>
      </sharedItems>
    </cacheField>
    <cacheField name="System Type (Specific)" numFmtId="0">
      <sharedItems containsBlank="1"/>
    </cacheField>
    <cacheField name="System Name (General)" numFmtId="0">
      <sharedItems containsBlank="1"/>
    </cacheField>
    <cacheField name="System Name (Specific)" numFmtId="0">
      <sharedItems containsBlank="1"/>
    </cacheField>
    <cacheField name="System Piloting" numFmtId="0">
      <sharedItems containsBlank="1"/>
    </cacheField>
    <cacheField name="Supplier Name" numFmtId="0">
      <sharedItems containsBlank="1" count="637">
        <s v="Raytheon Technologies"/>
        <s v="Rolls-Royce plc"/>
        <m/>
        <s v="ViaSat Inc"/>
        <s v="Northrop Grumman"/>
        <s v="Leidos"/>
        <s v="Scientific Research Corp."/>
        <s v="Oshkosh"/>
        <s v="BAE Systems"/>
        <s v="General Dynamics"/>
        <s v="Huntington Ingalls"/>
        <s v="Southwest Resc'h"/>
        <s v="Georgia Tech"/>
        <s v="Lockheed Martin"/>
        <s v="Cubic Corporation"/>
        <s v="InDyne"/>
        <s v="Charles Stark Draper "/>
        <s v="L3 Technologies"/>
        <s v="Honeywell"/>
        <s v="Sikorsky"/>
        <s v="AMTEC Corp."/>
        <s v="Assured Information Security Inc."/>
        <s v="Ricardo PLC"/>
        <s v="StandardAero Inc."/>
        <s v="alliant Techsystems Operations"/>
        <s v="WULCO Inc."/>
        <s v="Textron"/>
        <s v="Bell Boeing"/>
        <s v="ManTech"/>
        <s v="Hydroid Inc"/>
        <s v="Johns Hopkins University"/>
        <s v="West Coast JV,"/>
        <s v="Ultra Electronics"/>
        <s v="Science Applications International"/>
        <s v="Boeing"/>
        <s v="University of Dayton Research Institute"/>
        <s v="Saguaro Business Solutions LLC"/>
        <s v="Sallyport Global Holdings"/>
        <s v="Swiftships SB LLC"/>
        <s v="Kongsberg"/>
        <s v="Bren-Tronics"/>
        <s v="Physical Optics"/>
        <s v="Korte Construction"/>
        <s v="Amentum Services"/>
        <s v="Learjet"/>
        <s v="General Dynamics Electric Boat"/>
        <s v="Airbus"/>
        <s v="Cole Engineering Services"/>
        <s v="Stark Aerospace"/>
        <s v="ECS Federal"/>
        <s v="Raytheon Missiles &amp; Defense"/>
        <s v="General Atomics Aeronautical Systems"/>
        <s v="BAE Systems Land &amp; Armaments"/>
        <s v="Lockheed Martin Missile and Fire Control"/>
        <s v="General Electric"/>
        <s v="Wartsila"/>
        <s v="PAE Aviation and Technical Services"/>
        <s v="American Ordnance"/>
        <s v="Kratos Unmanned Aerial Systems"/>
        <s v="Booz Allen Hamilton"/>
        <s v="Ball Aerospace &amp; Technologies"/>
        <s v="TCOM"/>
        <s v="Raytheon Missiles and Defense"/>
        <s v="Hensel Phelps Construction"/>
        <s v="EFW "/>
        <s v="Amherst Systems"/>
        <s v="Crew Training International"/>
        <s v="Lockheed Martin Sippican"/>
        <s v="Bechtel Group"/>
        <s v="General Dynamics-OTS"/>
        <s v="Marvin Engineering"/>
        <s v="Lockheed Martin Space"/>
        <s v="Goodrich Corp."/>
        <s v="Kay and Associates"/>
        <s v="Bechtel Plant Machinery"/>
        <s v="BAE Systems Ordnance Systems"/>
        <s v="Bell Boeing Joint Program Office"/>
        <s v="Mercury Mission Systems"/>
        <s v="Raytheon Co. Missile Systems"/>
        <s v="Raytheon Blackbird Technologies"/>
        <s v="System High Corp"/>
        <s v="L3Harris Technologies"/>
        <s v="Sikorsky Aircraft Corp"/>
        <s v="Smartronix Inc"/>
        <s v="Goldwings Supply Service"/>
        <s v="Olin Winchester"/>
        <s v="Peraton Technology Services"/>
        <s v="Lektron "/>
        <s v="SIG Sauer"/>
        <s v="Northrop Grumman Defense Systems Sector"/>
        <s v="Lockheed Martin, Rotary and Mission Systems"/>
        <s v="Multiple"/>
        <s v="Hamilton Sundstrand"/>
        <s v="Northrop Grumman Aerospace"/>
        <s v="Harper Construction"/>
        <s v="R.A. Burch Construction"/>
        <s v="Lockheed Martin – Rotary and Mission Systems"/>
        <s v="Trace Systems"/>
        <s v="Northrop Grumman Space Systems Sector"/>
        <s v="L-3 Communications Integrated Systems"/>
        <s v="Flint Electric Membership"/>
        <s v="Lockheed Martin Aeronautics"/>
        <s v="Gray Analytics"/>
        <s v="Collins Aerospace"/>
        <s v="H2O Guam JV"/>
        <s v="LTM Inc"/>
        <s v="Alberici-Mortenson"/>
        <s v="Atlantic Signal"/>
        <s v="Haight Bey &amp; Associates"/>
        <s v="Container Research Corp"/>
        <s v="Essex Electro Engineers"/>
        <s v="TechFlow Mission Support"/>
        <s v="Teledyne"/>
        <s v="Chugach Range and Facilities Services"/>
        <s v="Raytheon Space and Airborne Systems"/>
        <s v="Filius Corp"/>
        <s v="ACE Maintenance &amp; Services"/>
        <s v="Teradyne"/>
        <s v="Crowley Maritime"/>
        <s v="Innovative Scientific Solutions"/>
        <s v="Delavan"/>
        <s v="DynCorp Int'l"/>
        <s v="Covalus"/>
        <s v="Chromalloy Component Services"/>
        <s v="Utility Works"/>
        <s v="Mnemonics"/>
        <s v="Armorworks Enterprises"/>
        <s v="Kilgore Flares"/>
        <s v="Archer Western"/>
        <s v="Armtec Countermeasures"/>
        <s v="Metro Machine"/>
        <s v="Safran"/>
        <s v="General Dynamics Land Systems"/>
        <s v="Granite-Obayashi"/>
        <s v="Raytheon Intelligence &amp; Space"/>
        <s v="Ensign Bickford"/>
        <s v="Garco Construction Inc."/>
        <s v="L-3 Fuzing and Ordnance Systems"/>
        <s v="Austal Limited"/>
        <s v="DRS Laurel Technologies"/>
        <s v="Summit Technical Solutions"/>
        <s v="M1 Support Services"/>
        <s v="The MIL Corp."/>
        <s v="CSRA LLC"/>
        <s v="."/>
        <s v="Second-Hand" u="1"/>
        <s v="Thales" u="1"/>
        <s v="Hanwha" u="1"/>
        <s v="Hyundai" u="1"/>
        <s v="Aresa Shipyard" u="1"/>
        <s v="UROVESA" u="1"/>
        <s v="Leonardo" u="1"/>
        <s v="MBDA" u="1"/>
        <s v="Nexter" u="1"/>
        <s v="Saab" u="1"/>
        <s v="Eurosam" u="1"/>
        <s v="Bell" u="1"/>
        <s v="Gilbane Federal" u="1"/>
        <s v="ACC Construction Co." u="1"/>
        <s v="SGJV" u="1"/>
        <s v="Watterson Construction Co." u="1"/>
        <s v="Salient CRGT Inc" u="1"/>
        <s v="Apogee Engeineering" u="1"/>
        <s v="Argon ST Inc." u="1"/>
        <s v="Katmai Management Services" u="1"/>
        <s v="Dell Inc" u="1"/>
        <s v="Nammo" u="1"/>
        <s v="COTECMAR" u="1"/>
        <s v="Armour International" u="1"/>
        <s v="Elbit Systems" u="1"/>
        <s v="Rheinmetall" u="1"/>
        <s v="Aero Vodochody" u="1"/>
        <s v="ARES Shipyard" u="1"/>
        <s v="Indra" u="1"/>
        <s v="Hensoldt" u="1"/>
        <s v="QinetiQ" u="1"/>
        <s v="Pearson Engineering" u="1"/>
        <s v="SAIC" u="1"/>
        <s v="Iron Bow Tech" u="1"/>
        <s v="Bowhead" u="1"/>
        <s v="Iveco Defence Vehicles" u="1"/>
        <s v="Dassault" u="1"/>
        <s v="MKEK" u="1"/>
        <s v="Polysentry" u="1"/>
        <s v="Mack Defense" u="1"/>
        <s v="Navistar International" u="1"/>
        <s v="Electra" u="1"/>
        <s v="Baykar" u="1"/>
        <s v="Harland &amp; Wolff" u="1"/>
        <s v="Eprius" u="1"/>
        <s v="EuroSpike" u="1"/>
        <s v="HB Utveckling AB" u="1"/>
        <s v="IBM" u="1"/>
        <s v="King ICT" u="1"/>
        <s v="Naval Group" u="1"/>
        <s v="Rheinmetall Denel" u="1"/>
        <s v="Enstrom Helicopter" u="1"/>
        <s v="Bell Textron" u="1"/>
        <s v="CEA Tech Pty Ltd" u="1"/>
        <s v="Lumen" u="1"/>
        <s v="Schiebel" u="1"/>
        <s v="Babcock Group" u="1"/>
        <s v="Krauss-Maffei Wegmann" u="1"/>
        <s v="EDGE Group" u="1"/>
        <s v="Sako" u="1"/>
        <s v="Supacat" u="1"/>
        <s v="Fabryka Broni" u="1"/>
        <s v="Larsen &amp; Toubro" u="1"/>
        <s v="Teledyne FLIR" u="1"/>
        <s v="KAI" u="1"/>
        <s v="Embraer" u="1"/>
        <s v="Thales Alenia Sp" u="1"/>
        <s v="INVISIO" u="1"/>
        <s v="Kratos Defense" u="1"/>
        <s v="Persistent Systems" u="1"/>
        <s v="FN Herstal" u="1"/>
        <s v="HAL" u="1"/>
        <s v="Hindustan Ship" u="1"/>
        <s v="Pilatus" u="1"/>
        <s v="Renk America" u="1"/>
        <s v="Magellan Aerospace Corporation" u="1"/>
        <s v="TRX System" u="1"/>
        <s v="Motorola Solutions" u="1"/>
        <s v="Red River Computer" u="1"/>
        <s v="Streit Group" u="1"/>
        <s v="Conlog Group" u="1"/>
        <s v="Rohde &amp; Schwarz" u="1"/>
        <s v="Seaward Marine Services" u="1"/>
        <s v="Goa Shipyard Ltd" u="1"/>
        <s v="Garden Reach SB" u="1"/>
        <s v="Cochin Shipyard" u="1"/>
        <s v="Singapore Tech." u="1"/>
        <s v="Institute of International Education" u="1"/>
        <s v="Walsh Federal LLC" u="1"/>
        <s v="Ocean Shipholdings" u="1"/>
        <s v="Bharat Elec Ltd" u="1"/>
        <s v="NewSpace India" u="1"/>
        <s v="PGZ" u="1"/>
        <s v="Ultra Dimensions Pvt. Ltd." u="1"/>
        <s v="Bharat Dynamics" u="1"/>
        <s v="Palantir USG" u="1"/>
        <s v="MDT Armour" u="1"/>
        <s v="Rosomak" u="1"/>
        <s v="Brahmos Ltd" u="1"/>
        <s v="Old North Utility Services" u="1"/>
        <s v="German Naval Yards" u="1"/>
        <s v="Helibras" u="1"/>
        <s v="Conti Federal Services" u="1"/>
        <s v="Bollinger Shipyard" u="1"/>
        <s v="Electro Optic Systems" u="1"/>
        <s v="Rafael" u="1"/>
        <s v="Mitsubishi" u="1"/>
        <s v="GDELS-Mowag" u="1"/>
        <s v="FLIR" u="1"/>
        <s v="Mitie" u="1"/>
        <s v="BlueHalo" u="1"/>
        <s v="Global Military Products" u="1"/>
        <s v="Manhattan Construction" u="1"/>
        <s v="Agiliti Health" u="1"/>
        <s v="Environmental Chemical Corp" u="1"/>
        <s v="Tomahawk Robotics" u="1"/>
        <s v="Air Tractor" u="1"/>
        <s v="Patria" u="1"/>
        <s v="PSM" u="1"/>
        <s v="Serco Group plc" u="1"/>
        <s v="Solstad Offshore" u="1"/>
        <s v="Black Micro Corp" u="1"/>
        <s v="Forum Energy Technologies" u="1"/>
        <s v="ReconCraft LLC" u="1"/>
        <s v="Anadolu Shipyard" u="1"/>
        <s v="Sedef Shipbuilding" u="1"/>
        <s v="Sefine Shipyard" u="1"/>
        <s v="Aerojet Rocketdyne" u="1"/>
        <s v="Solar Industries" u="1"/>
        <s v="PGZ-PILICA Consortium" u="1"/>
        <s v="Joby Aviation" u="1"/>
        <s v="Drew Marine USA" u="1"/>
        <s v="DCS Corp." u="1"/>
        <s v="Parker-Hannifin" u="1"/>
        <s v="Heckler &amp; Koch" u="1"/>
        <s v="American Electronics Warfare Associates" u="1"/>
        <s v="IAI" u="1"/>
        <s v="AICI-Archirodon JV" u="1"/>
        <s v="Daimler AG" u="1"/>
        <s v="Rheinmetall MAN" u="1"/>
        <s v="Landmarc" u="1"/>
        <s v="Yoland Corp." u="1"/>
        <s v="CAE USA" u="1"/>
        <s v="Aerodyca" u="1"/>
        <s v="Fincantieri" u="1"/>
        <s v="A&amp;R Pacific -Garney Federal" u="1"/>
        <s v="Seed Innovations" u="1"/>
        <s v="Unit Co." u="1"/>
        <s v="Sierra Nevada" u="1"/>
        <s v="AM General" u="1"/>
        <s v="Messer Construction" u="1"/>
        <s v="Accurate Energetic Systems" u="1"/>
        <s v="ASISGUARD" u="1"/>
        <s v="Silent Sentinel" u="1"/>
        <s v="Kord Technologies" u="1"/>
        <s v="Red Peak Technical Services " u="1"/>
        <s v="Arnold Defense and Elec" u="1"/>
        <s v="Electric Boat Corp." u="1"/>
        <s v="Swede Ship" u="1"/>
        <s v="UK Docks Marine Services" u="1"/>
        <s v="Aircraft Readiness Alliance" u="1"/>
        <s v="ELINC" u="1"/>
        <s v="OTT Technologies" u="1"/>
        <s v="TAI" u="1"/>
        <s v="Aerotree" u="1"/>
        <s v="Timken Gears &amp; Services" u="1"/>
        <s v="SIMA Peru" u="1"/>
        <s v="Ascent Flight Training Consotium" u="1"/>
        <s v="BrainGu LLC" u="1"/>
        <s v="Kawasaki" u="1"/>
        <s v="Consigli Construction" u="1"/>
        <s v="Jong Shyn Ship" u="1"/>
        <s v="Arrow Edge LLC" u="1"/>
        <s v="Dearsan Shipyard" u="1"/>
        <s v="Kader" u="1"/>
        <s v="Palantir Technologies" u="1"/>
        <s v="VSE Corp." u="1"/>
        <s v="CACI" u="1"/>
        <s v="Rockwell Collins" u="1"/>
        <s v="Huta StalowaWola" u="1"/>
        <s v="Mapiex Aviation" u="1"/>
        <s v="System Studies &amp; Simulation" u="1"/>
        <s v="ICOMM Tele Ltd." u="1"/>
        <s v="LOM PRAHA" u="1"/>
        <s v="Diehl" u="1"/>
        <s v="Conco Inc." u="1"/>
        <s v="Rothe Development" u="1"/>
        <s v="Telephonics Corp." u="1"/>
        <s v="Turner Construction" u="1"/>
        <s v="BEML-India" u="1"/>
        <s v="Marine Alutech Oy" u="1"/>
        <s v="Damen Shipyards" u="1"/>
        <s v="Frontier Electronic Systems" u="1"/>
        <s v="Mazagon Dock" u="1"/>
        <s v="RTX" u="1"/>
        <s v="SEA" u="1"/>
        <s v="EM Solutions" u="1"/>
        <s v="ACHILE Consortium" u="1"/>
        <s v="Draken" u="1"/>
        <s v="EPIIC Consortium" u="1"/>
        <s v="Diamond Aircraft" u="1"/>
        <s v="Sanska" u="1"/>
        <s v="NVL Group" u="1"/>
        <s v="MA Mortenson" u="1"/>
        <s v="Polaris Industries" u="1"/>
        <s v="TSS Solutions" u="1"/>
        <s v="Orizzonte Sistemi Navali" u="1"/>
        <s v="Helicentro Peru SAC" u="1"/>
        <s v="WBA Blindajes Alemanes" u="1"/>
        <s v="AeroVironment" u="1"/>
        <s v="Pacifics Propeller International" u="1"/>
        <s v="Autoespar SA" u="1"/>
        <s v="Euroshop SA" u="1"/>
        <s v="Dynetics Technical Solutions" u="1"/>
        <s v="Eastern Shipbuilding" u="1"/>
        <s v="Akkodis" u="1"/>
        <s v="NP Aerospace" u="1"/>
        <s v="Cummins Inc." u="1"/>
        <s v="Jankel" u="1"/>
        <s v="OHB System AG" u="1"/>
        <s v="Integrated Defense Solutions/Greit" u="1"/>
        <s v="Noblis MSD" u="1"/>
        <s v="Archer Aviation" u="1"/>
        <s v="Core Tech International" u="1"/>
        <s v="Naviris" u="1"/>
        <s v="IWI" u="1"/>
        <s v="Bath Iron Works" u="1"/>
        <s v="Cardama" u="1"/>
        <s v="Mesko" u="1"/>
        <s v="OIP Land Systems" u="1"/>
        <s v="CNF Technologies" u="1"/>
        <s v="American States Utilities Services" u="1"/>
        <s v="Marinette Marine Corp." u="1"/>
        <s v="JetZero" u="1"/>
        <s v="Advanced Technology International" u="1"/>
        <s v="CIO" u="1"/>
        <s v="McLean Contracting" u="1"/>
        <s v="Alion Science" u="1"/>
        <s v="PT Dirgantara" u="1"/>
        <s v="Marshall Aerospace" u="1"/>
        <s v="Hughes Comm" u="1"/>
        <s v="MD Helicopters" u="1"/>
        <s v="Alpine Armoring Inc." u="1"/>
        <s v="Danbury Mission Technologies" u="1"/>
        <s v="TAE Aerospace" u="1"/>
        <s v="MAG Aerospace" u="1"/>
        <s v="Longbow LLC" u="1"/>
        <s v="Texas A&amp;M" u="1"/>
        <s v="PKL Services" u="1"/>
        <s v="Aeronautics Defense Systems" u="1"/>
        <s v="KRAS - India" u="1"/>
        <s v="FAdeA" u="1"/>
        <s v="HTX Labs" u="1"/>
        <s v="BL Halbert International" u="1"/>
        <s v="PGZ-NAREW Consortium" u="1"/>
        <s v="WB Electronics" u="1"/>
        <s v="Genasys" u="1"/>
        <s v="Edgar Brothers" u="1"/>
        <s v="KATO Engineering" u="1"/>
        <s v="Ashot Ashkelon" u="1"/>
        <s v="Jacobs/B&amp;V JV" u="1"/>
        <s v="FLightSafety" u="1"/>
        <s v="Lite Comms LLC" u="1"/>
        <s v="Robertson Fuel Systems" u="1"/>
        <s v="Valiant Global Defense" u="1"/>
        <s v="Long Wave Inc" u="1"/>
        <s v="UAV Communications" u="1"/>
        <s v="NetCentrics Corp" u="1"/>
        <s v="Guyco Inc." u="1"/>
        <s v="Bryan 77 Construction" u="1"/>
        <s v="Marvin Land System" u="1"/>
        <s v="Armtec Defense Products" u="1"/>
        <s v="Taylor Defense Products" u="1"/>
        <s v="Silver Ships Inc." u="1"/>
        <s v="Fluor Marine Propulsion" u="1"/>
        <s v="Africa Automotive Distribution Service" u="1"/>
        <s v="Computer World Services" u="1"/>
        <s v="Fischer Panda" u="1"/>
        <s v="Roke " u="1"/>
        <s v="Submarine Manufacturing and Products" u="1"/>
        <s v="Black River Systems" u="1"/>
        <s v="Columbia Helicopters Inc." u="1"/>
        <s v="Roketsan" u="1"/>
        <s v="Zen Technologies" u="1"/>
        <s v="ACMI" u="1"/>
        <s v="Spectra" u="1"/>
        <s v="Vertex Aerospace" u="1"/>
        <s v="Allison Transmission" u="1"/>
        <s v="American Systems Corp" u="1"/>
        <s v="Day &amp; Zimmerman Lone Star" u="1"/>
        <s v="SRC" u="1"/>
        <s v="UVision Global Aero" u="1"/>
        <s v="Arsenal d' Marinha" u="1"/>
        <s v="Rio Santiago Shipyard" u="1"/>
        <s v="Fidelity Technologies" u="1"/>
        <s v="AAR Supply Chain Inc." u="1"/>
        <s v="International Business Machines Corp." u="1"/>
        <s v="Vigor Industrial" u="1"/>
        <s v="DCI" u="1"/>
        <s v="OBRUM" u="1"/>
        <s v="Global Services LLC" u="1"/>
        <s v="Otokar" u="1"/>
        <s v="Nurol Co." u="1"/>
        <s v="MSI" u="1"/>
        <s v="FAME SAC" u="1"/>
        <s v="Cianbro" u="1"/>
        <s v="Sarco Defense" u="1"/>
        <s v="IMCO" u="1"/>
        <s v="Atlas Elektronik" u="1"/>
        <s v="OSI" u="1"/>
        <s v="US Ordnance" u="1"/>
        <s v="KT Consulting" u="1"/>
        <s v="ASRC Federal" u="1"/>
        <s v="Spanish Missile Systems" u="1"/>
        <s v="Inter-Coastal Electronics" u="1"/>
        <s v="Applied Technology" u="1"/>
        <s v="Savox Communications" u="1"/>
        <s v="Chung Shan Inst" u="1"/>
        <s v="Unknown" u="1"/>
        <s v="Anduril Industries" u="1"/>
        <s v="CRL Technologies" u="1"/>
        <s v="Bigelow Family Holdings" u="1"/>
        <s v="Systems Planning and Analysis" u="1"/>
        <s v="Continental Maritime" u="1"/>
        <s v="SES" u="1"/>
        <s v="Domo Tactical Communications" u="1"/>
        <s v="Norinco" u="1"/>
        <s v="Cobham" u="1"/>
        <s v="Avibras" u="1"/>
        <s v="TDW GmbH" u="1"/>
        <s v="LIG Nex1 Co" u="1"/>
        <s v="Fassmer" u="1"/>
        <s v="Blackberry" u="1"/>
        <s v="CFM International" u="1"/>
        <s v="MDA Space" u="1"/>
        <s v="Spaceflux" u="1"/>
        <s v="CM de N (France)" u="1"/>
        <s v="Piriou Naval Svcs" u="1"/>
        <s v="Socarenam" u="1"/>
        <s v="Aleut Information Technology" u="1"/>
        <s v="IMPSA" u="1"/>
        <s v="Bharat Heavy Electricals" u="1"/>
        <s v="KNDS" u="1"/>
        <s v="Hodges Transportation" u="1"/>
        <s v="EMESEC" u="1"/>
        <s v="Skanska" u="1"/>
        <s v="Bombardier" u="1"/>
        <s v="Top Aces" u="1"/>
        <s v="ELAC Sonar GmbH" u="1"/>
        <s v="Bittium" u="1"/>
        <s v="TCIL" u="1"/>
        <s v="Arquus" u="1"/>
        <s v="Southern Maryland Electric Cooperative" u="1"/>
        <s v="Regional One" u="1"/>
        <s v="CODALTEC" u="1"/>
        <s v="Darkhive" u="1"/>
        <s v="Rise8 Inc." u="1"/>
        <s v="Birdon" u="1"/>
        <s v="NH Industries" u="1"/>
        <s v="Nordic Terrain Solutions" u="1"/>
        <s v="EPE" u="1"/>
        <s v="Quantum Systems" u="1"/>
        <s v="Criterion Solutions" u="1"/>
        <s v="TESS Defence" u="1"/>
        <s v="T. Mariotti" u="1"/>
        <s v="Jupiter Wagons Ltd." u="1"/>
        <s v="Rocket Lab National Security LLC" u="1"/>
        <s v="STS International" u="1"/>
        <s v="Sisu Auto" u="1"/>
        <s v="Fenix Air Inc." u="1"/>
        <s v="West Sea Shipyard" u="1"/>
        <s v="EOS" u="1"/>
        <s v="Tecnam" u="1"/>
        <s v="Safe Boats Intl" u="1"/>
        <s v="GECI" u="1"/>
        <s v="Computacentre" u="1"/>
        <s v="Rheinmetall BAE Systems Land" u="1"/>
        <s v="Baltic Workboats" u="1"/>
        <s v="Junghans Microtec" u="1"/>
        <s v="Systematic" u="1"/>
        <s v="Trans-Ce Cargo SA" u="1"/>
        <s v="Allen-Vanguard" u="1"/>
        <s v="Corvid Technologies" u="1"/>
        <s v="PT Republik Defensindo" u="1"/>
        <s v="Data Link Solutions" u="1"/>
        <s v="Federal Contracting" u="1"/>
        <s v="IAR" u="1"/>
        <s v="Talbert Manufacturing Inc." u="1"/>
        <s v="TKC Global Solutions" u="1"/>
        <s v="HPI Solutions" u="1"/>
        <s v="Survey Copter" u="1"/>
        <s v="Chugach Technical Solutions" u="1"/>
        <s v="MARSS" u="1"/>
        <s v="DKW Communications" u="1"/>
        <s v="AWEIL" u="1"/>
        <s v="New Directions Technologies" u="1"/>
        <s v="Gibbs &amp; Cox Inc." u="1"/>
        <s v="ThyssenKrupp AG" u="1"/>
        <s v="Australian Target Systems" u="1"/>
        <s v="Accenture" u="1"/>
        <s v="Marine Hydraulics" u="1"/>
        <s v="BlackSky" u="1"/>
        <s v="SVI Engineering" u="1"/>
        <s v="Mercury Systems Inc." u="1"/>
        <s v="Astilleros Armon Vigo SA" u="1"/>
        <s v="APS" u="1"/>
        <s v="RHEA Group" u="1"/>
        <s v="Integration Innovation" u="1"/>
        <s v="Triman Industries" u="1"/>
        <s v="AVNL" u="1"/>
        <s v="Integrated Surveillance and Defense" u="1"/>
        <s v="Ovzon" u="1"/>
        <s v="Parsons Government Services" u="1"/>
        <s v="Norma Precision AB" u="1"/>
        <s v="DRS Network and Imaging Systems" u="1"/>
        <s v="Life Cycle Engineering" u="1"/>
        <s v="Dayton T. Brown Inc." u="1"/>
        <s v="NT Service" u="1"/>
        <s v="CASIC" u="1"/>
        <s v="GKN Aerospace" u="1"/>
        <s v="HDT Expeditionary Systems" u="1"/>
        <s v="AIM Defence" u="1"/>
        <s v="Scandinavian Avionics" u="1"/>
        <s v="Omnisys" u="1"/>
        <s v="KBR" u="1"/>
        <s v="Sparton De Leon Springs LLC" u="1"/>
        <s v="BGI-ASI JV" u="1"/>
        <s v="Loc Performance Products" u="1"/>
        <s v="InterCaribbean Airways" u="1"/>
        <s v="Optics1 Inc." u="1"/>
        <s v="PT PAL Indonesia" u="1"/>
        <s v="Albatross Industria Aeronautica Ltd." u="1"/>
        <s v="Record Steel &amp; Construction" u="1"/>
        <s v="Exail" u="1"/>
        <s v="Insitu" u="1"/>
        <s v="Tyvak International" u="1"/>
        <s v="ITP Aero" u="1"/>
        <s v="Defenture" u="1"/>
        <s v="WG Yates and Sons" u="1"/>
        <s v="Nan Inc." u="1"/>
        <s v="Design West Technologies" u="1"/>
        <s v="De Havilland Canada" u="1"/>
        <s v="Steyr" u="1"/>
        <s v="Tyto Athene" u="1"/>
        <s v="Absher Construction Co." u="1"/>
        <s v="Datamir" u="1"/>
        <s v="Swecon" u="1"/>
        <s v="MilDef" u="1"/>
        <s v="MO Porte-Avions" u="1"/>
        <s v="Millenium Space" u="1"/>
        <s v="Sielman S.A." u="1"/>
        <s v="PAC" u="1"/>
        <s v="Aviation Repair Technologies" u="1"/>
        <s v="AMI Industries" u="1"/>
        <s v="R&amp;W Contractors" u="1"/>
        <s v="Colt's Manufacturing Co." u="1"/>
        <s v="MW Builders" u="1"/>
        <s v="Tesseract Ventures" u="1"/>
        <s v="Rebellion Defense" u="1"/>
        <s v="Kearfott Corp" u="1"/>
        <s v="ICF" u="1"/>
        <s v="Metal Shark" u="1"/>
        <s v="Aurora Flight Sciences" u="1"/>
        <s v="Noble Supply and Logistics" u="1"/>
        <s v="VideoRay LLC" u="1"/>
        <s v="AgEagle" u="1"/>
        <s v="Calian" u="1"/>
        <s v="Applied Visual Technology" u="1"/>
        <s v="Colby Co. LLC" u="1"/>
        <s v="Deloitte" u="1"/>
        <s v="Mistral Inc." u="1"/>
        <s v="Pacific Rim Constructors" u="1"/>
        <s v="Carnegie Mellon University" u="1"/>
        <s v="United Crane and Excavation Inc." u="1"/>
        <s v="MAESTRAL" u="1"/>
        <s v="GMV Aerospace and Defense" u="1"/>
        <s v="Conquest USA" u="1"/>
        <s v="MorseCorp Inc." u="1"/>
        <s v="Aviation Systems Engineering" u="1"/>
        <s v="Sectra Comm Sys" u="1"/>
        <s v="SkyAlyne" u="1"/>
        <s v="BlindermanPower" u="1"/>
        <s v="Scania" u="1"/>
        <s v="Roboteam" u="1"/>
        <s v="SecuriGence" u="1"/>
        <s v="Mil" u="1"/>
        <s v="PAMA-SP" u="1"/>
        <s v="MetalCraft Marine" u="1"/>
        <s v="NDMA" u="1"/>
        <s v="DESA" u="1"/>
        <s v="Raytheon" u="1"/>
        <s v="Valero Marketing and Supply" u="1"/>
      </sharedItems>
    </cacheField>
    <cacheField name="Program Type" numFmtId="0">
      <sharedItems containsBlank="1" count="9">
        <s v="MRO/Support"/>
        <s v="Procurement"/>
        <s v="RDT&amp;E"/>
        <s v="Upgrade"/>
        <s v="Training"/>
        <m/>
        <s v="Other Service"/>
        <s v="Lease" u="1"/>
        <s v="R&amp;D" u="1"/>
      </sharedItems>
    </cacheField>
    <cacheField name="Expected MRO Contract Duration (Months)" numFmtId="0">
      <sharedItems containsBlank="1" containsMixedTypes="1" containsNumber="1" containsInteger="1" minValue="1" maxValue="234"/>
    </cacheField>
    <cacheField name="Quantity" numFmtId="0">
      <sharedItems containsBlank="1" containsMixedTypes="1" containsNumber="1" containsInteger="1" minValue="1" maxValue="233736"/>
    </cacheField>
    <cacheField name="Value Certainty" numFmtId="0">
      <sharedItems containsBlank="1"/>
    </cacheField>
    <cacheField name="Value (Million)" numFmtId="0">
      <sharedItems containsBlank="1" containsMixedTypes="1" containsNumber="1" minValue="1.01" maxValue="10863"/>
    </cacheField>
    <cacheField name="Currency" numFmtId="0">
      <sharedItems containsBlank="1"/>
    </cacheField>
    <cacheField name="Value (USD$ Million)" numFmtId="0">
      <sharedItems containsBlank="1" containsMixedTypes="1" containsNumber="1" minValue="1.01" maxValue="10863"/>
    </cacheField>
    <cacheField name="G2G/B2G" numFmtId="0">
      <sharedItems containsBlank="1"/>
    </cacheField>
    <cacheField name="Signing Month" numFmtId="0">
      <sharedItems containsBlank="1"/>
    </cacheField>
    <cacheField name="Signing Year" numFmtId="0">
      <sharedItems containsBlank="1" containsMixedTypes="1" containsNumber="1" containsInteger="1" minValue="2020" maxValue="2022"/>
    </cacheField>
    <cacheField name="Description of Contract" numFmtId="0">
      <sharedItems containsBlank="1" longText="1"/>
    </cacheField>
    <cacheField name="Additional Notes (Internal Only)" numFmtId="0">
      <sharedItems containsBlank="1" longText="1"/>
    </cacheField>
    <cacheField name="Source Link(s)" numFmtId="0">
      <sharedItems containsBlank="1"/>
    </cacheField>
  </cacheFields>
  <extLst>
    <ext xmlns:x14="http://schemas.microsoft.com/office/spreadsheetml/2009/9/main" uri="{725AE2AE-9491-48be-B2B4-4EB974FC3084}">
      <x14:pivotCacheDefinition pivotCacheId="1683698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50">
  <r>
    <x v="0"/>
    <x v="0"/>
    <s v="Navy"/>
    <x v="0"/>
    <x v="0"/>
    <s v="Imported"/>
    <x v="0"/>
    <x v="0"/>
    <s v="Logistics and Support Other (Maritime)"/>
    <s v="F-35 Lightning II Program"/>
    <s v="Lot 13 "/>
    <s v="Crewed"/>
    <x v="0"/>
    <x v="0"/>
    <n v="35"/>
    <s v="Unknown"/>
    <s v="Confirmed"/>
    <n v="290.7"/>
    <s v="USD$"/>
    <n v="290.7"/>
    <s v="B2G"/>
    <s v="February"/>
    <n v="2021"/>
    <s v="Raytheon Technologies Corp., Pratt and Whitney, Pratt and Whitney Military Engines, East Hartford, Connecticut, is awarded a $290,704,534 cost-plus-incentive-fee, fixed-price incentive (firm target) contract.  This contract provides material and support equipment for depot maintenance facilities, program administrative labor for non-recurring sustainment activities, mockup engines and modules for test cells, as well as supplies, services, and planning for depot activations in support of the F-35 Lightning II Program Lot 13 propulsion system for the Navy, Marine Corps, Air Force, non-Department of Defense (DOD) participants and Foreign Military Sales (FMS) customers.  Work will be performed in Oklahoma City, Oklahoma (30%); East Hartford, Connecticut (22%); Cherry Point, North Carolina (10%); Indianapolis, Indiana (6.75%); Windsor, Connecticut (3.25%); Yuma, Arizona (1.25%); Norfolk, United Kingdom (1%); Leeuwarden, Netherlands (1%); various locations within the continental U.S. (3.75%); and various locations outside the continental U.S. (21%), and is expected to be completed in January 2024.  Fiscal 2020 aircraft procurement (Navy) funds in the amount of $89,468,714; fiscal 2020 aircraft procurement (Air Force) funds in the amount of $84,152,318; non-DOD participant funds in the amount of $45,225,342; and FMS funds in the amount of $15,886,074, will be obligated at the time of award, none of which will expire at the end of the current fiscal year.  This contract was not competitively procured pursuant to 10 U.S. Code 2304(c)(1).  The Naval Air Systems Command, Patuxent River, Maryland, is the contracting activity (N00019-21-C-0006)."/>
    <m/>
    <s v="https://www.defense.gov/News/Contracts/Contract/Article/2489417/"/>
  </r>
  <r>
    <x v="1"/>
    <x v="1"/>
    <s v="Air Force"/>
    <x v="0"/>
    <x v="0"/>
    <s v="Imported"/>
    <x v="1"/>
    <x v="1"/>
    <s v="Transport Aircraft"/>
    <s v="C-130"/>
    <s v="C-130J"/>
    <s v="Crewed"/>
    <x v="1"/>
    <x v="0"/>
    <n v="11"/>
    <s v="Unknown"/>
    <s v="Confirmed"/>
    <n v="96.93"/>
    <s v="USD$"/>
    <n v="96.93"/>
    <s v="B2G"/>
    <s v="February"/>
    <n v="2021"/>
    <s v="Rolls-Royce Corp., Indianapolis, Indiana, has been awarded a $96,932,957 delivery order (FA8504-21-F-0022) to contract FA8504-17-D-0002 for C-130J propulsion long-term sustainment. This order provides funding for Option IV. Work will be performed at Robins Air Force Base, Georgia, and is expected to be completed Jan. 31, 2022. Fiscal 2021 Special Operations Command operation and maintenance funds in the amount of $7,109,327; fiscal 2021 Air National Guard operation and maintenance funds in the amount of $22,126,544; fiscal 2021 Air Force Reserve operations and maintenance funds in the amount of $12,187,542; fiscal 2021 Air Force operation and maintenance funds in the amount of $54,486,354; and fiscal 2021 Special Operations Command research, development, test and evaluation funds in the amount of $1,023,191 are being obligated at the time of award. Total cumulative face value of the contract is $66,684,503. Air Force Life Cycle Management Center, Robins AFB, Georgia, is the contracting activity."/>
    <m/>
    <s v="https://www.defense.gov/News/Contracts/Contract/Article/2489417/"/>
  </r>
  <r>
    <x v="0"/>
    <x v="0"/>
    <s v="Defense Wide"/>
    <x v="0"/>
    <x v="0"/>
    <s v="Indigenous"/>
    <x v="2"/>
    <x v="2"/>
    <s v="Medical Equipment"/>
    <s v="Cranial and maxillofacial procedural packages and ancillary items"/>
    <s v="Cranial and maxillofacial procedural packages and ancillary items"/>
    <m/>
    <x v="2"/>
    <x v="1"/>
    <s v="Not Applicable"/>
    <s v="Uknown"/>
    <s v="Confirmed"/>
    <n v="89.64"/>
    <s v="USD$"/>
    <n v="89.64"/>
    <s v="B2G"/>
    <s v="February"/>
    <n v="2021"/>
    <s v="Stryker Corp., Portage, Michigan, has been awarded a maximum $89,644,767 fixed-price with economic-price-adjustment, indefinite-delivery/indefinite-quantity contract for cranial and maxillofacial procedural packages and ancillary items.  This was a sole-source acquisition using justification 10 U.S .Code 2304 (c)(1), as stated in Federal Acquisition Regulation 6.302-1.  This is a one-year contract with four one-year option periods.  Location of performance is Michigan, with a Jan. 31, 2022, ordering period end date.  Using military services are Army, Navy and Air Force.  Type of appropriation is fiscal 2021 through 2022 defense working capital funds.  The contracting activity is the Defense Logistics Agency Troop Support, Philadelphia, Pennsylvania (SPE2DE-21-D-0011)"/>
    <m/>
    <s v="https://www.defense.gov/News/Contracts/Contract/Article/2489417/"/>
  </r>
  <r>
    <x v="0"/>
    <x v="0"/>
    <s v="Air Force"/>
    <x v="0"/>
    <x v="0"/>
    <s v="Indigenous"/>
    <x v="3"/>
    <x v="3"/>
    <s v="Satellite"/>
    <s v="Prototype Space Systems"/>
    <s v="Prototype Space Systems"/>
    <s v="Not Applicable"/>
    <x v="3"/>
    <x v="2"/>
    <n v="86"/>
    <s v="Unknown"/>
    <s v="Confirmed"/>
    <n v="50.8"/>
    <s v="USD$"/>
    <n v="50.8"/>
    <s v="B2G"/>
    <s v="February"/>
    <n v="2021"/>
    <s v="ViaSat Inc., Carlsbad, California, has been awarded a $50,800,000 cost-plus-fixed-fee, indefinite-delivery/indefinite-quantity contract for development on prototype space systems.  The contractor will provide studies, design, manufacturing, integration, performance qualification, network space segment elements, launch, flight and demonstration of prototype space systems.  This also includes the development, integration and demonstration with ground terminals in conjunction with the government ground segment to reduce risk and assess performance and functionality for future protected service.  Work will be performed in Carlsbad, California, and is expected to be completed May 2, 2028.  This award is the result of a competitive acquisition and one offer was received.  Fiscal 2021 research, development, test and evaluation funds in the amount of $754,337 will be obligated when the first task order is awarded.  Air Force Research Laboratory, Kirtland Air Force Base, New Mexico, is the contracting activity (FA9453-21-D-0029)."/>
    <m/>
    <s v="https://www.defense.gov/News/Contracts/Contract/Article/2490862/"/>
  </r>
  <r>
    <x v="2"/>
    <x v="2"/>
    <s v="Navy"/>
    <x v="0"/>
    <x v="0"/>
    <s v="Imported"/>
    <x v="4"/>
    <x v="4"/>
    <s v="Electronic Jamming"/>
    <s v="JCREW"/>
    <s v="JCREW I1B1"/>
    <s v="Uncrewed"/>
    <x v="4"/>
    <x v="2"/>
    <n v="22"/>
    <s v="Unknown"/>
    <s v="Confirmed"/>
    <n v="329.9"/>
    <s v="USD$"/>
    <n v="329.9"/>
    <s v="G2G"/>
    <s v="February"/>
    <n v="2021"/>
    <s v="Northrop Grumman Systems Corp., Herndon, Virginia, is awarded a $329,891,030 firm-fixed-price, cost-plus-fixed-fee modification to previously awarded contract N00024-17-C-6327 to exercise options for Joint Counter Radio-Controlled Improvised Explosive Device Electronic Warfare Increment One Block One (I1B1) dismounted systems, mounted systems, mounted auxiliary kits, operational level spares, depot level spares and engineering support services.  This contract involves Foreign Military Sales (FMS) to the government of Australia.  Work will be performed in San Diego, California, and is expected to be complete by December 2022.  FMS (Australia) funding in the amount of $116,491,337 will be obligated at time of award and will not expire at the end of the current fiscal year.  The Naval Sea Systems Command, Washington, D.C., is the contracting activity."/>
    <m/>
    <s v="https://www.defense.gov/News/Contracts/Contract/Article/2492400/"/>
  </r>
  <r>
    <x v="0"/>
    <x v="0"/>
    <s v="Air Force"/>
    <x v="0"/>
    <x v="0"/>
    <s v="Indigenous"/>
    <x v="5"/>
    <x v="5"/>
    <s v="Cyber Defense"/>
    <s v="Cyber Operations"/>
    <s v="Cyber Operations"/>
    <s v="Uncrewed"/>
    <x v="2"/>
    <x v="2"/>
    <s v="Not Applicable"/>
    <s v="Unknown"/>
    <s v="Confirmed"/>
    <n v="97.94"/>
    <s v="USD$"/>
    <n v="97.94"/>
    <s v="B2G"/>
    <s v="February"/>
    <n v="2021"/>
    <s v="Invictus International Consulting LLC, Alexandria, Virginia, has been awarded a $97,943,684 cost-reimbursement contract for Operational Simulated Cyber Environment Resiliency Software prototype/hardware.  This contract provides for research and development of capabilities in modeling, simulation and testing cyber technologies across the full spectrum of cyber operations to aid the Air Force and the Department of Defense (DOD).  Research and further development will provide the Air Force and DOD with next generation cyber tools and technologies that enhance cyber resiliency and can be rapidly transitioned and integrated to support Cyber Mission Forces.  Work will be performed in Alexandria, Virginia, and is expected to be completed Feb. 3, 2025.  This award is the result of a competitive acquisition and two offers were received.  Fiscal 2021 research, development, test and evaluation funds in the amount of $967,000 are being obligated at the time of award.  Air Force Research Laboratory, Rome, New York, is the contracting activity (FA8750-21-C-1504)."/>
    <m/>
    <s v="https://www.defense.gov/News/Contracts/Contract/Article/2492400/"/>
  </r>
  <r>
    <x v="0"/>
    <x v="0"/>
    <s v="Air Force"/>
    <x v="0"/>
    <x v="0"/>
    <s v="Indigenous"/>
    <x v="1"/>
    <x v="6"/>
    <s v="Not Applicable"/>
    <s v="Threat Assessment and Aircraft Protection Defensive Electronic Warfare program"/>
    <s v="Threat Assessment and Aircraft Protection Defensive Electronic Warfare program"/>
    <s v="Not Applicable"/>
    <x v="5"/>
    <x v="2"/>
    <n v="47"/>
    <s v="Unknown"/>
    <s v="Confirmed"/>
    <n v="68.599999999999994"/>
    <s v="USD$"/>
    <n v="68.599999999999994"/>
    <s v="B2G"/>
    <s v="February"/>
    <n v="2021"/>
    <s v="Leidos Inc., Reston, Virginia, has been awarded a $68,600,000 indefinite-delivery/indefinite-quantity contract with cost-plus-fixed-fee task orders for the Threat Assessment and Aircraft Protection Defensive Electronic Warfare program.  This program will conduct innovative research and development to design expendable (ordinance) and directed-energy (signal) countermeasure concepts, in electro-optical and multi-spectrum electro-optical/radio-frequency domains, in response to an ever-changing missile threat landscape using threat exploitation; modeling and simulation evaluation; and hardware and field testing.  Work will be performed at Wright-Patterson Air Force Base, Ohio, and is expected to be completed Jan. 29, 2025.  This award is the result of a competitive acquisition and one offer was received.  Fiscal 2020 and 2021 research, development, test and evaluation funds in the amount of $1,431,071 will be obligated at the time of award on the first task order.  Air Force Research Laboratory, Wright-Patterson AFB, Ohio, is the contracting activity (FA8650-21-D-1014)."/>
    <m/>
    <s v="https://www.defense.gov/News/Contracts/Contract/Article/2492400/"/>
  </r>
  <r>
    <x v="0"/>
    <x v="0"/>
    <s v="Air Force"/>
    <x v="0"/>
    <x v="0"/>
    <m/>
    <x v="5"/>
    <x v="7"/>
    <s v="Integrated C4ISR System"/>
    <s v="Full Spectrum Intelligence, Surveillance and Reconnaissance Operational Non-Appropriated Funds Support "/>
    <s v="FUSIONS"/>
    <s v="Optional"/>
    <x v="6"/>
    <x v="0"/>
    <n v="60"/>
    <s v="Unknown"/>
    <s v="Confirmed"/>
    <n v="95"/>
    <s v="USD$"/>
    <n v="95"/>
    <s v="B2G"/>
    <s v="February"/>
    <n v="2021"/>
    <s v="Scientific Research Corp., Atlanta, Georgia, has been awarded a $95,000,000 indefinite-delivery/indefinite-quantity contract for Full Spectrum Intelligence, Surveillance and Reconnaissance Operational Non-Appropriated Funds Support (FUSIONS).  This contract will deliver a key decisional advantage to the 16th Air Force/Component Commander and Joint Force Air Component Commander by delivering timely and relevant intelligence data/products to the war fighter.  The FUSIONS contract will enable critical support functions in all major work centers of the operations center and will further enable the 16th Air Force/Component Commander to exercise both command and control authorities as well as service cryptologic element roles.  The majority of work will be performed at Joint Base San Antonio (JBSA)-Lackland, Texas, and is expected to be completed Feb. 28, 2026.  This award is the result of a competitive acquisition and seven offers were received.  Fiscal 2021 operation and maintenance funds in the amount of $3,000 are being obligated at the time of award.  Acquisition Management and Integration Center, JBSA-Lackland, Texas, is the contracting activity (FA7037-21-D-0001)."/>
    <m/>
    <s v="https://www.defense.gov/News/Contracts/Contract/Article/2493842/"/>
  </r>
  <r>
    <x v="0"/>
    <x v="0"/>
    <s v="Army"/>
    <x v="0"/>
    <x v="0"/>
    <s v="Indigenous"/>
    <x v="6"/>
    <x v="8"/>
    <s v="Light Tactical/Utility Vehicles"/>
    <s v="Medium Tactical Vehicles"/>
    <s v="Underbody Armor Kit upgrade kits"/>
    <s v="Crewed"/>
    <x v="7"/>
    <x v="3"/>
    <n v="16"/>
    <n v="1081"/>
    <s v="Confirmed"/>
    <n v="61"/>
    <s v="USD$"/>
    <n v="61"/>
    <s v="B2G"/>
    <s v="February"/>
    <n v="2021"/>
    <s v="Oshkosh Defense LLC, Oshkosh, Wisconsin, was awarded a $61,002,554 firm-fixed-price contract for 1,081 Underbody Armor Kit upgrade kits for the Family of Medium Tactical Vehicles.  Bids were solicited via the internet with one received.  Work will be performed in Oshkosh, Wisconsin, with an estimated completion date of June 30, 2022.  Fiscal 2019, 2020 and 2021 European reassurance initiative funds in the amount of $61,002,554 were obligated at the time of the award.  U.S. Army Contracting Command, Detroit Arsenal, Michigan, is the contracting activity (W56HZV-21-C-0084)."/>
    <m/>
    <s v="https://www.defense.gov/News/Contracts/Contract/Article/2495622/"/>
  </r>
  <r>
    <x v="0"/>
    <x v="0"/>
    <s v="Navy"/>
    <x v="0"/>
    <x v="0"/>
    <m/>
    <x v="0"/>
    <x v="9"/>
    <m/>
    <s v="Amphibious Combat Vehicles"/>
    <s v="Amphibious Combat Vehicles"/>
    <s v="Crewed"/>
    <x v="8"/>
    <x v="1"/>
    <n v="25"/>
    <n v="36"/>
    <s v="Confirmed"/>
    <n v="183.84"/>
    <s v="USD$"/>
    <n v="183.84"/>
    <s v="B2G"/>
    <s v="February"/>
    <n v="2021"/>
    <s v="BAE Systems Land &amp; Armaments L.P., Sterling Heights, Michigan, is awarded an $183,840,645 fixed-price incentive (firm target) modification to previously awarded contract M67854-16-0006 for Amphibious Combat Vehicles (ACVs).  The total cumulative face value of the contract is $3,304,536,113.  This modification provides for the exercise of options for the procurement of 36 full rate production ACVs and associated production and fielding and support costs.  Work will be performed in York, Pennsylvania (60%); Aiken, South Carolina (15%); San Jose, California (15%); Sterling Heights, Michigan (5%); and Stafford, Virginia (5%).  Work is expected to be completed in April 2023.  Fiscal 2021 procurement (Marine Corps) funds in the amount of $183,840,645 will be obligated at the time of award, none of which will expire at the end of the current fiscal year.  Marine Corps Systems Command, Quantico, Virginia, is the contracting activity (M67854-16-C-0006)."/>
    <m/>
    <s v="https://www.defense.gov/News/Contracts/Contract/Article/2500379/"/>
  </r>
  <r>
    <x v="0"/>
    <x v="0"/>
    <s v="Army"/>
    <x v="0"/>
    <x v="0"/>
    <s v="Indigenous"/>
    <x v="4"/>
    <x v="10"/>
    <s v="Guided Artillery Round"/>
    <s v="Excalibur Ib projectiles"/>
    <s v="Excalibur Ib projectiles"/>
    <s v="Uncrewed"/>
    <x v="0"/>
    <x v="1"/>
    <n v="38"/>
    <s v="Unknown"/>
    <s v="Confirmed"/>
    <n v="53.86"/>
    <s v="USD$"/>
    <n v="53.86"/>
    <s v="B2G"/>
    <s v="February"/>
    <n v="2021"/>
    <s v="Raytheon Co., Tucson, Arizona, was awarded a $53,861,439 modification (P00009) to contract W15QKN-19-C-0017 for Excalibur Ib projectiles.  Work will be performed in Healdsburg, California; Karlskoga, Sweden; East Camden, Arizona; Cedar Rapids, Iowa; Southway, United Kingdom; Cincinnati, Ohio; Glenrothes, Scotland; Salt Lake City, Utah; Joplin, Missouri; Gilbert, Arizona; Lansdale, Pennsylvania; Santa Clara, California; Woodridge, Illinois; Trenton, Texas; Valencia, California; Cookstown, New Jersey; Tucson, Arizona; Phoenix, Arizona; Anniston, Alabama; Chino, California; Inglewood, California; McAlester, Oklahoma; and Farmington, New Mexico, with an estimated completion date of April 29, 2024.  Fiscal 2019 and 2021 other procurement (Army) funds in the amount of $53,861,439 were obligated at the time of the award.  U.S. Army Contracting Command, Newark, New Jersey, is the contracting activity."/>
    <m/>
    <s v="https://www.defense.gov/News/Contracts/Contract/Article/2500379/"/>
  </r>
  <r>
    <x v="0"/>
    <x v="0"/>
    <s v="Army"/>
    <x v="0"/>
    <x v="0"/>
    <s v="Local Assembly"/>
    <x v="4"/>
    <x v="10"/>
    <s v="Bomber"/>
    <s v="MK80 series"/>
    <s v="Tritonal bomb components"/>
    <s v="Uncrewed"/>
    <x v="9"/>
    <x v="1"/>
    <n v="22"/>
    <s v="Unknown"/>
    <s v="Confirmed"/>
    <n v="111.85"/>
    <s v="USD$"/>
    <n v="111.85"/>
    <s v="B2G"/>
    <s v="February"/>
    <n v="2021"/>
    <s v="General Dynamics Ordnance and Tactical Systems, Garland, Texas, was awarded an $111,853,284 firm-fixed-price contract for MK80 series general purpose tritonal bomb components.  Bids were solicited via the internet with one received.  Work will be performed in Garland, Texas, with an estimated completion date of Dec. 30, 2022.  Fiscal 2019 and 2020 aircraft procurement (Army) funds in the amount of $111,853,284 were obligated at the time of the award.  U.S. Army Contracting Command, Rock Island Arsenal, Illinois, is the contracting activity (W52P1J-21-F-0104)."/>
    <m/>
    <s v="https://www.defense.gov/News/Contracts/Contract/Article/2503055/"/>
  </r>
  <r>
    <x v="0"/>
    <x v="0"/>
    <s v="Defense Wide"/>
    <x v="0"/>
    <x v="0"/>
    <s v="Indigenous"/>
    <x v="5"/>
    <x v="11"/>
    <s v="Multi-Mission Radar"/>
    <s v="G/ATOR"/>
    <s v="G/ATOR"/>
    <s v="Crewed"/>
    <x v="4"/>
    <x v="1"/>
    <n v="36"/>
    <n v="9"/>
    <s v="Confirmed"/>
    <n v="236.94"/>
    <s v="USD$"/>
    <n v="236.94"/>
    <s v="B2G"/>
    <s v="February"/>
    <n v="2021"/>
    <s v="Northrop Grumman Systems Corp., Linthicum, Maryland, is awarded a $236,941,008 modification for the firm-fixed-price portion of previously awarded contract M67854-19-C-0043.  The total cumulative face value of the contract is $686,355,923.  This modification provides for the exercise of three option contract line items to procure eight Ground/Air Task Oriented Radar Gallium Nitride full rate production systems with associated travel and one lot of the initial provisioning package (spares) in support of Program Executive Officer Land Systems, Quantico, Virginia.  Work will be performed in Linthicum, Maryland, and is expected to be complete by Feb. 28, 2024.  Fiscal 2021 procurement (Marine Corps) funds in the amount of $236,941,008 will be obligated at the time of award and will not expire at the end of the current fiscal year.  The contract modification was not competitively procured.  The base contract was not competitively procured pursuant to Federal Acquisition Regulation 6.302-1 and 10 U.S. Code § 2304(c)(1).  The Marine Corps Systems Command, Quantico, Virginia, is the contracting activity (M67854-19-C-0043)."/>
    <m/>
    <s v="https://www.defense.gov/News/Contracts/Contract/Article/2503055/"/>
  </r>
  <r>
    <x v="0"/>
    <x v="0"/>
    <s v="Navy"/>
    <x v="0"/>
    <x v="0"/>
    <s v="Indigenous"/>
    <x v="0"/>
    <x v="12"/>
    <s v="Other Maritime"/>
    <s v="USS John C. Stennis (CVN 74)"/>
    <s v="Refueling Complex Overhaul"/>
    <s v="Crewed"/>
    <x v="10"/>
    <x v="0"/>
    <n v="53"/>
    <s v="Unknown"/>
    <s v="Estimated"/>
    <n v="2994"/>
    <s v="USD$"/>
    <n v="2994"/>
    <s v="B2G"/>
    <s v="February"/>
    <n v="2021"/>
    <s v="Huntington Ingalls Industries’ Newport News Shipbuilding Division, Newport News, Virginia, is awarded a $2,994,237,224 cost-plus-incentive fee contract for the USS John C. Stennis (CVN 74) Refueling Complex Overhaul.  This effort refuels, overhauls and modernizes USS John C. Stennis (CVN 74) to support the second half of its 50-year service life.  Huntington Ingalls Industries’ Newport News Shipbuilding division is the original building yard contractor for all ships of the CVN 68 class.  Work will be performed in Newport News, Virginia (94%); and Norfolk, Virginia (6%), and is expected to be completed by August 2025.  Fiscal 2021 shipbuilding and conversion (Navy) funds in the amount of $1,048,000,000 will be obligated at time of award and will not expire at the end of the current fiscal year.  In accordance with 10 U.S. Code 2304(c)(1), this contract was not competitively procured.  Only one responsible source, Huntington Ingalls Industries, Inc., Newport News Shipbuilding Division, has the knowledge, experience and facilities required to accomplish this effort in support of the refueling and overhaul of CVN 74 without an unacceptable disruption of Navy-wide overhaul and repair schedule.  The Naval Sea Systems Command, Washington, D.C., is the contracting activity (N00024-21-C-2106)."/>
    <m/>
    <s v="https://www.defense.gov/News/Contracts/Contract/Article/2509592/"/>
  </r>
  <r>
    <x v="2"/>
    <x v="2"/>
    <s v="Navy"/>
    <x v="0"/>
    <x v="0"/>
    <s v="Imported"/>
    <x v="5"/>
    <x v="7"/>
    <s v="Integrated C4ISR System"/>
    <s v="23.4 APY-10 radar system and P-8A Poseidon aircraft"/>
    <s v="Production kits"/>
    <s v="Crewed"/>
    <x v="0"/>
    <x v="1"/>
    <n v="53"/>
    <s v="Unknown"/>
    <s v="Confirmed"/>
    <n v="74.239999999999995"/>
    <s v="USD$"/>
    <n v="74.239999999999995"/>
    <s v="B2G"/>
    <s v="February"/>
    <n v="2021"/>
    <s v="Raytheon Co., McKinney, Texas, is awarded a $74,238,334 firm-fixed-price, cost-plus-fixed fee contract.  This contract provides 23.4 APY-10 radar system production kits and related support for the P-8A Poseidon aircraft for Navy and Foreign Military Sales (FMS) customers.  Work will be performed in McKinney, Texas (72%); Andover, Massachusetts (7%); Dallas, Texas (6%); Torrance, California (5%); Woodland Park, New Jersey (4%); Black Mountain, North Carolina (2%); Etobicoke, Ontario (2%); Clearwater, Florida (1%); and Simsbury, Connecticut (1%), and is expected to be completed in August 2025.  Fiscal 2020 aircraft procurement (Navy) funds in the amount of $27,538,719; and FMS funds in the amount of $46,699,615 will be obligated at the time of award, none of which will expire at the end of the current fiscal year.  This contract was not competitively procured pursuant to 10 U.S. Code 2304(c)(1).  The Naval Air Systems Command, Patuxent River, Maryland, is the contracting activity (N00019-21-C-0004)."/>
    <m/>
    <s v="https://www.defense.gov/News/Contracts/Contract/Article/2509592/"/>
  </r>
  <r>
    <x v="0"/>
    <x v="0"/>
    <s v="Air Force"/>
    <x v="0"/>
    <x v="0"/>
    <s v="Indigenous"/>
    <x v="1"/>
    <x v="1"/>
    <m/>
    <m/>
    <m/>
    <s v="Crewed"/>
    <x v="11"/>
    <x v="2"/>
    <n v="73"/>
    <s v="Unknown"/>
    <s v="Confirmed"/>
    <n v="99"/>
    <s v="USD$"/>
    <n v="99"/>
    <s v="B2G"/>
    <s v="February"/>
    <n v="2021"/>
    <s v="Southwest Research Institute, San Antonio, Texas, has been awarded a $99,000,000 indefinite-delivery/indefinite-quantity contract for engineering and research activities.  This contract provides for engineering and research activities related to the degradation of systems and materials due to operational use, often referred to as aging, initiated by external customers, or by Center for Aircraft Structural Life Extension (CAStLE) itself.  In general, the research and engineering activities performed by CAStLE cover a variety of work that follows aircraft and other systems through their life-cycle from “cradle to grave.”  CAStLE efforts span a wide range of topics related to the aging of systems, including basic design, development and characterization of materials; and design, analysis, development and qualification of structural systems.  Work will be performed in San Antonio, Texas; and at the U.S. Air Force (USAF) Academy, Colorado, and is expected to be completed March 29, 2027.  This award is the result of a competitive acquisition and three offers received.  Fiscal 2020 research, development, test and evaluation funds are being obligated to meet the minimum quantity of at least $200,000 at the time of award for the first task order.  The 10th Contracting Squadron, U.S. Air Force Academy, Colorado, is the contracting activity (FA7000-21-D-0002)."/>
    <m/>
    <s v="https://www.defense.gov/News/Contracts/Contract/Article/2509592/"/>
  </r>
  <r>
    <x v="0"/>
    <x v="0"/>
    <s v="Army"/>
    <x v="0"/>
    <x v="0"/>
    <s v="Indigenous"/>
    <x v="7"/>
    <x v="10"/>
    <s v="Other"/>
    <m/>
    <m/>
    <s v="Not Applicable"/>
    <x v="2"/>
    <x v="0"/>
    <n v="23"/>
    <s v="Unknown"/>
    <s v="Confirmed"/>
    <n v="49.83"/>
    <s v="USD$"/>
    <n v="49.83"/>
    <s v="B2G"/>
    <s v="February"/>
    <n v="2021"/>
    <s v="ASM Research LLC, Fairfax, Virginia, was awarded a $49,833,025 modification (P00001) to contract W52P1J-21-C-4002 for operation and maintenance support for the Army Training Requirements and Resource System.  Work will be performed in Fairfax, Virginia, with an estimated completion date of Feb. 12, 2023.  Fiscal 2021 operation and maintenance (Army) funds in the amount of $49,833,025 were obligated at the time of the award.  U.S. Army Contracting Command, Rock Island Arsenal, Illinois, is the contracting activity."/>
    <m/>
    <s v="https://www.defense.gov/News/Contracts/Contract/Article/2509592/"/>
  </r>
  <r>
    <x v="0"/>
    <x v="0"/>
    <s v="Air Force"/>
    <x v="1"/>
    <x v="1"/>
    <s v="Indigenous"/>
    <x v="8"/>
    <x v="2"/>
    <s v="Not Applicable"/>
    <s v="Research and development"/>
    <s v="Research and development"/>
    <s v="Not Applicable"/>
    <x v="12"/>
    <x v="2"/>
    <n v="132"/>
    <s v="Unknown"/>
    <s v="Estimated"/>
    <n v="998"/>
    <s v="USD$"/>
    <n v="998"/>
    <s v="B2G"/>
    <s v="February"/>
    <n v="2021"/>
    <s v="Georgia Tech Applied Research Corp. (GTARC), Atlanta, Georgia, has been awarded a ceiling $998,000,000 indefinite-delivery/indefinite-quantity contract for Defense Research, Engineering, Science and Technology Development II.  This contract provides for the continued acquisition of essential engineering, and research and development capability by GTARC.  Work will primarily be performed in Atlanta, Georgia, and is expected to be completed by February 2032.  This award is the result of a sole-source acquisition.  Fiscal 2020 research, development, test and evaluation funds in the amount of $12,199 are obligated at the time of award on the same day delivery order. Air Force Life Cycle Management Center, Hanscom Air Force Base, Massachusetts, is the contracting activity (FA8730-21-D-0001)."/>
    <m/>
    <s v="https://www.defense.gov/News/Contracts/Contract/Article/2511328/"/>
  </r>
  <r>
    <x v="0"/>
    <x v="0"/>
    <s v="Air Force"/>
    <x v="0"/>
    <x v="0"/>
    <s v="Indigenous"/>
    <x v="2"/>
    <x v="13"/>
    <s v="Not Applicable"/>
    <s v="Lot 19 Joint Air-to-Surface Standoff Missile – Extended Range missiles"/>
    <s v="Missiles with containers, training and production preparation, tooling and test equipment and hardware spares"/>
    <s v="Uncrewed"/>
    <x v="13"/>
    <x v="1"/>
    <n v="53"/>
    <n v="400"/>
    <s v="Confirmed"/>
    <n v="428.4"/>
    <s v="USD$"/>
    <n v="428.4"/>
    <s v="B2G"/>
    <s v="February"/>
    <n v="2021"/>
    <s v="Lockheed Martin Missiles and Fire Control, Orlando, Florida, has been awarded a $428,406,732 firm-fixed-price contract, for 400 Lot 19 Joint Air-to-Surface Standoff Missile – Extended Range missiles with containers, training and production preparation, tooling and test equipment and hardware spares.  Work will be performed in Orlando, Florida, and is expected to be completed July 31, 2025.  This award is the result of a sole-source acquisition. Fiscal 2021 missile procurement funds in the full amount are being obligated at the time of award.  Air Force Life Cycle Management Center, Eglin Air Force Base, Florida, is the contracting activity (FA8682-21-C-0001)."/>
    <m/>
    <s v="https://www.defense.gov/News/Contracts/Contract/Article/2511328/"/>
  </r>
  <r>
    <x v="2"/>
    <x v="2"/>
    <s v="Air Force"/>
    <x v="0"/>
    <x v="0"/>
    <s v="Indigenous"/>
    <x v="2"/>
    <x v="2"/>
    <s v="Not Applicable"/>
    <s v="Lots 4 and 5 Long Range Anti-Ship Missiles, tooling and test equipment."/>
    <s v="Lots 4 and 5 Long Range Anti-Ship Missiles, tooling and test equipment."/>
    <s v="Uncrewed"/>
    <x v="13"/>
    <x v="2"/>
    <n v="48"/>
    <n v="137"/>
    <s v="Confirmed"/>
    <n v="414.25"/>
    <s v="USD$"/>
    <n v="414.25"/>
    <s v="B2G"/>
    <s v="February"/>
    <n v="2021"/>
    <s v="Lockheed Martin, Orlando, Florida, has been awarded a $414,251,844 firm-fixed-price contract, for 137 Lots 4 and 5 Long Range Anti-Ship Missiles, tooling and test equipment.  Work will be performed in Orlando, Florida; and Troy, Alabama, and is expected to be completed March 21, 2025.  This contract involves Foreign Military Sales (FMS) and is the result of a sole-source acquisition.  Fiscal 2020 Navy weapon procurement funds in the amount of $56,173,414; fiscal 2021 Navy weapon procurement funds in the amount of $125,782,310; fiscal 2021 Air Force missile procurement funds in the amount of $17,707,234; fiscal 2021 Office of the Secretary of Defense, Strategic Capabilities Office research, development, test and evaluation funds in the amount of $5,850,340; and FMS funds in the amount of $208,738,546, are being obligated at the time of award.  Air Force Life Cycle Management Center, Eglin Air Force Base, Florida, is the contracting activity (FA8682-21-C-0004)."/>
    <m/>
    <s v="https://www.defense.gov/News/Contracts/Contract/Article/2511328/"/>
  </r>
  <r>
    <x v="0"/>
    <x v="0"/>
    <s v="Navy"/>
    <x v="0"/>
    <x v="0"/>
    <s v="Imported"/>
    <x v="7"/>
    <x v="14"/>
    <s v="Not Applicable"/>
    <m/>
    <m/>
    <s v="Uncrewed"/>
    <x v="14"/>
    <x v="4"/>
    <n v="47"/>
    <s v="Not applicable"/>
    <s v="Confirmed"/>
    <n v="92.36"/>
    <s v="USD$"/>
    <n v="92.36"/>
    <s v="B2G"/>
    <s v="February"/>
    <n v="2021"/>
    <s v="Cubic Defense Applications Inc., Orlando, Florida, is awarded a $92,358,797 firm-fixed-price, cost reimbursable, indefinite-delivery/indefinite-quantity contract.  This contract provides Ready Relevant Learning content conversion, to include design, development, test and delivery of modernized courseware training products for the Navy ratings Fire Control Technician, Master at Arms, Aviation Structural Mechanic, Electronics Technician Navigation, Submarines, Mineman, Information Systems Technician and Aviation Machinist’s Mate.  Additionally, this contract provides for preparation and delivery of train-the-trainer and course pilot events in support of Relevant Ready Learning for the Navy.  Work will be performed in Orlando, Florida, and is expected to be completed in February 2025.  No funds will be obligated at time of award; funds will be issued against individual orders as they are issued.  This contract was competitively procured via an electronic request for proposal; five offers were received.  The Naval Air Warfare Center, Training Systems Division, Orlando, Florida, is the contracting activity (N61340-21-D-0013)."/>
    <m/>
    <s v="https://www.defense.gov/News/Contracts/Contract/Article/2516375/"/>
  </r>
  <r>
    <x v="0"/>
    <x v="0"/>
    <s v="Air Force"/>
    <x v="0"/>
    <x v="0"/>
    <s v="Imported"/>
    <x v="2"/>
    <x v="15"/>
    <s v="Not Applicable"/>
    <s v="SSPARS"/>
    <s v="SSPARS"/>
    <s v="Crewed"/>
    <x v="15"/>
    <x v="0"/>
    <n v="14"/>
    <s v="Not applicable"/>
    <s v="Confirmed"/>
    <n v="52.55"/>
    <s v="USD$"/>
    <n v="52.55"/>
    <s v="B2G"/>
    <s v="February"/>
    <n v="2021"/>
    <s v="InDyne Inc., Sterling, Virginia, has been awarded a $52,552,505 modification (P00090) to contract FA2517-18-C-8000 for Solid State Phased Array Radar Systems (SSPARS).  The contract modification is for the management, operation, maintenance and logistical support of SSPARS.  Work will be performed at Beale Air Force Base, California; Cape Cod Air Force Station (AFS), Massachusetts; Clear AFS, Alaska; Thule Air Base, Greenland; and Royal Air Force Fylingdales, United Kingdom, and is expected to be completed April 30, 2022.  Fiscal 2021 operation and maintenance funds in the full amount are being obligated at the time of award.  Total cumulative face value of the contract is $152,122,325.  The 21st Contracting Squadron, Peterson AFB, Colorado, is the contracting activity."/>
    <m/>
    <s v="https://www.defense.gov/News/Contracts/Contract/Article/2518088/"/>
  </r>
  <r>
    <x v="0"/>
    <x v="0"/>
    <s v="Navy"/>
    <x v="0"/>
    <x v="0"/>
    <s v="Indigenous"/>
    <x v="4"/>
    <x v="16"/>
    <m/>
    <s v="Trident II (D5) and MK6 Guidance Equivalent Units"/>
    <s v="Trident II (D5) and MK6 Guidance Equivalent Units"/>
    <s v="Uncrewed"/>
    <x v="16"/>
    <x v="1"/>
    <n v="53"/>
    <s v="Not applicable"/>
    <s v="Confirmed"/>
    <n v="207.5"/>
    <s v="USD$"/>
    <n v="207.5"/>
    <s v="B2G"/>
    <s v="February"/>
    <n v="2021"/>
    <s v="The Charles Stark Draper Laboratory, Cambridge, Massachusetts, is awarded a $207,518,080 cost-plus-incentive fee contract (N00030-21-C-0008) for production of Trident II (D5) Strategic Weapon System MK6 Guidance Equivalent Units.  Work will be performed in Cambridge, Massachusetts (30.5%); Clearwater, Florida (20.6%); Pittsfield, Massachusetts (43.25); and McKinney, Texas (5.7%).  This work is expected to be completed July 30, 2025.  Fiscal 2021 weapons procurement (Navy) funds in the amount of $204,283,080; and United Kingdom funds in the amount of $3,235,000 are being obligated on this award, none of which will expire at the end of the current fiscal year.  This contract was a sole-source acquisition pursuant to 10 U.S. Code 2304(c)(1) and (4).  Strategic Systems Programs, Washington, D.C., is the contracting activity."/>
    <m/>
    <s v="https://www.defense.gov/News/Contracts/Contract/Article/2518088/"/>
  </r>
  <r>
    <x v="0"/>
    <x v="0"/>
    <s v="Navy"/>
    <x v="0"/>
    <x v="0"/>
    <s v="Indigenous"/>
    <x v="1"/>
    <x v="1"/>
    <s v="Target Drone"/>
    <s v="Lot 15 full rate production GQM-163A Coyote Supersonic Sea Skimming Targets "/>
    <s v="Lot 15 full rate production GQM-163A Coyote Supersonic Sea Skimming Targets "/>
    <s v="Uncrewed"/>
    <x v="4"/>
    <x v="2"/>
    <n v="46"/>
    <n v="14"/>
    <s v="Confirmed"/>
    <n v="55.47"/>
    <s v="USD$"/>
    <n v="55.47"/>
    <s v="B2G"/>
    <s v="February"/>
    <n v="2021"/>
    <s v="Northrop Grumman Systems Corp., Chandler, Arizona, is awarded a $55,466,406 modification (P00001) to previously awarded firm-fixed-price contract N00019-21-C-0005.  This modification exercises an option to procure 18 Lot 15 full rate production GQM-163A Coyote Supersonic Sea Skimming Targets (14 for the Navy; three for the Missile Defense Agency; and one for the government of Japan) in support of developmental, operational test and evaluation of major combat weapon systems.  Additionally, this contract procures associated technical and administrative data in support of full rate production Lot 15 deliveries.  Work will be performed in Camden, Arkansas (43%); Chandler, Arizona (35%); Vergennes, Vermont (8%); Cincinnati, Ohio (4%); Oconomowoc, Wisconsin (4%); Lancaster, Pennsylvania (4%), and various locations within the continental U.S. (2%), and is expected to be completed in December 2024.  Fiscal 2021 weapons procurement (Navy) funds in the amount of $43,140,538; fiscal 2021 working capital (defense) funds in the amount of $9,244,401; and Foreign Military Sales funds in the amount of $3,081,467 will be obligated at time of award, none of which will expire at the end of the current fiscal year.  The Naval Air Systems Command, Patuxent River, Maryland, is the contracting activity."/>
    <s v="need to discuss"/>
    <s v="https://www.defense.gov/News/Contracts/Contract/Article/2518088/"/>
  </r>
  <r>
    <x v="0"/>
    <x v="0"/>
    <s v="Navy"/>
    <x v="0"/>
    <x v="0"/>
    <s v="Indigenous"/>
    <x v="1"/>
    <x v="1"/>
    <s v="Target Drone"/>
    <s v="Lot 15 full rate production GQM-163A Coyote Supersonic Sea Skimming Targets "/>
    <s v="Lot 15 full rate production GQM-163A Coyote Supersonic Sea Skimming Targets "/>
    <s v="Uncrewed"/>
    <x v="4"/>
    <x v="2"/>
    <n v="46"/>
    <n v="3"/>
    <s v="Confirmed"/>
    <n v="55.47"/>
    <s v="USD$"/>
    <n v="55.47"/>
    <s v="B2G"/>
    <s v="February"/>
    <n v="2021"/>
    <s v="Northrop Grumman Systems Corp., Chandler, Arizona, is awarded a $55,466,406 modification (P00001) to previously awarded firm-fixed-price contract N00019-21-C-0005.  This modification exercises an option to procure 18 Lot 15 full rate production GQM-163A Coyote Supersonic Sea Skimming Targets (14 for the Navy; three for the Missile Defense Agency; and one for the government of Japan) in support of developmental, operational test and evaluation of major combat weapon systems.  Additionally, this contract procures associated technical and administrative data in support of full rate production Lot 15 deliveries.  Work will be performed in Camden, Arkansas (43%); Chandler, Arizona (35%); Vergennes, Vermont (8%); Cincinnati, Ohio (4%); Oconomowoc, Wisconsin (4%); Lancaster, Pennsylvania (4%), and various locations within the continental U.S. (2%), and is expected to be completed in December 2024.  Fiscal 2021 weapons procurement (Navy) funds in the amount of $43,140,538; fiscal 2021 working capital (defense) funds in the amount of $9,244,401; and Foreign Military Sales funds in the amount of $3,081,467 will be obligated at time of award, none of which will expire at the end of the current fiscal year.  The Naval Air Systems Command, Patuxent River, Maryland, is the contracting activity."/>
    <m/>
    <s v="https://www.defense.gov/News/Contracts/Contract/Article/2518088/"/>
  </r>
  <r>
    <x v="0"/>
    <x v="0"/>
    <s v="Navy"/>
    <x v="0"/>
    <x v="0"/>
    <s v="Indigenous"/>
    <x v="1"/>
    <x v="1"/>
    <s v="Target Drone"/>
    <s v="Lot 15 full rate production GQM-163A Coyote Supersonic Sea Skimming Targets "/>
    <s v="Lot 15 full rate production GQM-163A Coyote Supersonic Sea Skimming Targets "/>
    <s v="Uncrewed"/>
    <x v="4"/>
    <x v="2"/>
    <n v="46"/>
    <n v="1"/>
    <s v="Confirmed"/>
    <n v="55.47"/>
    <s v="USD$"/>
    <n v="55.47"/>
    <s v="B2G"/>
    <s v="February"/>
    <n v="2021"/>
    <s v="Northrop Grumman Systems Corp., Chandler, Arizona, is awarded a $55,466,406 modification (P00001) to previously awarded firm-fixed-price contract N00019-21-C-0005.  This modification exercises an option to procure 18 Lot 15 full rate production GQM-163A Coyote Supersonic Sea Skimming Targets (14 for the Navy; three for the Missile Defense Agency; and one for the government of Japan) in support of developmental, operational test and evaluation of major combat weapon systems.  Additionally, this contract procures associated technical and administrative data in support of full rate production Lot 15 deliveries.  Work will be performed in Camden, Arkansas (43%); Chandler, Arizona (35%); Vergennes, Vermont (8%); Cincinnati, Ohio (4%); Oconomowoc, Wisconsin (4%); Lancaster, Pennsylvania (4%), and various locations within the continental U.S. (2%), and is expected to be completed in December 2024.  Fiscal 2021 weapons procurement (Navy) funds in the amount of $43,140,538; fiscal 2021 working capital (defense) funds in the amount of $9,244,401; and Foreign Military Sales funds in the amount of $3,081,467 will be obligated at time of award, none of which will expire at the end of the current fiscal year.  The Naval Air Systems Command, Patuxent River, Maryland, is the contracting activity."/>
    <m/>
    <s v="https://www.defense.gov/News/Contracts/Contract/Article/2518088/"/>
  </r>
  <r>
    <x v="0"/>
    <x v="0"/>
    <s v="Navy"/>
    <x v="0"/>
    <x v="0"/>
    <s v="Indigenous"/>
    <x v="1"/>
    <x v="1"/>
    <s v="Fighter"/>
    <s v="Lot 18 integrated defensive electronic countermeasures"/>
    <s v="AN/ALQ-214 A(V)4"/>
    <s v="Crewed"/>
    <x v="17"/>
    <x v="1"/>
    <n v="42"/>
    <n v="19"/>
    <s v="Confirmed"/>
    <n v="72.36"/>
    <s v="USD$"/>
    <n v="72.36"/>
    <s v="B2G"/>
    <s v="March"/>
    <n v="2021"/>
    <s v="L3 Harris Technologies, Clifton, New Jersey, is awarded a $72,362,191 modification (P00002) to previously awarded firm-fixed-price contract N00019-20-C-0002.  This modification exercises the option to procure 19 full rate production Lot 18 integrated defensive electronic countermeasures AN/ALQ-214 A(V)4 onboard jammer systems for the F/A-18 aircraft.  In addition, this modification provides for the procurement of 11 weapons replaceable assembly (WRA)1 A(V)4 receiver/processors; and 13 WRA2 A(V)4 modulators for Navy Supply Systems Command.  Work will be performed in Clifton, New Jersey (59%); San Jose, California (14%); San Diego, California (7%); Rancho Cordova, California (5%); Mountain View, California (3%) and various locations within the continental U.S. (12%), and is expected to be completed in August 2024.  Fiscal 2021 aircraft procurement (Navy) funds in the amount of $72,362,191 will be obligated at the time of award, none of which will expire at the end of the current fiscal year.  The Naval Air Systems Command, Patuxent River, Maryland, is the contracting activity."/>
    <m/>
    <s v="https://www.defense.gov/News/Contracts/Contract/Article/2523684/"/>
  </r>
  <r>
    <x v="0"/>
    <x v="0"/>
    <s v="Army"/>
    <x v="0"/>
    <x v="0"/>
    <s v="Imported"/>
    <x v="1"/>
    <x v="17"/>
    <s v="Rotary Wing Transport"/>
    <s v="CH-47 aircraft"/>
    <s v="CH-47 aircraft T55 engines, electronic control units, and installation kits"/>
    <s v="Crewed"/>
    <x v="18"/>
    <x v="1"/>
    <n v="34"/>
    <s v="Unknown"/>
    <s v="Confirmed"/>
    <n v="476.1"/>
    <s v="USD$"/>
    <n v="476.1"/>
    <s v="B2G"/>
    <s v="March"/>
    <n v="2021"/>
    <s v="Honeywell International Inc., Phoenix, Arizona, was awarded a $476,065,362 firm-fixed-price contract for the procurement of CH-47 aircraft T55 engines, CH-47 aircraft T55 engine electronic control units, and CH-47 aircraft T55 engine installation kits.  Bids were solicited via the internet with one received.  Work locations and funding will be determined with each order, with an estimated completion date of Dec. 31, 2023.  U.S. Army Contracting Command, Redstone Arsenal, Alabama, is the contracting activity (W58RGZ-21-D-0027)."/>
    <m/>
    <s v="https://www.defense.gov/News/Contracts/Contract/Article/2529436/"/>
  </r>
  <r>
    <x v="0"/>
    <x v="0"/>
    <s v="Navy"/>
    <x v="0"/>
    <x v="0"/>
    <s v="Indigenous"/>
    <x v="0"/>
    <x v="12"/>
    <s v="Other Maritime"/>
    <s v="missile flight"/>
    <s v="Missile Flight"/>
    <s v="Uncrewed"/>
    <x v="13"/>
    <x v="2"/>
    <n v="47"/>
    <s v="Not applicable"/>
    <s v="Confirmed"/>
    <n v="1538"/>
    <s v="USD$"/>
    <n v="1538"/>
    <s v="B2G"/>
    <s v="March"/>
    <n v="2021"/>
    <s v="Lockheed Martin Space, Littleton, Colorado, is being awarded a cost-plus-fixed-fee, cost-plus-incentive-fee $1,537,874,213 modification (PZ0023) to previously awarded and announced un-priced letter contract modifications PH0001 and PH0006 to contract N00030-19-C-0025 for the design, development, build and integration of equipment for missile flight test demonstrations and fielding.  This modification provides the definitization of the un-priced letter contract modifications PH0001 and PH0006.  The total cumulative face value of the contract is $2,826,155,717.  Work will be performed in Denver, Colorado (32.1%); Sunnyvale, California (19%); Magna, Utah (12.9%); Pittsfield, Massachusetts (5.3%); East Aurora, New York (3.1%); Huntsville, Alabama (3.1%); Baltimore, Maryland (2.9%); Tucson, Arizona (2.2%); Cambridge, Massachusetts (1.8%); Michoud, Louisiana (1.4%); Simsbury, Connecticut (1%); and various other locations (less than 1% each, 15.2% total).  Work is expected to be completed Feb. 25, 2024.  No funds will be obligated at time of award.  Strategic Systems Programs, Washington, D.C., is the contracting activity."/>
    <m/>
    <s v="https://www.defense.gov/News/Contracts/Contract/Article/2534571/"/>
  </r>
  <r>
    <x v="0"/>
    <x v="0"/>
    <s v="Navy"/>
    <x v="0"/>
    <x v="0"/>
    <s v="Imported"/>
    <x v="1"/>
    <x v="17"/>
    <s v="Rotary Wing Transport"/>
    <s v="CH-53K"/>
    <s v="CH-53K"/>
    <s v="Crewed"/>
    <x v="19"/>
    <x v="1"/>
    <n v="11"/>
    <n v="9"/>
    <s v="Confirmed"/>
    <n v="155.24"/>
    <s v="USD$"/>
    <n v="155.24"/>
    <s v="B2G"/>
    <s v="March"/>
    <n v="2021"/>
    <s v="Sikorsky Aircraft Corp., a Lockheed Martin Co., Stratford, Connecticut, is awarded a $155,240,914 modification (P00002) to previously awarded firm-fixed-price advanced acquisition contract N00019-20-C-0047.  This modification exercises an option to provide long lead parts and components in support of nine Lot Six CH-53K aircraft.  Work will be performed in Stratford, Connecticut, and is expected to be completed in February 2022.  Fiscal 2021 aircraft procurement (Navy) funds in the amount of $155,240,914 will be obligated at time of award, none of which will expire at the end of the current fiscal year.  The Naval Air Systems Command, Patuxent River, Maryland, is the contracting activity."/>
    <m/>
    <s v="https://www.defense.gov/News/Contracts/Contract/Article/2534571/"/>
  </r>
  <r>
    <x v="2"/>
    <x v="2"/>
    <s v="Army"/>
    <x v="0"/>
    <x v="0"/>
    <s v="Indigenous"/>
    <x v="4"/>
    <x v="16"/>
    <s v="Counter-UAS System"/>
    <s v="Joint Air-to-Ground Munitions"/>
    <s v="Joint Air-to-Ground Munitions"/>
    <s v="Uncrewed"/>
    <x v="13"/>
    <x v="1"/>
    <n v="33"/>
    <s v="Unknown"/>
    <s v="Confirmed"/>
    <n v="201.75"/>
    <s v="USD$"/>
    <n v="201.75"/>
    <s v="B2G"/>
    <s v="March"/>
    <n v="2021"/>
    <s v="Lockheed Martin Corp., Orlando, Florida, was awarded a $201,748,880 modification (P00055) to contract W31P4Q-18-C-0130 for the procurement of Joint Air-to-Ground Munitions.  Work will be performed in Orlando, Florida, with an estimated completion date of Dec. 31, 2023.  Fiscal 2010 Foreign Military Sales (United Kingdom) funds; fiscal 2019 and 2020 procurement of ammunition (Army) funds; and 2019 and 2020 procurement (defense-wide) funds in the amount of $201,748,880 were obligated at the time of the award.  U.S. Army Contracting Command, Redstone Arsenal, Alabama, is the contracting activity."/>
    <s v="involved with two names UK and US, which one to be added in the customer region field, kindly suggest"/>
    <s v="https://www.defense.gov/News/Contracts/Contract/Article/2534571/"/>
  </r>
  <r>
    <x v="0"/>
    <x v="0"/>
    <s v="Army"/>
    <x v="0"/>
    <x v="0"/>
    <s v="Indigenous"/>
    <x v="4"/>
    <x v="18"/>
    <s v="Launchers"/>
    <s v="40 mm grenade systems, and M385A1 and M918 projectiles"/>
    <s v="40 mm grenade systems, and M385A1 and M918 projectiles"/>
    <s v="Uncrewed"/>
    <x v="20"/>
    <x v="1"/>
    <n v="23"/>
    <s v="Unknown"/>
    <s v="Confirmed"/>
    <n v="92.9"/>
    <s v="USD$"/>
    <n v="92.9"/>
    <s v="B2G"/>
    <s v="March"/>
    <n v="2021"/>
    <s v="AMTEC Corp.,* Janesville, Wisconsin, was awarded a $92,904,958 modification (PZ0027) to contract W52P1J-17-C-0051 for 40 mm grenade systems, and M385A1 and M918 projectiles.  Work will be performed in Janesville, Wisconsin; Antigo, Wisconsin; and Clear Lake, South Dakota, with an estimated completion date of Feb. 28, 2023.  Fiscal 2019 procurement (defense-wide) funds; and 2019, 2020 and 2021 procurement of ammunition (Army) funds in the amount of $92,904,958 were obligated at the time of the award.  U.S. Army Contracting Command, Rock Island Arsenal, Illinois, is the contracting activity."/>
    <m/>
    <s v="https://www.defense.gov/News/Contracts/Contract/Article/2536304/"/>
  </r>
  <r>
    <x v="0"/>
    <x v="0"/>
    <s v="Air Force"/>
    <x v="0"/>
    <x v="0"/>
    <s v="Indigenous"/>
    <x v="5"/>
    <x v="19"/>
    <s v="Artificial Intelligence"/>
    <s v="Cyberspace operations"/>
    <s v="Cyberspace operations"/>
    <s v="Uncrewed"/>
    <x v="21"/>
    <x v="2"/>
    <n v="36"/>
    <s v="Unknown"/>
    <s v="Confirmed"/>
    <n v="49.9"/>
    <s v="USD$"/>
    <n v="49.9"/>
    <s v="B2G"/>
    <s v="March"/>
    <n v="2021"/>
    <s v="Assured Information Security Inc.,* Rome, New York, has been awarded a $49,904,181 cost-plus-fixed-fee completion contract for Dauntless Cyber Platform/Prototype.  This effort is for research, development, integration, testing, evaluation and transition of new and emergent technologies that improve mission coordination, advance the capabilities of cyberspace operations in an array of environments, and better equip the warfighter.  Work will be performed in Rome, New York, and is expected to be completed March 11, 2024.  This award is the result of a competitive acquisition and two offers were received.  Air Force Research Laboratory, Rome, New York, is the contracting activity (FA8750-21-C-1501)."/>
    <m/>
    <s v="https://www.defense.gov/News/Contracts/Contract/Article/2536304/"/>
  </r>
  <r>
    <x v="0"/>
    <x v="0"/>
    <s v="Navy"/>
    <x v="0"/>
    <x v="0"/>
    <s v="Local Assembly"/>
    <x v="0"/>
    <x v="0"/>
    <s v="Logistics and Support Other (Maritime)"/>
    <s v="engineering services"/>
    <s v="Littoral Combat Ship mission"/>
    <s v="Uncrewed"/>
    <x v="4"/>
    <x v="0"/>
    <n v="11"/>
    <s v="Not applicable"/>
    <s v="Confirmed"/>
    <n v="52.21"/>
    <s v="USD$"/>
    <n v="52.21"/>
    <s v="B2G"/>
    <s v="March"/>
    <n v="2021"/>
    <s v="Northrop Grumman Systems Corp., Bethpage, New York, is awarded a $52,206,297 cost-plus-fixed-fee and cost modification to previously awarded contract N00024-17-C-6311 for engineering services to support the Littoral Combat Ship mission modules. Work will be performed in Bethpage, New York (33%); Mayport, Florida (19%); San Diego, California (19%); Port Hueneme, California (19%); Pittsfield, Massachusetts (6%); and various locations, each less than 1% (4%), and is expected to be completed by March 2022. Fiscal 2021 operation and maintenance (Navy) ($13,277,704; 61%); fiscal 2021 other procurement (Navy) ($5,230,176; 24%); fiscal 2021 research, development, test, and evaluation (Navy) ($2,605,997; 12%); and fiscal 2020 research, development, test, and evaluation (Navy) funding in the amount of $780,325 (3%), will be obligated at the time of award. Funds in the amount of $14,058,029 will expire at the end of the current fiscal year. The Naval Sea Systems Command, Washington, D.C., is the contracting activity."/>
    <m/>
    <s v="https://www.defense.gov/News/Contracts/Contract/Article/2537803/"/>
  </r>
  <r>
    <x v="0"/>
    <x v="0"/>
    <s v="Army"/>
    <x v="0"/>
    <x v="0"/>
    <s v="Indigenous"/>
    <x v="6"/>
    <x v="8"/>
    <s v="Light Tactical/Utility Vehicles"/>
    <s v="Anti-lock brake/electronic stability control retrofit kits for the High Mobility Multi-Purposed Wheeled Vehicle"/>
    <s v="Anti-lock brake/electronic stability control retrofit kits for the High Mobility Multi-Purposed Wheeled Vehicle"/>
    <s v="Crewed"/>
    <x v="22"/>
    <x v="3"/>
    <n v="53"/>
    <s v="Unknown"/>
    <s v="Confirmed"/>
    <n v="89.83"/>
    <s v="USD$"/>
    <n v="89.83"/>
    <s v="B2G"/>
    <s v="March"/>
    <n v="2021"/>
    <s v="Ricardo Defense Inc., Troy, Michigan, was awarded an $89,826,882 firm-fixed-price contract to procure anti-lock brake/electronic stability control retrofit kits for the High Mobility Multi-Purposed Wheeled Vehicle family of vehicles.  Bids were solicited via the internet with one received.  Work locations and funding will be determined with each order, with an estimated completion date of Sept. 11, 2025.  U.S. Army Contracting Command, Detroit Arsenal, Michigan, is the contracting activity (W56HZV-21-D-0008)."/>
    <m/>
    <s v="https://www.defense.gov/News/Contracts/Contract/Article/2539245/"/>
  </r>
  <r>
    <x v="0"/>
    <x v="0"/>
    <s v="Navy"/>
    <x v="0"/>
    <x v="0"/>
    <s v="Indigenous"/>
    <x v="0"/>
    <x v="20"/>
    <s v="Other Surface Combatants"/>
    <s v="Littoral Combat Ship Component-Based Total Ship System"/>
    <s v="Littoral Combat Ship Component-Based Total Ship System"/>
    <s v="Crewed"/>
    <x v="13"/>
    <x v="0"/>
    <n v="11"/>
    <s v="Unknown"/>
    <s v="Confirmed"/>
    <n v="93.19"/>
    <s v="USD$"/>
    <n v="93.19"/>
    <s v="B2G"/>
    <s v="March"/>
    <n v="2021"/>
    <s v="Lockheed Martin Corp., Rotary and Mission Systems, Moorestown, New Jersey, is awarded a $93,186,001 cost-plus-incentive-fee and cost modification to previously awarded contract N00024-20-C-5601 to exercise options for sustainment of the Littoral Combat Ship Component-Based Total Ship System – 21st Century program and associated combat system elements.  Work will be performed in Moorestown, New Jersey (84%); Camden, New Jersey (5%); Virginia Beach, Virginia (5%); Deer Creek, Colorado (2%); Manassas, Virginia (1%); Orlando, Florida (1%); and various other locations under 1% (2%), and is expected to be completed by March 2022.  Fiscal 2021 research, development, test and evaluation (Navy) funds in the amount of $5,150,181 (61%); fiscal 2021 operation and maintenance (Navy) funds in the amount of $3,145,335 (38%); and fiscal 2021 other procurement (Navy) funds in the amount of $75,054 (1%), will be obligated at time of award, and funds in the amount of $3,145,335 will expire at the end of the current fiscal year.  The Naval Sea Systems Command, Washington, D.C., is the contracting activity."/>
    <m/>
    <s v="https://www.defense.gov/News/Contracts/Contract/Article/2542529/"/>
  </r>
  <r>
    <x v="0"/>
    <x v="0"/>
    <s v="Navy"/>
    <x v="0"/>
    <x v="0"/>
    <s v="Indigenous"/>
    <x v="1"/>
    <x v="1"/>
    <s v="Transport Aircraft"/>
    <s v="T56 engine"/>
    <s v="T56 engine"/>
    <s v="Crewed"/>
    <x v="23"/>
    <x v="0"/>
    <n v="59"/>
    <s v="Unknown"/>
    <s v="Confirmed"/>
    <n v="148.94999999999999"/>
    <s v="USD$"/>
    <n v="148.94999999999999"/>
    <s v="B2G"/>
    <s v="March"/>
    <n v="2021"/>
    <s v="StandardAero, San Antonio, Texas, is awarded a $148,948,945 firm-fixed-price, indefinite-delivery/indefinite-quantity contract. This contract procures T56 engine depot level repairs in support of the P-3 Orion, C-130 Hercules and C-2A Greyhound aircraft. Work will be performed in San Antonio, Texas (75%); and Winnipeg, Canada (25%), and is expected to be completed in March 2026. No funds will be obligated at the time of award; funds will be obligated on individual orders as they are issued. This contract was competitively procured via an electronic request for proposal; two offers were received. The Naval Air Warfare Center Aircraft Division, Lakehurst, New Jersey, is the contracting activity (N6833521D0048)."/>
    <m/>
    <s v="https://www.defense.gov/News/Contracts/Contract/Article/2546009/"/>
  </r>
  <r>
    <x v="0"/>
    <x v="0"/>
    <s v="Navy"/>
    <x v="0"/>
    <x v="0"/>
    <s v="Indigenous"/>
    <x v="5"/>
    <x v="11"/>
    <s v="Fire Control Radar"/>
    <s v="APG-65/73 radar system"/>
    <s v="APG-65/73 radar system"/>
    <s v="Crewed"/>
    <x v="0"/>
    <x v="0"/>
    <n v="23"/>
    <s v="Unknown"/>
    <s v="Confirmed"/>
    <n v="63.3"/>
    <s v="USD$"/>
    <n v="63.3"/>
    <s v="B2G"/>
    <s v="March"/>
    <n v="2021"/>
    <s v="Raytheon Co., Indianapolis, Indiana, is awarded $63,301,453 for a ceiling-priced delivery order (N00383-21-F-N700) under a previously awarded basic ordering agreement (N00383-18-G-N701) for the repair of the APG-65/73 radar systems in support of the F/A-18 aircraft. All work will be performed in Indianapolis, Indiana, and is expected to be completed by March 2023. Fiscal year 2021 working capital (Navy) funds in the amount of $31,017,711 will be obligated at the time of award, and funds will not expire at the end of the current fiscal year. One company was solicited for this sole-source requirement under authority 10 U.S. Code 2304 (c)(1), with one offer received. Naval Supply Systems Command Weapon Systems Support, Philadelphia, Pennsylvania, is the contracting activity. "/>
    <m/>
    <s v="https://www.defense.gov/News/Contracts/Contract/Article/2546009/"/>
  </r>
  <r>
    <x v="0"/>
    <x v="0"/>
    <s v="Navy"/>
    <x v="0"/>
    <x v="0"/>
    <s v="Indigenous"/>
    <x v="5"/>
    <x v="21"/>
    <s v="Not Applicable"/>
    <s v="Systems engineering and equipment installation support"/>
    <s v="systems engineering and equipment installation support"/>
    <s v="Crewed"/>
    <x v="8"/>
    <x v="0"/>
    <n v="59"/>
    <s v="Not applicable"/>
    <s v="Confirmed"/>
    <n v="140.43"/>
    <s v="USD$"/>
    <n v="140.43"/>
    <s v="B2G"/>
    <s v="March"/>
    <n v="2021"/>
    <s v="BAE Systems Technology Solutions and Services, Rockville, Maryland, is awarded a $140,430,072 cost-plus-fixed-fee, cost-reimbursable, indefinite-delivery/indefinite-quantity contract. This contract provides systems engineering and equipment installation support services of command, control, communications, computers, and intelligence systems, including legacy, current, and next generation shipboard interior and exterior communications; shipboard radios; and transportable, airborne, and fixed shore termination communications systems, subsystems, and components in support of the Naval Air Warfare Center Aircraft Division Webster Outlying Field Integrated Command, Control and Intel Division. Work will be performed in St. Inigoes, Maryland, and is expected to be completed in March 2026. No funds will be obligated at the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1D0018)."/>
    <m/>
    <s v="https://www.defense.gov/News/Contracts/Contract/Article/2547591/"/>
  </r>
  <r>
    <x v="0"/>
    <x v="0"/>
    <s v="Navy"/>
    <x v="0"/>
    <x v="0"/>
    <s v="Indigenous"/>
    <x v="0"/>
    <x v="22"/>
    <s v="Not Applicable"/>
    <s v="AEGIS - Combat System"/>
    <s v="AEGIS - Combat System"/>
    <s v="Crewed"/>
    <x v="13"/>
    <x v="2"/>
    <n v="9"/>
    <s v="Not applicable"/>
    <s v="Confirmed"/>
    <n v="67.42"/>
    <s v="USD$"/>
    <n v="67.42"/>
    <s v="B2G"/>
    <s v="March"/>
    <n v="2021"/>
    <s v="Lockheed Martin, Rotary and Mission Systems, Moorestown, New Jersey, is awarded a $67,419,399 cost-plus-incentive-fee and cost-plus-fixed-fee modification to previously awarded contract N00024-13-C-5116 to exercise an option for the AEGIS - Combat System Engineering agent efforts for the design, development, integration, test, and delivery of the Advanced Capability Build 20. Work will be performed in Moorestown, New Jersey, and is expected to be completed by Dec. 31, 2021. Fiscal 2021 research, development, test, and evaluation (Navy) funds in the amount of $61,212,365 (91%); fiscal 2021 operation and maintenance (Navy) funds in the amount of $4,517,034 (7%); and fiscal 2020 research, development, test, and evaluation (Navy) funds in the amount of $1,690,000 (2%) will be obligated at time of award. Funding in the amount of $6,207,034 will expire at the end of the current fiscal year. The Naval Sea Systems Command, Washington, D.C., is the contracting activity."/>
    <m/>
    <s v="https://www.defense.gov/News/Contracts/Contract/Article/2554351/"/>
  </r>
  <r>
    <x v="0"/>
    <x v="0"/>
    <s v="Army"/>
    <x v="0"/>
    <x v="0"/>
    <s v="Indigenous"/>
    <x v="4"/>
    <x v="23"/>
    <s v="Ammunition"/>
    <s v="120 mm M1002 and M865A1 cartridges"/>
    <s v="120 mm M1002 and M865A1 cartridges"/>
    <s v="Crewed"/>
    <x v="9"/>
    <x v="4"/>
    <n v="25"/>
    <s v="Unknown"/>
    <s v="Confirmed"/>
    <n v="65.31"/>
    <s v="USD$"/>
    <n v="65.31"/>
    <s v="B2G"/>
    <s v="March"/>
    <n v="2021"/>
    <s v="General Dynamics Ordnance and Tactical Systems Inc., St. Petersburg, Florida, was awarded a $65,312,044 firm-fixed-price contract to procure 120 mm M1002 new production cartridges and 120 mm M865A1 new production cartridges for the 120 mm Tank Training Ammunition program. Bids were solicited via the internet with two received. Work will be performed in St. Petersburg, Florida, with an estimated completion date of May 5, 2023. Fiscal 2020 and 2021 procurement of ammunition, Army funds in the amount of $65,312,044 were obligated at the time of the award. U.S. Army Contracting Command, Rock Island Arsenal, Illinois, is the contracting activity (W52P1J-17-C-0024)."/>
    <m/>
    <s v="https://www.defense.gov/News/Contracts/Contract/Article/2555751/"/>
  </r>
  <r>
    <x v="0"/>
    <x v="0"/>
    <s v="Army"/>
    <x v="0"/>
    <x v="0"/>
    <s v="Indigenous"/>
    <x v="6"/>
    <x v="24"/>
    <s v="Main Battle Tank"/>
    <s v="120 mm M1002 and M865A1, Tank Training Ammunition requirements"/>
    <s v="120 mm M1002 and M865A1, Tank Training Ammunition requirements"/>
    <s v="Crewed"/>
    <x v="24"/>
    <x v="4"/>
    <n v="23"/>
    <s v="Unknown"/>
    <s v="Confirmed"/>
    <n v="54.48"/>
    <s v="USD$"/>
    <n v="54.48"/>
    <s v="B2G"/>
    <s v="March"/>
    <n v="2021"/>
    <s v="Alliant Techsystems Operations LLC, Plymouth, Minnesota, was awarded a $54,483,850 firm-fixed-price contract to procure 120 mm M1002 new production cartridges and 120 mm M865A1 new production cartridges for 120 mm Tank Training Ammunition requirements. Bids were solicited via the internet with two received. Work will be performed in Plymouth, Minnesota, with an estimated completion date of March 1, 2023. Fiscal 2021 procurement of ammunition, Army funds in the amount of $54,483,850 were obligated at the time of the award. U.S. Army Contracting Command, Rock Island Arsenal, Illinois, is the contracting activity (W52P1J-17-C-0025). "/>
    <m/>
    <s v="https://www.defense.gov/News/Contracts/Contract/Article/2555751/"/>
  </r>
  <r>
    <x v="0"/>
    <x v="0"/>
    <s v="Defense Wide"/>
    <x v="0"/>
    <x v="0"/>
    <s v="Indigenous"/>
    <x v="6"/>
    <x v="24"/>
    <s v="Armoured Utility/Protected Patrol Vehicles"/>
    <s v="Reducible Height Gunner Protection Kit systems"/>
    <s v="Reducible Height Gunner Protection Kit systems"/>
    <s v="Crewed"/>
    <x v="25"/>
    <x v="1"/>
    <n v="59"/>
    <s v="Unknown"/>
    <s v="Confirmed"/>
    <n v="80"/>
    <s v="USD$"/>
    <n v="80"/>
    <s v="B2G"/>
    <s v="March"/>
    <n v="2021"/>
    <s v="Wulco Inc., doing business as Jet Machine and Manufacturing Co.,* Cincinnati, Ohio, is awarded a $79,999,960 firm-fixed-price contract for procurement of Reducible Height Gunner Protection Kit systems. Work will be performed at Cincinnati, Ohio, with an expected completion date of March 29, 2026. The maximum dollar value, including an ordering period of five years, is $79,999,960. Fiscal 2020 procurement (Marine Corps) funds in the amount of $10,082,702 are being obligated at time of award. This contract was a competitive acquisition for small businesses. Eight offers were received. The Marine Corps Systems Command, Quantico, Virginia, is the contracting activity (M67854-21-D-1876)."/>
    <m/>
    <s v="https://www.defense.gov/News/Contracts/Contract/Article/2555751/"/>
  </r>
  <r>
    <x v="0"/>
    <x v="0"/>
    <s v="Navy"/>
    <x v="0"/>
    <x v="0"/>
    <s v="Indigenous"/>
    <x v="0"/>
    <x v="22"/>
    <s v="Nuclear-Powered Submarine"/>
    <s v="Navy equipment, long-lead material, and spares"/>
    <s v="Navy equipment, long-lead material, and spares"/>
    <s v="Crewed"/>
    <x v="13"/>
    <x v="1"/>
    <n v="64"/>
    <s v="Unknown"/>
    <s v="Confirmed"/>
    <n v="71.14"/>
    <s v="USD$"/>
    <n v="71.14"/>
    <s v="B2G"/>
    <s v="March"/>
    <n v="2021"/>
    <s v="Lockheed Martin Rotary and Mission Systems, Manassas, Virginia, is awarded a $71,141,017 cost-plus-incentive-fee contract modification to previously awarded contract N00024-17-C-6259 to exercise options for Navy equipment, long-lead material, and spares. Work will be performed in Manassas, Virginia (65%); Clearwater, Florida (32%); Syracuse, New York (2%); and Marion, Florida (1%), and is expected to be completed by July 2026. Fiscal 2021 other procurement (Navy) funds in the amount of $38,656,699 (54%); and fiscal 2021 shipbuilding and conversion (Navy) funds in the amount of $32,484,318 (46%) will be obligated at time of award and will not expire at the end of the current fiscal year. The Naval Sea Systems Command, Washington, D.C., is the contracting activity."/>
    <m/>
    <s v="https://www.defense.gov/News/Contracts/Contract/Article/2555751/"/>
  </r>
  <r>
    <x v="0"/>
    <x v="0"/>
    <s v="Air Force"/>
    <x v="0"/>
    <x v="0"/>
    <s v="Indigenous"/>
    <x v="4"/>
    <x v="25"/>
    <s v="Guided Bomb"/>
    <s v="Bomb Increment II lot"/>
    <s v="Bomb Increment II lot"/>
    <s v="Uncrewed"/>
    <x v="0"/>
    <x v="2"/>
    <n v="23"/>
    <s v="Unknown"/>
    <s v="Confirmed"/>
    <n v="79.400000000000006"/>
    <s v="USD$"/>
    <n v="79.400000000000006"/>
    <s v="B2G"/>
    <s v="April"/>
    <n v="2021"/>
    <s v="Raytheon Missiles &amp; Defense, Tucson, Arizona, has been awarded a $79,398,158 cost-plus-fixed-fee contract for Small Diameter Bomb Increment II lot integration and test. This contract effort will deliver all-up round (AUR) test vehicles, perform AUR-level assembly, checkout, testing and systems integration testing; and prepare for production cut-in and fielding for the multiple engineering changes needed, including National Security Agency (NSA) cryptographic modernization, Global Positioning System (GPS) military code, mitigation of part obsolescence, and design changes evolving from production and/or operations. Work will be performed in Tucson, Arizona, and is expected to be completed April 1, 2023. This award is the result of a sole-source acquisition. Fiscal 2020 Air Force (USAF) missile procurement funds in the amount of $11,977,567; fiscal 2020 USAF research, development, test and evaluation (RDT&amp;E) funds in the amount of $6,495,714; fiscal 2021 Navy (USN) RDT&amp;E funds in the amount of $5,133,243; fiscal 2021 USN weapon procurement funds in the amount of $2,783,878; and fiscal 2019 Special Defense Acquisition Funds in the amount of $9,021,596 are being obligated at the time of award. Air Force Life Cycle Management Center, Eglin Air Force Base, Florida, is the contracting activity (FA8672-21-F-6052). "/>
    <m/>
    <s v="https://www.defense.gov/News/Contracts/Contract/Article/2560289/"/>
  </r>
  <r>
    <x v="0"/>
    <x v="0"/>
    <s v="Air Force"/>
    <x v="0"/>
    <x v="0"/>
    <s v="Indigenous"/>
    <x v="1"/>
    <x v="1"/>
    <s v="Trainers"/>
    <s v="T-6 sustainment"/>
    <s v="T-6 sustainment"/>
    <s v="Crewed"/>
    <x v="26"/>
    <x v="0"/>
    <n v="60"/>
    <s v="Unknown"/>
    <s v="Confirmed"/>
    <n v="95.12"/>
    <s v="USD$"/>
    <n v="95.12"/>
    <s v="B2G"/>
    <s v="April"/>
    <n v="2021"/>
    <s v="Textron Aviation Defense LLC, Wichita, Kansas, has been awarded a $95,121,401 indefinite-delivery/indefinite-quantity contract for T-6 sustainment. This contract provides sustaining engineering and program management services for the T-6 aircraft. Work will be performed in Wichita, Kansas, and is expected to be completed April 12, 2026. This award is the result of a sole-source acquisition. Fiscal 2021 operation and maintenance funds no less than the amount of $1,616,765 are being obligated at the time of award. Air Force Life Cycle Management Center, Tinker Air Force Base, Oklahoma, is the contracting activity at (FA8106-20-D-0001). "/>
    <m/>
    <s v="https://www.defense.gov/News/Contracts/Contract/Article/2567831/"/>
  </r>
  <r>
    <x v="0"/>
    <x v="0"/>
    <s v="Navy"/>
    <x v="0"/>
    <x v="0"/>
    <s v="Indigenous"/>
    <x v="0"/>
    <x v="20"/>
    <s v="Other Surface Combatants"/>
    <s v="COMBATSS-21"/>
    <s v="COMBATSS-21"/>
    <s v="Crewed"/>
    <x v="13"/>
    <x v="0"/>
    <n v="13"/>
    <s v="Unknown"/>
    <s v="Confirmed"/>
    <n v="72.180000000000007"/>
    <s v="USD$"/>
    <n v="72.180000000000007"/>
    <s v="B2G"/>
    <s v="April"/>
    <n v="2021"/>
    <s v="Lockheed Martin Corp. Rotary and Mission Systems, Moorestown, New Jersey, was awarded a $72,181,353 cost-plus-incentive-fee, firm-fixed-price and cost only modification to previously awarded contract N00024-20-C-5601 to exercise options for hardware development and provisioned items order in support of sustainment of the Littoral Combat Ship Component Based Total Ship System – 21st Century (COMBATSS-21) and associated combat system elements. Work will be performed in Jarfalla, Sweden (84%); and Syracuse, New York (16%), and is expected to be completed by May 2022. Fiscal 2020 research, development, test and evaluation (Navy) funding in the amount of $3,572,305 was obligated at time of award and will expire at the end of the current fiscal year. The Naval Sea Systems Command, Washington, D.C., is the contracting activity. (Awarded April 1, 2021)"/>
    <m/>
    <s v="https://www.defense.gov/News/Contracts/Contract/Article/2567831/"/>
  </r>
  <r>
    <x v="0"/>
    <x v="0"/>
    <s v="Navy"/>
    <x v="0"/>
    <x v="0"/>
    <s v="Indigenous"/>
    <x v="1"/>
    <x v="17"/>
    <s v="Rotary Wing Transport"/>
    <s v="MV-22B, CMV-22 (Navy) and CV-22 (Air Force) Osprey components"/>
    <s v="MV-22B, CMV-22 (Navy) and CV-22 (Air Force) Osprey components"/>
    <s v="Crewed"/>
    <x v="27"/>
    <x v="0"/>
    <n v="56"/>
    <s v="Unknown"/>
    <s v="Confirmed"/>
    <n v="143.19999999999999"/>
    <s v="USD$"/>
    <n v="143.19999999999999"/>
    <s v="B2G"/>
    <s v="April"/>
    <n v="2021"/>
    <s v="Bell Boeing Joint Program Office, California, Maryland, is awarded $143,198,723 for a delivery order (N00383-21-F-0U51) under previously awarded performance-based logistics requirements contract N00383-19-D-U501 for the logistics and repair support of MV-22B, CMV-22 (Navy) and CV-22 (Air Force) Osprey components. All work will be performed in Fort Worth, Texas. Work is expected to be completed by December 2025. Fiscal 2021 working capital funds (Navy) in the full amount of $143,198,723 will be obligated at time of award and funds will not expire at the end of the current fiscal year. One source was solicited for this non-competitive requirement pursuant to the authority set forth in 10 U.S. Code 2304 (c)(1), in accordance with Federal Acquisition Regulation 6.302-1, with one offer received. Naval Supply Systems Command Weapon Systems Support, Philadelphia, Pennsylvania, is the contracting activity."/>
    <m/>
    <s v="https://www.defense.gov/News/Contracts/Contract/Article/2571500/"/>
  </r>
  <r>
    <x v="0"/>
    <x v="0"/>
    <s v="Navy"/>
    <x v="0"/>
    <x v="0"/>
    <s v="Indigenous"/>
    <x v="7"/>
    <x v="26"/>
    <s v="Not Applicable"/>
    <s v="military training and testing range complexes and assets"/>
    <s v="Military training and testing range complexes and assets"/>
    <s v="Not Applicable"/>
    <x v="28"/>
    <x v="0"/>
    <n v="84"/>
    <s v="Not applicable"/>
    <s v="Confirmed"/>
    <n v="100"/>
    <s v="USD$"/>
    <n v="100"/>
    <s v="B2G"/>
    <s v="April"/>
    <n v="2021"/>
    <s v="ManTech SRS Technologies Inc., Herndon, Virginia, is awarded a maximum-value $100,000,000 firm-fixed-price, indefinite-delivery/indefinite-quantity architect-engineering contract for range sustainability services for military training and testing range complexes and assets at various locations worldwide. Work will be performed at various locations worldwide including, but not limited to, California (30%); Hawaii (25%); Guam (15%); Washington (10%); Alaska (5%); Arizona (5%); Nevada (5%); and Virginia (5%), and is expected to be completed by April 2028. No task orders are being issued at this time. Fiscal 2021 operation and maintenance (Navy) funds in the amount of $5,000 will be obligated at time of award and will expire at the end of the current fiscal year. Future task orders will be primarily funded by operation and maintenance (Navy) funds. This contract was competitively procured via the beta.sam.gov online website, with two offers received. The Naval Facilities Engineering Systems Command Southwest, San Diego, California, is the contracting activity (N62473-21-D-2212)."/>
    <m/>
    <s v="https://www.defense.gov/News/Contracts/Contract/Article/2571500/"/>
  </r>
  <r>
    <x v="0"/>
    <x v="0"/>
    <s v="Navy"/>
    <x v="0"/>
    <x v="0"/>
    <s v="Indigenous"/>
    <x v="0"/>
    <x v="27"/>
    <s v="Mine Counter-Measures"/>
    <s v="MK 18 Mod 2 Unmanned Underwater Vehicle (UUV) Increment II Payload Upgrade"/>
    <s v="MK 18 Mod 2 Unmanned Underwater Vehicle (UUV) Increment II Payload Upgrade"/>
    <s v="Uncrewed"/>
    <x v="29"/>
    <x v="1"/>
    <n v="60"/>
    <s v="2 Unmanned Underwater Vehicle (UUV) Increment II Payload Upgrade hardware"/>
    <s v="Confirmed"/>
    <n v="74.7"/>
    <s v="USD$"/>
    <n v="74.7"/>
    <s v="B2G"/>
    <s v="April"/>
    <n v="2021"/>
    <s v="Hydroid Inc., Pocasset, Massachusetts, is awarded a $74,700,000 indefinite-delivery/indefinite-quantity contract, containing firm-fixed-price provisions. This contract is for the procurement of MK 18 Mod 2 Unmanned Underwater Vehicle (UUV) Increment II Payload Upgrade hardware, in support of the existing MK 18 Mod 2 UUV program. Work will be performed in Pocasset, Massachusetts, and is expected to be completed in April 2026. Fiscal 2021 other procurement (Navy) funds in the amount of $2,112,827 will be obligated at time of award on the first delivery order and will not expire at the end of the current fiscal year. This contract was not competitively procured on the Beta.SAM.gov website, in accordance with 10 U.S. Code 2304(c)(1) (only one responsible source and no other supplies or services will satisfy agency requirements). The Naval Undersea Warfare Center Division, Newport, Newport, Rhode Island, is the contracting activity (N66604-21-D-C000)."/>
    <m/>
    <s v="https://www.defense.gov/News/Contracts/Contract/Article/2571500/"/>
  </r>
  <r>
    <x v="0"/>
    <x v="0"/>
    <s v="Air Force"/>
    <x v="0"/>
    <x v="0"/>
    <s v="Indigenous"/>
    <x v="5"/>
    <x v="7"/>
    <s v="Integrated C4ISR System"/>
    <s v="Sensor Technology"/>
    <s v="Sensor technology "/>
    <s v="Uncrewed"/>
    <x v="30"/>
    <x v="2"/>
    <n v="83"/>
    <s v="Not applicable"/>
    <s v="Confirmed"/>
    <n v="49.9"/>
    <s v="USD$"/>
    <n v="49.9"/>
    <s v="B2G"/>
    <s v="April"/>
    <n v="2021"/>
    <s v="The Johns Hopkins University/Applied Physics Laboratory (JHU/APL), Laurel, Maryland, has been awarded a $49,900,000 cost-plus-fixed-fee, indefinite-delivery/indefinite-quantity contract for sensor technology at the APL Research Center. This contract provides research and development of new sensor technologies that JHU/APL may perform for the Air Force Research Laboratory (AFRL) in the broadest and most flexible manner for the Air Force. Work will be performed in Laurel, Maryland, and is expected to be completed April 9, 2028. This award is the result of a sole-source acquisition. Fiscal 2020 and 2021 research, development, test and evaluation funds in the total amount of $724,963 are being obligated on one initial task order at the time of award. AFRL, Wright-Patterson Air Force Base, Ohio, is the contracting activity (FA8650-21-D-1008)."/>
    <m/>
    <s v="https://www.defense.gov/News/Contracts/Contract/Article/2571500/"/>
  </r>
  <r>
    <x v="0"/>
    <x v="0"/>
    <s v="Air Force"/>
    <x v="0"/>
    <x v="0"/>
    <s v="Indigenous"/>
    <x v="2"/>
    <x v="15"/>
    <s v="Not Applicable"/>
    <s v="Simplified Acquisition of Base Engineering Requirements program."/>
    <s v="Simplified Acquisition of Base Engineering Requirements program."/>
    <s v="Not Applicable"/>
    <x v="31"/>
    <x v="0"/>
    <n v="60"/>
    <s v="Not applicable"/>
    <s v="Confirmed"/>
    <n v="95"/>
    <s v="USD$"/>
    <n v="95"/>
    <s v="B2G"/>
    <s v="April"/>
    <n v="2021"/>
    <s v="West Coast JV, Coos Bay, Oregon, has been awarded a not-to-exceed $95,000,000 indefinite-delivery/indefinite-quantity contract for the Simplified Acquisition of Base Engineering Requirements program. This contract provides for a broad range of maintenance, repair, and minor construction work on real property at Nellis Air Force Base, Nevada Test and Training Range, and Creech AFB, all located in Nevada, and is expected to be completed April 14, 2026. Fiscal 2021 operation and maintenance funds in the amount of $720,100 for an acceptable demonstration project proposal is being obligated to the awardee at the time of award. The 99th Contracting Squadron, Nellis AFB, Nevada, is the contracting activity (FA4861-21-D-0005)."/>
    <m/>
    <s v="https://www.defense.gov/News/Contracts/Contract/Article/2573125/"/>
  </r>
  <r>
    <x v="1"/>
    <x v="3"/>
    <s v="Navy"/>
    <x v="0"/>
    <x v="0"/>
    <s v="Imported"/>
    <x v="5"/>
    <x v="7"/>
    <s v="Integrated C4ISR System"/>
    <s v="E-2D Advanced Hawkeye aircraft"/>
    <s v="E-2D Advanced Hawkeye aircraft"/>
    <s v="Crewed"/>
    <x v="4"/>
    <x v="1"/>
    <n v="71"/>
    <n v="3"/>
    <s v="Confirmed"/>
    <n v="99.04"/>
    <s v="USD$"/>
    <n v="99.04"/>
    <s v="G2G"/>
    <s v="April"/>
    <n v="2021"/>
    <s v="Northrop Grumman Systems Corp., Military Aircraft Systems, Melbourne, Florida is awarded a $99,038,122 modification to a previously awarded fixed-price-incentive-firm contract (N0001918C1037). This modification adds scope to procure long lead items and associated services in support of the production and delivery of three E-2D Advanced Hawkeye aircraft for the government of France. Work will be performed in Syracuse, New York (27.3%); El Segundo, California (16.7%), Menlo Park, California (12.1%); Rolling Meadows, Illinois (9.3%); Woodland Hills, California (5.8%); Edgewood, New York (5.3%); Potez, Aire-sur-l'Adour, France (4.2%); Greenlawn, New York (4.2%); Marlborough, Massachusetts (2.9%); Owego, New York (2.5%); Clemmons, North Carolina (2.0%), Melbourne, Florida (1.5%); and various locations within the continental U.S. (6.2%), and is expected to be completed in April 2027.  Foreign Military Sales funds in the amount of $99,038,122 will be obligated at time of award, none of which will expire at the end of the current fiscal year. The Naval Air Systems Command, Patuxent River, Maryland, is the contracting activity."/>
    <m/>
    <s v="https://www.defense.gov/News/Contracts/Contract/Article/2576245/"/>
  </r>
  <r>
    <x v="0"/>
    <x v="0"/>
    <s v="Navy"/>
    <x v="0"/>
    <x v="0"/>
    <s v="Indigenous"/>
    <x v="0"/>
    <x v="22"/>
    <s v="Other"/>
    <s v="Transducers and installation kit"/>
    <s v="Transducers and installation kit"/>
    <s v="Not Applicable"/>
    <x v="32"/>
    <x v="1"/>
    <n v="59"/>
    <s v="Not applicable"/>
    <s v="Confirmed"/>
    <n v="69.819999999999993"/>
    <s v="USD$"/>
    <n v="69.819999999999993"/>
    <s v="B2G"/>
    <s v="April"/>
    <n v="2021"/>
    <s v="Ultra Electronics Oceans Systems Inc., Braintree, Massachusetts, is awarded a $69,816,849 indefinite-delivery/indefinite-quantity contract containing firm-fixed-price provisions. This contract is for production of transducers and installation kits. Work will be performed in Quincy, Massachusetts (68%); and Hingham, Massachusetts (42%), and is expected to be completed by April 2026 (with the latest possible delivery taking place nine months thereafter). Fiscal 2021 other procurement (Navy) funds in the amount of $5,852,130 (95%); and fiscal 2021 operation and maintenance (Navy) funds in the amount of $321,867 (5%) will be obligated at time of award on the first delivery order, of which $321,867 will expire at the end of the current fiscal year. This contract was competitively procured using full and open competition via the beta.sam.gov website with one offer received. The Naval Undersea Warfare Center Division, Newport, Newport, Rhode Island, is the contracting activity (N66604-21-D-C100)."/>
    <m/>
    <s v="https://www.defense.gov/News/Contracts/Contract/Article/2576245/"/>
  </r>
  <r>
    <x v="0"/>
    <x v="0"/>
    <s v="Defense Wide"/>
    <x v="0"/>
    <x v="0"/>
    <s v="Indigenous"/>
    <x v="5"/>
    <x v="7"/>
    <s v="Integrated C4ISR System"/>
    <s v="laboratory operations and support"/>
    <s v="Laboratory operations and support"/>
    <s v="Optional"/>
    <x v="33"/>
    <x v="0"/>
    <n v="119"/>
    <s v="Not applicable"/>
    <s v="Confirmed"/>
    <n v="200"/>
    <s v="USD$"/>
    <n v="200"/>
    <s v="B2G"/>
    <s v="April"/>
    <n v="2021"/>
    <s v="Science Applications International Corp., Reston, Virginia, was awarded a $199,991,819, ceiling indefinite-delivery/indefinite-quantity contract (HHM402-21-D-0149) to provide laboratory operations and support to the Defense Intelligence Agency. Work will be performed in Huntsville, Alabama, with an expected completion date of March 29, 2031. No funds will be obligated at time of award. The Virginia Contracting Activity, Huntsville, Alabama, is the contracting activity. "/>
    <m/>
    <s v="https://www.defense.gov/News/Contracts/Contract/Article/2577890/"/>
  </r>
  <r>
    <x v="0"/>
    <x v="0"/>
    <s v="Air Force"/>
    <x v="0"/>
    <x v="0"/>
    <s v="Indigenous"/>
    <x v="4"/>
    <x v="28"/>
    <s v="Ballistic Missile"/>
    <s v="ICBM propulsion subsystem"/>
    <s v="ICBM propulsion subsystem"/>
    <s v="Uncrewed"/>
    <x v="4"/>
    <x v="0"/>
    <n v="234"/>
    <s v="Unknown"/>
    <s v="Confirmed"/>
    <n v="2312"/>
    <s v="USD$"/>
    <n v="2312"/>
    <s v="B2G"/>
    <s v="April"/>
    <n v="2021"/>
    <s v="Northrop Grumman Systems Corp., Corrine, Utah, has been awarded a ceiling $2,311,900,000 cost-plus-award-fee contract with an ordering period of 18.5 years for sustaining engineering support and program management support services for the Intercontinental Ballistic Missile (ICBM) propulsion subsystem. This contract provides for assistance to the government in maintaining the Minuteman III weapon system. Work shall be in areas including, but not limited to; sustaining engineering, maintenance engineering, modification of systems and equipment, hardware and software maintenance, developmental and production engineering, procurement, replenishment, repair and refurbishment. The contractor shall be required to conduct materials and subcomponent analysis and test, including aging surveillance test and evaluation. The primary focus shall be to identify aging mechanism, anomalous behavior, and ensure any modifications or changes to the system which shall maintain and/or improve system-level performance. The location of performance is primarily Corrine and Magna, Utah, with various other locations. Work is expected to be completed Nov. 5, 2040. This award is the result of a sole-source acquisition. Fiscal 2021 operation and maintenance funds in the amount of $10,679,461 are being obligated at the time of award. Air Force Nuclear Weapons Center, Hill Air Force Base, Utah, is the contracting activity (FA8214-21-D-0001.) "/>
    <m/>
    <s v="https://www.defense.gov/News/Contracts/Contract/Article/2579547/"/>
  </r>
  <r>
    <x v="0"/>
    <x v="0"/>
    <s v="Army"/>
    <x v="0"/>
    <x v="0"/>
    <s v="Indigenous"/>
    <x v="1"/>
    <x v="17"/>
    <s v="Rotary Wing Attack"/>
    <s v="Apache AH-64"/>
    <s v="Apache AH-64E"/>
    <s v="Crewed"/>
    <x v="34"/>
    <x v="1"/>
    <n v="81"/>
    <s v="Unknown"/>
    <s v="Confirmed"/>
    <n v="436.7"/>
    <s v="USD$"/>
    <n v="436.7"/>
    <s v="B2G"/>
    <s v="April"/>
    <n v="2021"/>
    <s v="The Boeing Co., Mesa, Arizona, was awarded a $436,691,186 modification (P00077) to contract W58RGZ-16-C-0023 for full rate production of Apache AH-64E aircraft. Work will be performed in Mesa, Arizona, with an estimated completion date of Feb. 28, 2025. Fiscal 2021 aircraft procurement, Army funds in the amount of $436,691,186 were obligated at the time of the award. U.S. Army Contracting Command, Redstone Arsenal, Alabama, is the contracting activity."/>
    <m/>
    <s v="https://www.defense.gov/News/Contracts/Contract/Article/2579547/"/>
  </r>
  <r>
    <x v="0"/>
    <x v="0"/>
    <s v="Navy"/>
    <x v="0"/>
    <x v="0"/>
    <s v="Indigenous"/>
    <x v="5"/>
    <x v="7"/>
    <s v="Integrated C4ISR System"/>
    <s v="technical and product support services"/>
    <s v="Technical and product support services"/>
    <s v="Crewed"/>
    <x v="8"/>
    <x v="0"/>
    <n v="63"/>
    <s v="Not applicable"/>
    <s v="Confirmed"/>
    <n v="68.53"/>
    <s v="USD$"/>
    <n v="68.53"/>
    <s v="B2G"/>
    <s v="April"/>
    <n v="2021"/>
    <s v="BAE Systems Technology Solutions &amp; Services Inc., Rockville, Maryland, is awarded a $68,529,564 cost-reimbursable, cost-plus-fixed-fee, indefinite-delivery/indefinite-quantity contract. This contract provides technical and product support services to include production, fleet, supply, and technical support; pre-positioned technical support; systems improvement, development, test and evaluation; software development, test, and maintenance; field change program support; special purpose test fixture development; test bed support, overhaul and restoration program support in support of the Naval Air Warfare Center Aircraft Division, Webster Outlying Field, Air Traffic Control and Landing Systems Division. Work will be performed in Patuxent River, Maryland (60%); St. Inigoes, Maryland (30%); and various locations within the continental U.S. (10%), and is expected to be completed in August 2026. No funds will be obligated at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1D0017)."/>
    <m/>
    <s v="https://www.defense.gov/News/Contracts/Contract/Article/2579547/"/>
  </r>
  <r>
    <x v="0"/>
    <x v="0"/>
    <s v="Navy"/>
    <x v="0"/>
    <x v="0"/>
    <s v="Indigenous"/>
    <x v="0"/>
    <x v="22"/>
    <s v="Other"/>
    <s v="P-8"/>
    <s v="P-8A"/>
    <s v="Crewed"/>
    <x v="34"/>
    <x v="2"/>
    <n v="41"/>
    <s v="Not applicable"/>
    <s v="Confirmed"/>
    <n v="73.95"/>
    <s v="USD$"/>
    <n v="73.95"/>
    <s v="B2G"/>
    <s v="April"/>
    <n v="2021"/>
    <s v="The Boeing Co., Seattle, Washington, is awarded a $73,951,846 cost-plus-fixed-fee order (N0001921F0876) against a previously issued basic ordering agreement (N0001921G0006). This order provides for the design, development, and test of software and ancillary hardware necessary for the integration of the Long Range Anti-Ship Missile onto the P-8A aircraft for the Navy. Work will be performed in Seattle, Washington (72%); Patuxent River, Maryland (21%); Grand Rapids, Michigan (5%); and St. Louis, Missouri (2%), and is expected to be completed in October 2024. Fiscal 2021 research, development, test and evaluation (Navy) funds in the amount of $5,320,587 will be obligated at time of award, none of which will expire at the end of the fiscal year. The Naval Air Systems Command, Patuxent River, Maryland, is the contracting activity."/>
    <m/>
    <s v="https://www.defense.gov/News/Contracts/Contract/Article/2580950/"/>
  </r>
  <r>
    <x v="0"/>
    <x v="0"/>
    <s v="Navy"/>
    <x v="0"/>
    <x v="0"/>
    <s v="Indigenous"/>
    <x v="1"/>
    <x v="1"/>
    <s v="Maritime Aircraft"/>
    <s v="P-8"/>
    <s v="P-8A"/>
    <s v="Crewed"/>
    <x v="34"/>
    <x v="0"/>
    <n v="43"/>
    <s v="Unknown"/>
    <s v="Confirmed"/>
    <n v="89.59"/>
    <s v="USD$"/>
    <n v="89.59"/>
    <s v="B2G"/>
    <s v="April"/>
    <n v="2021"/>
    <s v="The Boeing Co., Seattle, Washington, is awarded an $89,589,220 cost-plus-fixed-fee indefinite-delivery/indefinite-quantity contract. This contract provides systems and software engineering and sustainment support services, to include analysis, design, implementation, integration, testing, prototyping, prototype installation, and maintenance for development and test laboratory capabilities in support of modernizations and improvements to software and associated hardware capabilities for the P-8A aircraft.  Work will be performed in Seattle, Washington (78%); St. Louis, Missouri (12%); and Huntington Beach, California (10%), and is expected to be completed in December 2024. No funds will be obligated at the time of award; funds will be obligated on individual orders as they are issued. This contract was not competitively procured pursuant to Federal Acquisition Regulation 6.302-1. The Naval Air Systems Command, Patuxent River, Maryland, is the contracting activity (N0001921D0010)."/>
    <m/>
    <s v="https://www.defense.gov/News/Contracts/Contract/Article/2582656/"/>
  </r>
  <r>
    <x v="0"/>
    <x v="0"/>
    <s v="Air Force"/>
    <x v="0"/>
    <x v="0"/>
    <s v="Indigenous"/>
    <x v="4"/>
    <x v="28"/>
    <s v="Air-to-Surface"/>
    <s v="JASSM"/>
    <s v="JASSM"/>
    <s v="Uncrewed"/>
    <x v="13"/>
    <x v="2"/>
    <n v="10"/>
    <s v="Unknown"/>
    <s v="Confirmed"/>
    <n v="59.29"/>
    <s v="USD$"/>
    <n v="59.29"/>
    <s v="B2G"/>
    <s v="April"/>
    <n v="2021"/>
    <s v="Lockheed Martin Corp. Rotary and Mission Systems, King of Prussia, Pennsylvania, has been awarded a $59,288,190 cost-plus-fixed-fee contract for Joint Air-to-Surface Standoff Missile (JASSM) enterprise software. This contract shall sustain, modernize, and advance JASSM enterprise management software, operational real-time combat analysis systems, synchronize software, provide mission optimization analysis/reporting capabilities, terminal area model automation systems engineering, integration and test, and enhance JASSM advanced training. Work will be performed in King of Prussia, Pennsylvania, and is expected to be completed March 21, 2022 for the base year. This award is the result of a sole-source acquisition. Fiscal 2021 and operation and maintenance funds in the amount of $15,668,432 are being obligated at the time of award for the base year. Air Force Life Cycle Management Center, Eglin Air Force Base, Florida, is the contracting activity (FA8682-21-C-0003)."/>
    <m/>
    <s v="https://www.defense.gov/News/Contracts/Contract/Article/2582656/"/>
  </r>
  <r>
    <x v="3"/>
    <x v="4"/>
    <s v="Air Force"/>
    <x v="0"/>
    <x v="0"/>
    <s v="Imported"/>
    <x v="1"/>
    <x v="1"/>
    <s v="Fighter"/>
    <s v="Peace Phoenix Rising 2 (PPR2) program, AGM-88 High Speed Anti-radiation Missile, "/>
    <s v="Peace Phoenix Rising 2 (PPR2) program, AGM-88 High Speed Anti-radiation Missile, "/>
    <s v="Crewed"/>
    <x v="13"/>
    <x v="3"/>
    <n v="17"/>
    <s v="Unknown"/>
    <s v="Confirmed"/>
    <n v="138"/>
    <s v="USD$"/>
    <n v="138"/>
    <s v="G2G"/>
    <s v="April"/>
    <n v="2021"/>
    <s v="Lockheed Martin Aeronautics Corp., Fort Worth, Texas, has been awarded a not-to-exceed $138,000,000 modification (P00079) to contract FA8615‐12‐C‐6016 for the Peace Phoenix Rising 2 (PPR2) program. The contract modification is for the development and fielding of capabilities for the Automatic Ground Collision Avoidance System and AGM-88 High Speed Anti-radiation Missile; improvements in radar software maturity; an update to the Data Acquisition System; and Advanced Identification Friend or Foe for the Taiwan Retrofit Program F-16 Block 20 fleet. Work will be performed in Fort Worth, Texas; and Taiwan, and is expected to be completed Sept. 30, 2022. This modification involves 100% Foreign Military Sales (FMS) and is the result of a sole-source acquisition. FMS funds in the amount of $67,620,000 are being obligated at the time of award. Air Force Life Cycle Management Center, Wright‐Patterson Air Force Base, Ohio, is the contracting activity."/>
    <m/>
    <s v="https://www.defense.gov/News/Contracts/Contract/Article/2585684/"/>
  </r>
  <r>
    <x v="0"/>
    <x v="0"/>
    <s v="Air Force"/>
    <x v="0"/>
    <x v="0"/>
    <s v="Indigenous"/>
    <x v="1"/>
    <x v="1"/>
    <s v="Fixed Wing Other"/>
    <s v="Procurement for aerospace systems"/>
    <s v="Procurement for aerospace systems"/>
    <s v="Crewed"/>
    <x v="35"/>
    <x v="2"/>
    <n v="96"/>
    <s v="Not applicable"/>
    <s v="Confirmed"/>
    <n v="96"/>
    <s v="USD$"/>
    <n v="96"/>
    <s v="B2G"/>
    <s v="April"/>
    <n v="2021"/>
    <s v="University of Dayton Research Institute, Dayton, Ohio, and Wright-Patterson Air Force Base, Ohio, has been awarded a not-to-exceed $96,000,000 indefinite-delivery/indefinite-quantity contract for research enabling procurement for aerospace systems. This contract provides for the advancement of the state-of-the-art of propulsion, power, and thermal management technologies for transition to the warfighter. Work will be performed in Dayton, Ohio, and is expected to be completed April 25, 2029. This award is the result of a competitive acquisition and 10 offers were received. No specific funds are obligated on the basic contract; however, the first task order will be incrementally funded with fiscal 2021 research, development, test and evaluation funds, with $420,000 being obligated at time of award. Air Force Research Laboratory, Wright-Patterson AFB, Ohio, is the contracting activity (Contract number: FA8650-21-D-2020; task order number: FA8650-21-F-2021)."/>
    <m/>
    <s v="https://www.defense.gov/News/Contracts/Contract/Article/2585684/"/>
  </r>
  <r>
    <x v="0"/>
    <x v="0"/>
    <s v="Army"/>
    <x v="0"/>
    <x v="0"/>
    <s v="Indigenous"/>
    <x v="4"/>
    <x v="28"/>
    <s v="Surface-to-Surface"/>
    <s v=" M270A2"/>
    <s v=" M270A2"/>
    <s v="Crewed"/>
    <x v="13"/>
    <x v="1"/>
    <n v="41"/>
    <s v="Not applicable"/>
    <s v="Confirmed"/>
    <n v="214.7"/>
    <s v="USD$"/>
    <n v="214.7"/>
    <s v="B2G"/>
    <s v="April"/>
    <n v="2021"/>
    <s v="Lockheed Martin Missiles and Fire Control, Grand Prairie, Texas, was awarded a $214,708,838 modification (P00016) to contract W31P4Q-19-C-0077 for the M270A2 Multiple Launch Rocket System. Work will be performed in Grand Prairie, Texas; Camden, Texas; and New Boston, Texas, with an estimated completion date of Sept. 30, 2024. Fiscal 2021 missile procurement, Army funds in the amount of $214,708,838 were obligated at the time of the award. U.S. Army Contracting Command, Redstone Arsenal, Alabama, is the contracting activity."/>
    <m/>
    <s v="https://www.defense.gov/News/Contracts/Contract/Article/2587188/"/>
  </r>
  <r>
    <x v="0"/>
    <x v="0"/>
    <s v="Air Force"/>
    <x v="0"/>
    <x v="0"/>
    <s v="Indigenous"/>
    <x v="5"/>
    <x v="7"/>
    <s v="Integrated C4ISR System"/>
    <s v="FT3 RFI)"/>
    <s v="FT3 RFI)"/>
    <s v="Crewed"/>
    <x v="34"/>
    <x v="2"/>
    <n v="38"/>
    <s v="Unknown"/>
    <s v="Confirmed"/>
    <n v="106.82"/>
    <s v="USD$"/>
    <n v="106.82"/>
    <s v="B2G"/>
    <s v="April"/>
    <n v="2021"/>
    <s v="The Boeing Co., Layton, Utah, has been awarded a $106,821,546 change-order-definitization, cost-plus-incentive-fee modification (P00176) to contract FA8214-15-C-0001 for the Flight Test Telemetry Termination Rapid Fielding Initiative (FT3 RFI). This contract allows the implementation of initiatives to meet the FT3 flight schedule. Work will be performed in Layton, Utah, and is expected to be completed June 28, 2024. No funds are being obligated at the time of award. Air Force Nuclear Weapons Center, Hill Air Force Base, Utah, is the contracting activity."/>
    <m/>
    <s v="https://www.defense.gov/News/Contracts/Contract/Article/2587188/"/>
  </r>
  <r>
    <x v="0"/>
    <x v="0"/>
    <s v="Air Force"/>
    <x v="0"/>
    <x v="0"/>
    <s v="Indigenous"/>
    <x v="7"/>
    <x v="29"/>
    <s v="Not Applicable"/>
    <s v="A\ircrew training and courseware development"/>
    <s v="Aircrew training and courseware development"/>
    <s v="Crewed"/>
    <x v="36"/>
    <x v="4"/>
    <n v="60"/>
    <s v="Not applicable"/>
    <s v="Confirmed"/>
    <n v="67.34"/>
    <s v="USD$"/>
    <n v="67.34"/>
    <s v="B2G"/>
    <s v="April"/>
    <n v="2021"/>
    <s v="Saguaro Business Solutions LLC, Goodyear, Arizona, has been awarded a $67,343,855 firm-fixed-price contract for aircrew training and courseware development. This contract provides all personnel, equipment, tools, materials, supervision, and all other items and services that are required to perform 552 Air Control Wing E-3 Aircrew Training and 752nd Operations Support Squadron and Reporting Center support at Tinker Air Force Base, Oklahoma. Work is expected to be completed April 30, 2026. Fiscal 2021 operation and maintenance funds in the amount of $10,871,519 are being obligated at the time of award. The Acquisition Management and Integration Center, Joint Base Langley-Eustis, Virginia, is the contracting activity (FA4890-21-C-0007)."/>
    <m/>
    <s v="https://www.defense.gov/News/Contracts/Contract/Article/2588801/"/>
  </r>
  <r>
    <x v="4"/>
    <x v="5"/>
    <s v="Air Force"/>
    <x v="0"/>
    <x v="0"/>
    <s v="Imported"/>
    <x v="2"/>
    <x v="30"/>
    <s v="Not Applicable"/>
    <s v="F-16"/>
    <s v="F-16"/>
    <s v="Crewed"/>
    <x v="37"/>
    <x v="0"/>
    <n v="9"/>
    <s v="Not applicable"/>
    <s v="Confirmed"/>
    <n v="240"/>
    <s v="USD$"/>
    <n v="240"/>
    <s v="B2G"/>
    <s v="April"/>
    <n v="2021"/>
    <s v="Sallyport Global Holdings, Reston, Virginia, has been awarded a not-to-exceed $240,000,000 cost-plus-fixed-fee, undefinitized contract action to provide base operations support, base life support, and security services in the support of the Iraq F-16 program. Work will be performed at Balad Air Base, Iraq, and is expected to be completed Jan. 30, 2022. This contract is the result of a sole-source acquisition and involves Foreign Military Sales to Iraq. Foreign Military Sales funds and foreign military funds in the amount of $117,600,000 are being obligated at the time of the award. Air Force Life Cycle Management Center, Wright-Patterson Air Force Base, Ohio, is the contracting activity (FA8630-21-C-6005)."/>
    <m/>
    <s v="https://www.defense.gov/News/Contracts/Contract/Article/2590381/"/>
  </r>
  <r>
    <x v="3"/>
    <x v="6"/>
    <s v="Air Force"/>
    <x v="0"/>
    <x v="0"/>
    <s v="Imported"/>
    <x v="5"/>
    <x v="7"/>
    <s v="Integrated C4ISR System"/>
    <s v="Global Hawk program"/>
    <s v="Global Hawk program"/>
    <s v="Uncrewed"/>
    <x v="4"/>
    <x v="0"/>
    <n v="17"/>
    <s v="Not applicable"/>
    <s v="Confirmed"/>
    <n v="58.55"/>
    <s v="USD$"/>
    <n v="58.55"/>
    <s v="G2G"/>
    <s v="April"/>
    <n v="2021"/>
    <s v="Northrop Grumman Defense Services, Sierra Vista, Arizona, has been awarded a $58,546,016 cost-plus-fixed-fee, firm-fixed-price contract for the Japan Global Hawk program. This contract provides for contractor logistics support services to include, but not limited to, in-country personnel, mission planning, contractor field teams, contractor inventory control, reach back support and software maintenance. Work will be performed in Misawa Air Base, Japan, and is expected to be completed Sept. 30, 2022. This contract involves Foreign Military Sales (FMS) to Japan and is the result of a sole-source acquisition. FMS funds in the full amount are being obligated at the time of award. Air Force Life Cycle Management Center, Wright-Patterson Air Force Base, Ohio, is the contracting activity (FA8690-21-C-1000)."/>
    <m/>
    <s v="https://www.defense.gov/News/Contracts/Contract/Article/2590381/"/>
  </r>
  <r>
    <x v="0"/>
    <x v="0"/>
    <s v="Army"/>
    <x v="0"/>
    <x v="0"/>
    <s v="Indigenous"/>
    <x v="6"/>
    <x v="8"/>
    <m/>
    <s v="M983A4"/>
    <s v="M983A4"/>
    <s v="Crewed"/>
    <x v="7"/>
    <x v="1"/>
    <n v="20"/>
    <s v="Unknown"/>
    <s v="Confirmed"/>
    <n v="96.74"/>
    <s v="USD$"/>
    <n v="96.74"/>
    <s v="B2G"/>
    <s v="April"/>
    <n v="2021"/>
    <s v="Oshkosh Defense LLC, Oshkosh, Wisconsin, was awarded a $96,744,706 firm-fixed-price contract for the M983A4 Heavy Expanded Mobility Tactical Truck Family of Heavy Tactical Vehicles. Bids were solicited via the internet with one received. Work will be performed in Oshkosh, Wisconsin, with an estimated completion date of Dec. 29, 2022. Fiscal 2021 other procurement, Army funds in the amount of $96,744,706 were obligated at the time of the award. U.S. Army Contracting Command, Detroit Arsenal, Michigan, is the contracting activity (56HZV-21-F-0192)."/>
    <m/>
    <s v="https://www.defense.gov/News/Contracts/Contract/Article/2590381/"/>
  </r>
  <r>
    <x v="0"/>
    <x v="0"/>
    <s v="Air Force"/>
    <x v="0"/>
    <x v="0"/>
    <s v="Indigenous"/>
    <x v="3"/>
    <x v="3"/>
    <s v="Satellite"/>
    <s v="GPS IIIF) satellite"/>
    <s v="GPS IIIF) satellite"/>
    <s v="Uncrewed"/>
    <x v="0"/>
    <x v="2"/>
    <n v="52"/>
    <s v="Unknown"/>
    <s v="Confirmed"/>
    <n v="234"/>
    <s v="USD$"/>
    <n v="234"/>
    <s v="B2G"/>
    <s v="April"/>
    <n v="2021"/>
    <s v="Raytheon Intelligence and Space, Aurora, Colorado, has been awarded a $234,012,036 cost-plus-incentive-fee/award-fee contract for Next Generation Operational Control System Block III follow-on. This contract will provide updates to the Next Generation Operational Control System (OCX) Block 1 and 2 ground system to incorporate Global Positioning System Block III Follow-on (GPS IIIF) satellite capabilities. Work will be performed in Aurora, Colorado, and is expected to be completed by Aug. 30, 2025. Fiscal 2021 research, development, test and evaluation funds in the amount of $20,000,000 are being obligated at the time of award. Space and Missile Systems Center, Los Angeles Air Force Base, California, is the contracting activity (FA8807-21-C-0002)."/>
    <m/>
    <s v="https://www.defense.gov/News/Contracts/Contract/Article/2591938/"/>
  </r>
  <r>
    <x v="0"/>
    <x v="0"/>
    <s v="Air Force"/>
    <x v="0"/>
    <x v="0"/>
    <s v="Indigenous"/>
    <x v="4"/>
    <x v="25"/>
    <s v="Guided Bomb"/>
    <s v="StormBreaker"/>
    <s v="SDBII, GBU-53/B"/>
    <s v="Uncrewed"/>
    <x v="0"/>
    <x v="1"/>
    <n v="45"/>
    <s v="Unknown"/>
    <s v="Confirmed"/>
    <n v="212.7"/>
    <s v="USD$"/>
    <n v="212.7"/>
    <s v="B2G"/>
    <s v="April"/>
    <n v="2021"/>
    <s v="Raytheon Missiles and Defense, Tucson, Arizona, has been awarded a $212,701,232 fixed-price-incentive-firm contract for StormBreaker® (SDBII, GBU-53/B) production Lot 7. This contract provides for all up rounds and containers. Work will be performed in Tucson, Arizona, and is expected to be completed Feb. 28, 2025. This contract involves classified Foreign Military Sales (FMS) and is the result of a sole-source acquisition. Fiscal 2021 Air Force missile procurement funds in the amount of $129,698,826; fiscal 2021 Navy weapons procurement funds in the amount of $43,508,956; and FMS funding in the amount of $39,493,450 are being obligated at the time of award. Air Force Life Cycle Management Center, Eglin Air Force Base, Florida, is the contracting activity (FA8672-21-C-0005)"/>
    <m/>
    <s v="https://www.defense.gov/News/Contracts/Contract/Article/2591938/"/>
  </r>
  <r>
    <x v="0"/>
    <x v="0"/>
    <s v="Army"/>
    <x v="0"/>
    <x v="0"/>
    <s v="Indigenous"/>
    <x v="5"/>
    <x v="31"/>
    <s v="Defensive Aid Suite"/>
    <s v="Common infrared countermeasures"/>
    <s v="Common infrared countermeasures"/>
    <s v="Crewed"/>
    <x v="4"/>
    <x v="1"/>
    <n v="59"/>
    <s v="Not applicable"/>
    <s v="Confirmed"/>
    <n v="959.1"/>
    <s v="USD$"/>
    <n v="959.1"/>
    <s v="B2G"/>
    <s v="April"/>
    <n v="2021"/>
    <s v="Northrop Grumman Systems Corp., Rolling Meadows, Illinois, was awarded a $959,104,178 firm-fixed-price contract for production of common infrared countermeasures. Bids were solicited via the internet with one received. Work locations and funding will be determined with each order, with an estimated completion date of April 29, 2026. U.S. Army Contracting Command, Redstone Arsenal, Alabama, is the contracting activity (W58RGZ-21-D-0028)."/>
    <m/>
    <s v="https://www.defense.gov/News/Contracts/Contract/Article/2591938/"/>
  </r>
  <r>
    <x v="0"/>
    <x v="0"/>
    <s v="Army"/>
    <x v="0"/>
    <x v="0"/>
    <s v="Indigenous"/>
    <x v="4"/>
    <x v="28"/>
    <s v="Air-to-Surface"/>
    <s v="Hellfire II"/>
    <s v="Hellfire II"/>
    <s v="Optional"/>
    <x v="13"/>
    <x v="1"/>
    <n v="41"/>
    <s v="Unknown"/>
    <s v="Confirmed"/>
    <n v="663.7"/>
    <s v="USD$"/>
    <n v="663.7"/>
    <s v="B2G"/>
    <s v="April"/>
    <n v="2021"/>
    <s v="Lockheed Martin Missiles and Fire Control, Orlando, Florida, was awarded a $663,728,183 modification (P00062) to contract W31P4Q-18-C-0130 for Hellfire II missile production. Work will be performed in Orlando, Florida, with an estimated completion date of Sept. 30, 2024. Fiscal 2020 missile procurement, Army funds; and fiscal 2019, 2020 and 2021 other procurement, Army funds in the amount of $663,728,183 were obligated at the time of the award. U.S. Army Contracting Command, Redstone Arsenal, Alabama, is the contracting activity."/>
    <m/>
    <s v="https://www.defense.gov/News/Contracts/Contract/Article/2591938/"/>
  </r>
  <r>
    <x v="3"/>
    <x v="6"/>
    <s v="Air Force"/>
    <x v="0"/>
    <x v="0"/>
    <s v="Imported"/>
    <x v="1"/>
    <x v="1"/>
    <s v="Tanker"/>
    <s v="KC-46"/>
    <s v="KC-46A"/>
    <s v="Crewed"/>
    <x v="34"/>
    <x v="1"/>
    <n v="38"/>
    <s v="Unknown"/>
    <s v="Confirmed"/>
    <n v="79.459999999999994"/>
    <s v="USD$"/>
    <n v="79.459999999999994"/>
    <s v="G2G"/>
    <s v="April"/>
    <n v="2021"/>
    <s v="The Boeing Co., Seattle, Washington, has been awarded a $79,463,717 modification (P00011) to previously awarded contract FA8609-18-F-0006 for KC-46A long lead spares, initial spares and support equipment. This modification provides mission essential long lead spares, initial spares, and support equipment for use on the Japan KC-46 aircraft being produced under the basic contract. The location of performance is Everett, Washington. This modification involves Foreign Military Sales to Japan. The work is expected to be completed by June 30, 2024. Foreign Military Sales funds are being obligated at the time of award. Total cumulative face value of the contract is $880,436,128. Air Force Life Cycle Management Center, Wright-Patterson Air Force Base, Ohio, is the contracting activity."/>
    <m/>
    <s v="https://www.defense.gov/News/Contracts/Contract/Article/2577890/"/>
  </r>
  <r>
    <x v="0"/>
    <x v="0"/>
    <s v="Navy"/>
    <x v="0"/>
    <x v="0"/>
    <s v="Indigenous"/>
    <x v="0"/>
    <x v="9"/>
    <s v="Amphibious Assault Ship"/>
    <s v="Flight 1 Ship "/>
    <s v="LHA 9"/>
    <s v="Crewed"/>
    <x v="10"/>
    <x v="1"/>
    <n v="36"/>
    <n v="1"/>
    <s v="Estimated"/>
    <n v="107.2"/>
    <s v="USD$"/>
    <n v="107.2"/>
    <s v="B2G"/>
    <s v="April"/>
    <n v="2021"/>
    <s v="Huntington Ingalls Industries, Pascagoula, Mississippi, is awarded a $107,194,022 not-to-exceed, undefinitized contract action for long lead-time material (LLTM) in support of one Amphibious Assault Ship Replacement (LHA(R)) Flight 1 Ship (LHA 9). This action will be the fifth increment of LLTM awarded to Huntington Ingalls Industries under contract N00024-20-C-2437. Work will be performed in Pascagoula, Mississippi (50%); Kingsford, Michigan (15%); Saratoga Springs, New York (12%); Brunswick, Georgia (9%); Knoxville, Tennessee (5%); Chesapeake, Virginia (4%); Wellsville, New York (3%); and North Tonawanda, New York (2%). Work is expected to be completed by April 2024. Fiscal 2021 shipbuilding and conversion (Navy) funding in the amount of $80,395,516 will be obligated at award and will not expire at the end of the current fiscal year. The obligation amount represents 75% of the not-to-exceed price, in accordance with Defense Federal Acquisition Regulation 217.7404-4 limitations on obligations. In accordance with 10 U.S. Code 2304(c)(1), this contract was not competitively procured — only one responsible source and no other supplies or services will satisfy agency requirements. The Naval Sea Systems Command, Washington, D.C., is the contracting activity (N00024-20-C-2437)."/>
    <m/>
    <s v="https://www.defense.gov/News/Contracts/Contract/Article/2577890/"/>
  </r>
  <r>
    <x v="1"/>
    <x v="3"/>
    <s v="Air Force"/>
    <x v="0"/>
    <x v="0"/>
    <s v="Indigenous"/>
    <x v="1"/>
    <x v="1"/>
    <s v="Transport Aircraft"/>
    <s v="C-130 "/>
    <s v="C-130 "/>
    <s v="Crewed"/>
    <x v="13"/>
    <x v="0"/>
    <n v="19"/>
    <s v="Not applicable"/>
    <s v="Confirmed"/>
    <n v="51"/>
    <s v="USD$"/>
    <n v="51"/>
    <s v="G2G"/>
    <s v="May"/>
    <n v="2021"/>
    <s v="Lockheed Martin Aeronautics Co., Marietta, Georgia, has been awarded a $51,000,000 firm-fixed-price, cost-plus-fixed-fee contract in support of the French Air Force for long-term sustainment of C-130 aircraft. This contract provides for the program management, field service representatives, travel and per diem, data, replenishment of spares and other sustainment tasks. Work will be performed in Bae Aerienne, France; and Marietta, Georgia, and is expected to be completed Jan. 1, 2023. This contract involves unclassified Foreign Military Sales for the French Air Force. This award is the result of a source directed acquisition. Foreign Military Sales funding will be used on this contract. Air Force Life Cycle Management Center, Robins Air Force Base, Georgia, is the contracting activity (FA8553-20-C-0001). (Awarded April 30, 2021)"/>
    <m/>
    <s v="https://www.defense.gov/News/Contracts/Contract/Article/2597249/"/>
  </r>
  <r>
    <x v="0"/>
    <x v="0"/>
    <s v="Navy"/>
    <x v="0"/>
    <x v="0"/>
    <s v="Indigenous"/>
    <x v="4"/>
    <x v="4"/>
    <s v="Electronic Attack"/>
    <s v="Surface Electronic Warfare Improvement Program "/>
    <s v="Surface Electronic Warfare Improvement Program Block 3 Hemisphere systems"/>
    <s v="Not Applicable"/>
    <x v="4"/>
    <x v="1"/>
    <s v="Not Applicable"/>
    <s v="Unknown"/>
    <s v="Confirmed"/>
    <n v="74.83"/>
    <s v="USD$"/>
    <n v="74.83"/>
    <s v="B2G"/>
    <s v="May"/>
    <n v="2021"/>
    <s v="Northrop Grumman Systems Corp., Mission Systems Sector, Linthicum Heights, Maryland, is awarded a $74,829,628 firm-fixed-price modification to previously awarded contract N00024-20-C-5519 to exercise an option for production of Surface Electronic Warfare Improvement Program Block 3 Hemisphere systems. Work will be performed in Baltimore, Maryland (55%); Tampa, Florida (6%); Andover, Massachusetts (5%);  Chelmsford, Massachusetts (4%); Rochester, New York (3%); San Diego, California (3%); Los Angeles, California (2%); Winona, Minnesota (2%); Stafford Springs, Connecticut (2%); Glendale, Arizona (1%); Nashua, New Hampshire (1%); Elk Grove Village, Illinois (1%); White Marsh, Maryland (1%); Tucson, Arizona (1%); Chandler, Arizona (1%); Washington, North Carolina (1%); Woodridge, Illinois (1%); Richardson, Texas (1%); Minneapolis, Minnesota (1%); El Cajon, California (1%); Hiawatha, Iowa (1%); Littleton, Colorado (1%); Glendale, California (1%); and miscellaneous locations each less than 1% (4%), and is expected to be completed by October 2023.  Fiscal 2021 other procurement (Navy) funds in the amount of $74,829,628 will be obligated at time of award and will not expire at the end of the current fiscal year. The Naval Sea Systems Command, Washington, D.C., is the contracting activity."/>
    <m/>
    <s v="https://www.defense.gov/News/Contracts/Contract/Article/2598794/"/>
  </r>
  <r>
    <x v="0"/>
    <x v="0"/>
    <s v="Navy"/>
    <x v="0"/>
    <x v="0"/>
    <s v="Indigenous"/>
    <x v="1"/>
    <x v="1"/>
    <s v="Trainers"/>
    <s v="T-45"/>
    <s v="T-45"/>
    <s v="Crewed"/>
    <x v="34"/>
    <x v="3"/>
    <s v="Not Applicable"/>
    <s v="Unknown"/>
    <s v="Confirmed"/>
    <n v="51.98"/>
    <s v="USD$"/>
    <n v="51.98"/>
    <s v="B2G"/>
    <s v="May"/>
    <n v="2021"/>
    <s v="The Boeing Co., St. Louis, Missouri, is awarded a $51,980,284 firm-fixed-price order (N0042121F0394) against a previously issued basic ordering agreement (N0001921G0006). This order procures Lots Three and Four T-45 aircraft inlet modification retrofit kits. Additionally, this order includes associated support equipment, special tooling, logistics support, and original equipment manufacturer engineering for the Navy. Work will be performed in St. Louis, Missouri, and is expected to be completed in January 2025. Fiscal 2021 aircraft procurement (Navy) funds in the amount of $28,339,555; and fiscal 2020 aircraft procurement (Navy) funds in the amount of $23,640,729 will be obligated at time of award, none of which will expire at the end of the fiscal year. The Naval Air Warfare Center Aircraft Division, Patuxent River, Maryland, is the contracting activity. "/>
    <m/>
    <s v="https://www.defense.gov/News/Contracts/Contract/Article/2598794/"/>
  </r>
  <r>
    <x v="0"/>
    <x v="0"/>
    <s v="Army"/>
    <x v="0"/>
    <x v="0"/>
    <s v="Indigenous"/>
    <x v="4"/>
    <x v="26"/>
    <m/>
    <s v="XM813 "/>
    <s v="XM813 "/>
    <s v="Not Applicable"/>
    <x v="24"/>
    <x v="1"/>
    <s v="Not Applicable"/>
    <s v="Unknown"/>
    <s v="Confirmed"/>
    <n v="105.68899999999999"/>
    <s v="USD$"/>
    <n v="105.68899999999999"/>
    <s v="B2G"/>
    <s v="May"/>
    <n v="2021"/>
    <s v="Alliant Techsystems Operations LLC, Plymouth, Minnesota, was awarded a $105,688,911 modification (PZ0005) to contract W56HZV-20-D-0108 to produce, deliver and maintain the new production configuration build of 30x173 mm XM813 cannons. Work locations and funding will be determined with each order, with an estimated completion date of Sept. 24, 2026. U.S. Army Contracting Command, Detroit Arsenal, Michigan, is the contracting activity."/>
    <m/>
    <s v="https://www.defense.gov/News/Contracts/Contract/Article/2600452/"/>
  </r>
  <r>
    <x v="0"/>
    <x v="0"/>
    <s v="Navy"/>
    <x v="0"/>
    <x v="0"/>
    <s v="Indigenous"/>
    <x v="0"/>
    <x v="22"/>
    <s v="Other"/>
    <s v="Surface Mine Countermeasure Unmanned Undersea Vehicle systems "/>
    <s v="Surface Mine Countermeasure Unmanned Undersea Vehicle systems "/>
    <s v="Uncrewed"/>
    <x v="9"/>
    <x v="3"/>
    <s v="Not Applicable"/>
    <n v="5"/>
    <s v="Confirmed"/>
    <n v="72.799000000000007"/>
    <s v="USD$"/>
    <n v="72.799000000000007"/>
    <s v="B2G"/>
    <s v="May"/>
    <n v="2021"/>
    <s v="General Dynamics Mission Systems Inc., Quincy, Massachusetts, is awarded a $72,798,641 cost-plus incentive fee, fixed-price incentive fee, cost-plus fixed fee, cost only, and firm-fixed price contract for the retrofit of five Surface Mine Countermeasure Unmanned Undersea Vehicle systems to the Block I configuration and engineering support services. Work will be performed in Quincy, Massachusetts (60%); Greensboro, North Carolina (26%); and Taunton, Massachusetts (14%), and is expected to be completed by April 2023. Fiscal 2021 other procurement (Navy) funds in the amount of $18,686,851 (45%); fiscal 2021 research, development, test and evaluation (Navy) funds in the amount of $13,846,471 (34%); fiscal 2019 other procurement (Navy) funds in the amount of $7,544,561 (18%); and fiscal 2020 research, development, test and evaluation (Navy) funds in the amount of $1,178,535 (3%) will be obligated at time of award, of which $8,723,096 will expire at the end of the current fiscal year. This contract was not competitively procured via the beta.sam.gov website. The contract was awarded in accordance with 10 U.S. Code 2304(c)(1), as implemented under Federal Acquisition Regulation Part 6.302-1 — only one responsible source and no other supplies or services will satisfy agency requirements. The Naval Sea Systems Command, Washington, D.C., is the contracting activity (N00024-21-C-6308)."/>
    <m/>
    <s v="https://www.defense.gov/News/Contracts/Contract/Article/2600452/"/>
  </r>
  <r>
    <x v="0"/>
    <x v="0"/>
    <s v="Navy"/>
    <x v="0"/>
    <x v="0"/>
    <s v="Indigenous"/>
    <x v="0"/>
    <x v="9"/>
    <s v="Landing Craft"/>
    <s v="LCU 1700-Class"/>
    <s v="LCU-1707, LCU-1708, LCU-1709, LCU-1710, LCU-1711"/>
    <s v="Crewed"/>
    <x v="38"/>
    <x v="1"/>
    <s v="Not Applicable"/>
    <n v="5"/>
    <s v="Confirmed"/>
    <n v="59.283999999999999"/>
    <s v="USD$"/>
    <n v="59.283999999999999"/>
    <s v="B2G"/>
    <s v="May"/>
    <n v="2021"/>
    <s v="Swiftships LLC,* Morgan City, Louisiana, is awarded a $59,283,807 firm-fixed-price modification to previously awarded contract N00024-18-C-2401 to exercise an option for the construction of five Landing Craft, Utility 1700 class (1707-1711). Work will be performed in Morgan City, Louisiana, and is expected to be completed by November 2023. Fiscal 2021 shipbuilding and conversion, (Navy) funding in the amount of $59,283,807 will be obligated at time of award and will not expire at the end of the current fiscal year. Naval Sea Systems Command, Washington Navy Yard, Washington, D.C., is the contracting activity."/>
    <m/>
    <s v="https://www.defense.gov/News/Contracts/Contract/Article/2600452/"/>
  </r>
  <r>
    <x v="0"/>
    <x v="0"/>
    <s v="Army"/>
    <x v="1"/>
    <x v="2"/>
    <s v="Imported"/>
    <x v="4"/>
    <x v="16"/>
    <s v="Remote Weapon System"/>
    <s v="CROWS"/>
    <s v="CROWS"/>
    <s v="Not Applicable"/>
    <x v="39"/>
    <x v="1"/>
    <s v="Not Applicable"/>
    <s v="Unknown"/>
    <s v="Confirmed"/>
    <n v="499.17"/>
    <s v="USD$"/>
    <n v="499.17"/>
    <s v="B2G"/>
    <s v="May"/>
    <n v="2021"/>
    <s v="Kongsberg Defence &amp; Aerospace AS, Kongsberg, Norway, was awarded a $499,170,016 modification (P00032) to contract W15QKN-18-D-0135 for the Common Remotely Operated Weapon Station system. Work locations and funding will be determined with each order, with an estimated completion date of Sept. 14, 2023. U.S. Army Contracting Command, Newark, New Jersey, is the contracting activity."/>
    <m/>
    <s v="https://www.defense.gov/News/Contracts/Contract/Article/2601932/"/>
  </r>
  <r>
    <x v="0"/>
    <x v="0"/>
    <s v="Army"/>
    <x v="0"/>
    <x v="0"/>
    <s v="Indigenous"/>
    <x v="8"/>
    <x v="10"/>
    <m/>
    <m/>
    <m/>
    <s v="Not Applicable"/>
    <x v="40"/>
    <x v="5"/>
    <m/>
    <m/>
    <s v="Confirmed"/>
    <n v="1253.5999999999999"/>
    <s v="USD$"/>
    <n v="1253.5999999999999"/>
    <s v="B2G"/>
    <s v="May"/>
    <n v="2021"/>
    <s v="Bren-Tronics Inc.,* Commack, New York (W91CRB-21-D-0013); Inventus Power LLC, Woodridge, Illinois (W91CRB-21-D-0014); Navitas Advanced Solutions Group LLC, Ann Arbor, Michigan (W91CRB-21-D-0015); and Ultralife Corporation, Newark, New York (W91CRB-21-D-0016), will compete for each order of the $1,253,566,172 firm-fixed-price contract for the Conformal Wearable Battery. Bids were solicited via the internet with four received. Work locations and funding will be determined with each order, with an estimated completion date of May 10, 2030. U.S. Army Contracting Command, Aberdeen Proving Ground, Maryland, is the contracting activity."/>
    <m/>
    <s v="https://www.defense.gov/News/Contracts/Contract/Article/2605292/"/>
  </r>
  <r>
    <x v="0"/>
    <x v="0"/>
    <s v="Navy"/>
    <x v="0"/>
    <x v="0"/>
    <s v="Indigenous"/>
    <x v="0"/>
    <x v="20"/>
    <s v="Aircraft Carrier"/>
    <s v="Gerald R. Ford-Class "/>
    <s v="CVN-79"/>
    <s v="Crewed"/>
    <x v="10"/>
    <x v="0"/>
    <n v="36"/>
    <s v="Not applicable"/>
    <s v="Confirmed"/>
    <n v="115.008"/>
    <s v="USD$"/>
    <n v="115.008"/>
    <s v="B2G"/>
    <s v="May"/>
    <n v="2021"/>
    <s v="Huntington-Ingalls Industries - Newport News Shipbuilding, Newport News, Virginia, is awarded an $115,008,106 cost-plus-fixed fee modification to previously awarded contract N00024-15-C-2114 for engineering and technical support for USS John F. Kennedy (CVN-79). Work will be performed in Newport News, Virginia, and is expected to be completed by June 2024. Fiscal 2018 shipbuilding and conversion (Navy) funds in the amount of $4,700,000 (52%); and fiscal 2021 research, development, and testing (Navy) funds in the amount of $4,398,561 (48%) will be obligated at time of award and will not expire at the end of the current fiscal year. The Naval Sea Systems Command, Washington, D.C., is the contracting activity."/>
    <m/>
    <s v="https://www.defense.gov/News/Contracts/Contract/Article/2605292/"/>
  </r>
  <r>
    <x v="0"/>
    <x v="0"/>
    <s v="Navy"/>
    <x v="0"/>
    <x v="0"/>
    <s v="Indigenous"/>
    <x v="1"/>
    <x v="1"/>
    <s v="Trainers"/>
    <s v="T-45 "/>
    <s v="T-45"/>
    <s v="Crewed"/>
    <x v="41"/>
    <x v="0"/>
    <n v="36"/>
    <s v="Not applicable"/>
    <s v="Confirmed"/>
    <n v="52.088000000000001"/>
    <s v="USD$"/>
    <n v="52.088000000000001"/>
    <s v="B2G"/>
    <s v="May"/>
    <n v="2021"/>
    <s v="Physical Optics Corp., Torrance, California, is awarded a $52,088,365 cost-plus-fixed-fee, indefinite-delivery/indefinite-quantity contract. This contract provides technical support and problem resolution in support of integration and sustainment of the Digital Data Set system into the T-45 aircraft. Work will be performed in Torrance, California, and is expected to be completed in May 2024. No funds will be obligated at time of award; funds will be obligated on individual orders as they are issued. This contract was not competitively procured pursuant to 10 U.S. Code 2304(c)(5). The Naval Air Warfare Center Aircraft Division, Patuxent River, Maryland, is the contracting activity (N0042121D0024)."/>
    <m/>
    <s v="https://www.defense.gov/News/Contracts/Contract/Article/2605292/"/>
  </r>
  <r>
    <x v="0"/>
    <x v="0"/>
    <s v="Navy"/>
    <x v="0"/>
    <x v="0"/>
    <s v="Indigenous"/>
    <x v="2"/>
    <x v="15"/>
    <s v="Not Applicable"/>
    <s v="P211 Maintenance Hanger"/>
    <s v="P211 Maintenance Hanger"/>
    <s v="Not Applicable"/>
    <x v="42"/>
    <x v="1"/>
    <s v="Not Applicable"/>
    <s v="Not applicable"/>
    <s v="Confirmed"/>
    <n v="67.183999999999997"/>
    <s v="USD$"/>
    <n v="67.183999999999997"/>
    <s v="B2G"/>
    <s v="May"/>
    <n v="2021"/>
    <s v="Korte Construction Co., St. Louis, Missouri, is awarded a $67,184,322 firm-fixed-price contract for the P211 aircraft maintenance hangar at Naval Air Station Key West, Florida. This contract also contains two unexercised options which, if exercised, would increase the cumulative contract value to $72,878,634. Work will be performed in Key West, Florida, and is expected to be completed by October 2023. Fiscal 2018 and fiscal 2021 military construction (Navy) funds in the amount of $67,184,322 will be obligated at time of award and will not expire at the end of the current fiscal year. This contract was competitively procured via the beta.sam.gov website, with five proposals received. The Naval Facilities Engineering Systems Command Southeast, Jacksonville, Florida, is the contracting activity (N69450-21-C-0019)."/>
    <m/>
    <s v="https://www.defense.gov/News/Contracts/Contract/Article/2606520/"/>
  </r>
  <r>
    <x v="0"/>
    <x v="0"/>
    <s v="Army"/>
    <x v="0"/>
    <x v="0"/>
    <s v="Indigenous"/>
    <x v="4"/>
    <x v="25"/>
    <s v="Guided Artillery Round"/>
    <s v="M1156-PGK"/>
    <s v="M1156-PGK"/>
    <s v="Not Applicable"/>
    <x v="24"/>
    <x v="1"/>
    <s v="Not Applicable"/>
    <s v="Unknown"/>
    <s v="Confirmed"/>
    <n v="167.75800000000001"/>
    <s v="USD$"/>
    <n v="167.75800000000001"/>
    <s v="B2G"/>
    <s v="May"/>
    <n v="2021"/>
    <s v="Alliant Techsystems Operations LLC, Plymouth, Minnesota, was awarded a $167,758,125 modification (P00077) to contract W15QKN-13-C-0074 for the Precision Guidance Kit. Work will be performed in Plymouth, Minnesota, with an estimated completion date of May 23, 2024. Fiscal 2021 procurement of ammunition, Army funds in the amount of $167,758,125 were obligated at the time of the award. U.S. Army Contracting Command, Newark, New Jersey, is the contracting activity. "/>
    <m/>
    <s v="https://www.defense.gov/News/Contracts/Contract/Article/2629828/"/>
  </r>
  <r>
    <x v="0"/>
    <x v="0"/>
    <s v="Army"/>
    <x v="0"/>
    <x v="0"/>
    <s v="Indigenous"/>
    <x v="1"/>
    <x v="1"/>
    <s v="Transport Aircraft"/>
    <s v="Not Applicable"/>
    <s v="Not Applicable"/>
    <s v="Crewed"/>
    <x v="43"/>
    <x v="0"/>
    <n v="12"/>
    <s v="Not applicable"/>
    <s v="Confirmed"/>
    <n v="171.16"/>
    <s v="USD$"/>
    <n v="171.16"/>
    <s v="B2G"/>
    <s v="May"/>
    <n v="2021"/>
    <s v="Amentum Services Inc., Germantown, Maryland, was awarded a $171,161,084 modification (P00120) to contract W58RGZ-17-C-0011 for logistics support services for fixed-wing fleets performing transport aircraft missions. Work will be performed in Germantown, Maryland, with an estimated completion date of May 31, 2022. Fiscal 2021 operation and maintenance, Army funds in the amount of $58,569,937 were obligated at the time of the award. U.S. Army Contracting Command, Redstone Arsenal, Alabama, is the contracting activity. "/>
    <m/>
    <s v="https://www.defense.gov/News/Contracts/Contract/Article/2632139/"/>
  </r>
  <r>
    <x v="0"/>
    <x v="0"/>
    <s v="Air Force"/>
    <x v="0"/>
    <x v="0"/>
    <s v="Indigenous"/>
    <x v="1"/>
    <x v="1"/>
    <s v="Tanker"/>
    <s v="KC-46"/>
    <s v="KC-46"/>
    <s v="Crewed"/>
    <x v="34"/>
    <x v="0"/>
    <n v="13"/>
    <s v="Unknown"/>
    <s v="Confirmed"/>
    <n v="101.73099999999999"/>
    <s v="USD$"/>
    <n v="101.73099999999999"/>
    <s v="B2G"/>
    <s v="May"/>
    <n v="2021"/>
    <s v="The Boeing Co., Seattle, Washington, has been awarded a $101,730,845 modification (P00247) to contract FA8625-11-C-6600 for KC-46 engineering, manufacturing, and development contract. This modification provides for the exercise of Option Five for interim contractor support and the exercise of the options for logistics service representatives/field service representatives support for Seymour Johnson Air Force Base, North Carolina. Work will be performed in Seattle, Washington; and Seymour Johnson AFB, and is expected to be completed June 27, 2022. Fiscal 2021 aircraft procurement funds in the full amount are being obligated at the time of award. Air Force Life Cycle Management Center, Wright-Patterson AFB, Ohio, is the contracting activity."/>
    <m/>
    <s v="https://www.defense.gov/News/Contracts/Contract/Article/2632139/"/>
  </r>
  <r>
    <x v="0"/>
    <x v="0"/>
    <s v="Navy"/>
    <x v="0"/>
    <x v="0"/>
    <s v="Indigenous"/>
    <x v="0"/>
    <x v="9"/>
    <s v="Not Applicable"/>
    <s v="San Antonio-Class, Wasp-Class, America-Class, Whidbey Island-Class, Harpers Ferry-Class, Blue Ridge-Class"/>
    <s v="San Antonio-Class, Wasp-Class, America-Class, Whidbey Island-Class, Harpers Ferry-Class, Blue Ridge-Class"/>
    <s v="Crewed"/>
    <x v="10"/>
    <x v="0"/>
    <n v="83"/>
    <s v="Not applicable"/>
    <s v="Confirmed"/>
    <n v="302.64299999999997"/>
    <s v="USD$"/>
    <n v="302.64299999999997"/>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Navy"/>
    <x v="0"/>
    <x v="0"/>
    <s v="Indigenous"/>
    <x v="0"/>
    <x v="9"/>
    <s v="Landing Platform Dock"/>
    <s v="LPD 17"/>
    <s v="LPD 17"/>
    <s v="Crewed"/>
    <x v="10"/>
    <x v="0"/>
    <n v="83"/>
    <s v="Unknown"/>
    <s v="Confirmed"/>
    <n v="302.64"/>
    <s v="USD$"/>
    <n v="302.64"/>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Navy"/>
    <x v="0"/>
    <x v="0"/>
    <s v="Indigenous"/>
    <x v="0"/>
    <x v="9"/>
    <s v="Amphibious Assault Ship"/>
    <s v="LHD 1/LHA 6 "/>
    <s v="LHD 1/LHA 6 "/>
    <s v="Crewed"/>
    <x v="10"/>
    <x v="0"/>
    <n v="83"/>
    <s v="Unknown"/>
    <s v="Confirmed"/>
    <n v="302.64"/>
    <s v="USD$"/>
    <n v="302.64"/>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Navy"/>
    <x v="0"/>
    <x v="0"/>
    <s v="Indigenous"/>
    <x v="0"/>
    <x v="9"/>
    <s v="Landing Ship"/>
    <s v="LSD 41/49 "/>
    <s v="LSD 41/49 "/>
    <s v="Crewed"/>
    <x v="10"/>
    <x v="0"/>
    <n v="83"/>
    <s v="Unknown"/>
    <s v="Confirmed"/>
    <n v="302.64"/>
    <s v="USD$"/>
    <n v="302.64"/>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Navy"/>
    <x v="0"/>
    <x v="0"/>
    <s v="Indigenous"/>
    <x v="0"/>
    <x v="9"/>
    <s v="Amphibious Other (Maritime)"/>
    <s v="LCC 19"/>
    <s v="LCC 19"/>
    <s v="Crewed"/>
    <x v="10"/>
    <x v="0"/>
    <n v="83"/>
    <s v="Unknown"/>
    <s v="Confirmed"/>
    <n v="302.64"/>
    <s v="USD$"/>
    <n v="302.64"/>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Air Force"/>
    <x v="0"/>
    <x v="0"/>
    <s v="Indigenous"/>
    <x v="5"/>
    <x v="21"/>
    <s v="Data links"/>
    <s v="BACN 6000 "/>
    <s v="BACN 6000 "/>
    <s v="Crewed"/>
    <x v="44"/>
    <x v="1"/>
    <n v="59"/>
    <n v="6"/>
    <s v="Confirmed"/>
    <n v="464.85"/>
    <s v="USD$"/>
    <n v="464.85"/>
    <s v="B2G"/>
    <s v="June"/>
    <n v="2021"/>
    <s v="Learjet Inc., Wichita, Kansas, has been awarded a $464,851,645 indefinite-delivery/indefinite-quantity contract for Battlefield Airborne Communications Node (BACN) Bombardier Global 6000 aircraft. This contract provides for the purchase of up to six Bombardier Global 6000 aircraft and completion work. Work will be performed in Wichita, Kansas, and is expected to be completed May 2026. This award is the result of a sole-source acquisition. Fiscal 2021 aircraft procurement funds in the amount $70,000,000 are being obligated with the initial delivery order, FA8726-21-F-0073, at the time of award. Air Force Life Cycle Management Center, Hanscom Air Force Base, Massachusetts, is the contracting activity (FA8726-21-D-0006)."/>
    <m/>
    <s v="https://www.defense.gov/News/Contracts/Contract/Article/2641085/"/>
  </r>
  <r>
    <x v="0"/>
    <x v="0"/>
    <s v="Army"/>
    <x v="0"/>
    <x v="0"/>
    <s v="Indigenous"/>
    <x v="6"/>
    <x v="24"/>
    <s v="Wheeled Armoured Fighting Vehicles"/>
    <s v="Stryker Medium Caliber Weapon System vehicles"/>
    <s v="Stryker Medium Caliber Weapon System vehicles"/>
    <s v="Uncrewed"/>
    <x v="7"/>
    <x v="1"/>
    <n v="71"/>
    <s v="Unknown"/>
    <s v="Confirmed"/>
    <n v="942.9"/>
    <s v="USD$"/>
    <n v="942.9"/>
    <s v="B2G"/>
    <s v="June"/>
    <n v="2021"/>
    <s v="Oshkosh Defense LLC, Oshkosh, Wisconsin, was awarded a $942,900,000 cost-no-fee, cost-plus-fixed-fee, firm-fixed-price contract for procurement of the production, integration, engineering and logistical support, and fielding of Stryker Medium Caliber Weapon System vehicles. Bids were solicited via the internet with three received. Work locations and funding will be determined with each order, with an estimated completion date of June 2, 2027. U.S. Army Contracting Command, Detroit Arsenal, Michigan, is the contracting activity (W56HZV-21-D-0017)."/>
    <m/>
    <s v="https://www.defense.gov/News/Contracts/Contract/Article/2644648/"/>
  </r>
  <r>
    <x v="0"/>
    <x v="0"/>
    <s v="Army"/>
    <x v="0"/>
    <x v="0"/>
    <s v="Indigenous"/>
    <x v="5"/>
    <x v="7"/>
    <s v="Integrated C4ISR System"/>
    <s v="OSRVT and SPOT"/>
    <s v="OSRVT and SPOT"/>
    <s v="Optional"/>
    <x v="26"/>
    <x v="0"/>
    <n v="32"/>
    <s v="Unknown"/>
    <s v="Confirmed"/>
    <n v="92.54"/>
    <s v="USD$"/>
    <n v="92.54"/>
    <s v="B2G"/>
    <s v="June"/>
    <n v="2021"/>
    <s v="Textron Systems Corp., Hunt Valley, Maryland, was awarded a $92,535,540 cost-plus-fixed-fee, firm-fixed-price contract for One System Remote Video Terminal (OSRVT) and Soldier Portable OSRVT (SPOT) production with contractor logistics support. Bids were solicited via the internet with one received. Work locations and funding will be determined with each order, with an estimated completion date of Feb. 7, 2024. U.S. Army Contracting Command, Redstone Arsenal, Alabama, is the contracting activity (W58RGZ-21-D-0059)."/>
    <m/>
    <s v="https://www.defense.gov/News/Contracts/Contract/Article/2644648/"/>
  </r>
  <r>
    <x v="0"/>
    <x v="0"/>
    <s v="Navy"/>
    <x v="0"/>
    <x v="0"/>
    <s v="Indigenous"/>
    <x v="0"/>
    <x v="20"/>
    <s v="Destroyers"/>
    <s v="DDG 91"/>
    <s v="DDG 91"/>
    <s v="Crewed"/>
    <x v="9"/>
    <x v="0"/>
    <n v="24"/>
    <s v="Unknown"/>
    <s v="Confirmed"/>
    <n v="98.75"/>
    <s v="USD$"/>
    <n v="98.75"/>
    <s v="B2G"/>
    <s v="June"/>
    <n v="2021"/>
    <s v="General Dynamics NASSCO – San Diego, San Diego, California, is awarded a $98,749,123, firm-fixed-price contract for the execution of the USS Pinckney (DDG 91) FY22 depot modernization period. This availability will include a combination of maintenance, modernization and repair of the USS Pinckney. This contract includes options which, if exercised, would bring the cumulative value of this contract to $121,109,530. Work will be performed in San Diego, California, and is expected to be completed by July 2023. Fiscal 2021 other procurement (Navy) funds in the amount of $93,500,245 (94.7%); and fiscal 2021 operation and maintenance (Navy) funds in the amount of $5,248,878 (5.3%) will be obligated at time of award, of which, funding in the amount of $5,248,878 will expire at the end of the current fiscal year. This contract was competitively procured using full and open competition via the beta.sam.gov website with three offers were received in response to Solicitation No. N00024-21-R-4478.  The Naval Sea Systems Command, Washington, D.C., is the contracting activity (N00024-21-C-4478)."/>
    <m/>
    <s v="https://www.defense.gov/News/Contracts/Contract/Article/2646965/"/>
  </r>
  <r>
    <x v="0"/>
    <x v="0"/>
    <s v="Navy"/>
    <x v="0"/>
    <x v="0"/>
    <s v="Indigenous"/>
    <x v="0"/>
    <x v="22"/>
    <s v="Nuclear-Powered Submarine"/>
    <s v="USS Hartford (SSN 768)"/>
    <s v="USS Hartford (SSN 768)"/>
    <s v="Crewed"/>
    <x v="45"/>
    <x v="0"/>
    <n v="7"/>
    <s v="Unknown"/>
    <s v="Confirmed"/>
    <n v="63.8"/>
    <s v="USD$"/>
    <n v="63.8"/>
    <s v="B2G"/>
    <s v="June"/>
    <n v="2021"/>
    <s v="General Dynamics Electric Boat Corp., Groton, Connecticut, is awarded a $63,805,144 cost-plus-fixed-fee, cost-plus-incentive-fee modification to previously-awarded contract N00024-20-C-4312 for smart start maintenance, repair, and modernization efforts in support of USS Hartford (SSN 768) engineered overhaul. Work will be performed in Groton, Connecticut, and is expected to be completed by February 2022. Fiscal 2021 operation and maintenance (Navy) funds in the amount of $63,033,618 (99%); and fiscal 2021 other procurement (Navy) funds in the amount of $771,526 (1%) will be obligated at the time of award, of which, funds in the amount of  $63,033,618 will expire at the end of the current fiscal year. The Naval Sea Systems Command, Washington, D.C., is the contracting activity."/>
    <m/>
    <s v="https://www.defense.gov/News/Contracts/Contract/Article/2646965/"/>
  </r>
  <r>
    <x v="0"/>
    <x v="0"/>
    <s v="Air Force"/>
    <x v="0"/>
    <x v="0"/>
    <s v="Indigenous"/>
    <x v="3"/>
    <x v="3"/>
    <s v="Satellite"/>
    <s v="SBIRS"/>
    <s v="SBIRS"/>
    <s v="Uncrewed"/>
    <x v="13"/>
    <x v="0"/>
    <n v="60"/>
    <s v="Unknown"/>
    <s v="Confirmed"/>
    <n v="1010"/>
    <s v="USD$"/>
    <n v="1010"/>
    <s v="B2G"/>
    <s v="June"/>
    <n v="2021"/>
    <s v="Lockheed Martin Corp., Littleton, Colorado, has been awarded a $1,010,000,000 fixed-price incentive-fee, cost‐plus‐incentive‐fee and cost-reimbursement contract for Space Based Infrared Surveillance contractor logistics support. Work will be performed on Peterson Air Force Base, Colorado; Buckley AFB, Colorado; Greeley Air National Guard Station, Colorado; and Boulder, Colorado, and is expected to be completed July 1, 2026. This award is the result of a sole-source acquisition. Fiscal 2021 operation and maintenance funds will be used with no funding being obligated at the time of award. Space and Missile Systems Center, Peterson AFB, Colorado, is the contracting activity (FA8823-21-C-0001)."/>
    <m/>
    <s v="https://www.defense.gov/News/Contracts/Contract/Article/2646965/"/>
  </r>
  <r>
    <x v="0"/>
    <x v="0"/>
    <s v="Army"/>
    <x v="0"/>
    <x v="0"/>
    <s v="Indigenous"/>
    <x v="4"/>
    <x v="28"/>
    <s v="Surface-to-Air"/>
    <s v="PATRIOT Advanced Capability (PAC-3) FY21 missiles"/>
    <s v="PATRIOT Advanced Capability (PAC-3) FY21 missiles"/>
    <s v="Crewed"/>
    <x v="13"/>
    <x v="1"/>
    <n v="42"/>
    <s v="Unknown"/>
    <s v="Confirmed"/>
    <n v="172.36"/>
    <s v="USD$"/>
    <n v="172.36"/>
    <s v="B2G"/>
    <s v="June"/>
    <n v="2021"/>
    <s v="Lockheed Martin Corporation, Grand Prairie, Texas, was awarded a $172,357,000 modification (P00019) to contract W31P4Q-20-C-0023 for procurement of spare hardware in association with Phased Array Tracking Radar to Intercept on Target (PATRIOT) Advanced Capability (PAC-3) FY21 missiles and command and launch system.  Work will be performed in Huntsville, Alabama; Camden, Arkansas; Lake Mary and Clearwater, Florida; Grand Prairie and Lufkin, Texas; and Chelmsford, Massachusetts; with an estimated completion date of Dec. 31, 2024. Fiscal 2019, 2020 and 2021 missile procurement, Army funds and 2020 Foreign Military Sales funds in the amount of $172,357,000 were obligated at the time of the award. U.S. Army Contracting Command, Redstone Arsenal, Alabama, is the contracting activity."/>
    <m/>
    <s v="https://www.defense.gov/News/Contracts/Contract/Article/2646965/"/>
  </r>
  <r>
    <x v="0"/>
    <x v="0"/>
    <s v="Army"/>
    <x v="0"/>
    <x v="0"/>
    <s v="Indigenous"/>
    <x v="1"/>
    <x v="17"/>
    <s v="Rotary Wing Transport"/>
    <s v="UH-72"/>
    <s v="UH-72"/>
    <s v="Crewed"/>
    <x v="46"/>
    <x v="0"/>
    <n v="12"/>
    <s v="Unknown"/>
    <s v="Confirmed"/>
    <n v="119.789"/>
    <s v="USD$"/>
    <n v="119.789"/>
    <s v="B2G"/>
    <s v="June"/>
    <n v="2021"/>
    <s v="Airbus U.S. Space &amp; Defense Inc., Arlington, Virginia, was awarded a $119,788,924 modification (P00455) to contract W58RGZ-17-C-0010 for an extension of contractor logistics support services for the UH-72 Lakota. Work will be performed in Grand Prairie, Texas, with an estimated completion date of June 30, 2022. Fiscal 2022 operation and maintenance, Army funds will be obligated in the future. U.S. Army Contracting Command, Redstone Arsenal, Alabama, is the contracting activity."/>
    <m/>
    <s v="https://www.defense.gov/News/Contracts/Contract/Article/2648980/"/>
  </r>
  <r>
    <x v="0"/>
    <x v="0"/>
    <s v="Air Force"/>
    <x v="0"/>
    <x v="0"/>
    <s v="Indigenous"/>
    <x v="5"/>
    <x v="11"/>
    <s v="Air Search Radar"/>
    <s v="AN/APG-82"/>
    <s v="AN/APG-82"/>
    <s v="Crewed"/>
    <x v="0"/>
    <x v="1"/>
    <s v="Not Applicable"/>
    <s v="Unknown"/>
    <s v="Confirmed"/>
    <n v="3120"/>
    <s v="USD$"/>
    <n v="3120"/>
    <s v="B2G"/>
    <s v="June"/>
    <n v="2021"/>
    <s v="The Raytheon Co., El Segundo, California has been awarded a $3,120,000,000 indefinite-delivery/indefinite-quantity contract for F-15 Radar Eagle Vision. This contract provides for the production, modernization and support of the F-15 APG-82 radar system to rapidly deliver and stay aligned with the F-15 weapon system program. Work will be performed in El Segundo, California, and is expected to be completed June 8, 2036. This contract currently does not have any delivery orders for Foreign Military Sales (FMS) but does allow for future FMS orders and is the result of a sole-source acquisition. Fiscal 2021 aircraft procurement funds in the amount of $471,662 are being obligated at the time of award. The F-15 Division Contracts Branch, Wright-Patterson Air Force Base, Ohio, is the contracting activity (FA8634-21-D-2707)."/>
    <m/>
    <s v="https://www.defense.gov/News/Contracts/Contract/Article/2652182/"/>
  </r>
  <r>
    <x v="0"/>
    <x v="0"/>
    <s v="Army"/>
    <x v="0"/>
    <x v="0"/>
    <s v="Indigenous"/>
    <x v="7"/>
    <x v="29"/>
    <s v="Not Applicable"/>
    <s v="Information System Training Simulation Software/Training Management Tool"/>
    <s v="Information System Training Simulation Software/Training Management Tool"/>
    <s v="Not Applicable"/>
    <x v="47"/>
    <x v="2"/>
    <n v="51"/>
    <s v="Not applicable"/>
    <s v="Confirmed"/>
    <n v="192.6"/>
    <s v="USD$"/>
    <n v="192.6"/>
    <s v="B2G"/>
    <s v="June"/>
    <n v="2021"/>
    <s v="Cole Engineering Services Inc., Orlando, Florida, was awarded a $192,611,812 firm-fixed-price contract for the Synthetic Training Environment-Information System Training Simulation Software/Training Management Tool. Bids were solicited via the internet with 11 received. Work will be performed in Orlando, Florida, with an estimated completion date of Oct. 13, 2025. Fiscal 2021 research, development, test and evaluation, Army funds in the amount of $12,222,847 were obligated at the time of the award. U.S. Army Contracting Command, Orlando, Florida, is the contracting activity (W900KK-21-9-0009). "/>
    <m/>
    <s v="https://www.defense.gov/News/Contracts/Contract/Article/2657500/"/>
  </r>
  <r>
    <x v="0"/>
    <x v="0"/>
    <s v="Navy"/>
    <x v="0"/>
    <x v="0"/>
    <s v="Indigenous"/>
    <x v="0"/>
    <x v="9"/>
    <s v="Landing Platform Dock"/>
    <s v="San Antonio-Class"/>
    <s v="LPD-22"/>
    <s v="Crewed"/>
    <x v="8"/>
    <x v="0"/>
    <n v="16"/>
    <s v="Unknown"/>
    <s v="Confirmed"/>
    <n v="90.27"/>
    <s v="USD$"/>
    <n v="90.27"/>
    <s v="B2G"/>
    <s v="June"/>
    <n v="2021"/>
    <s v="BAE Systems San Diego Ship Repair, San Diego, California, was awarded a $90,267,436 firm-fixed-price contract for the execution of the USS San Diego (LPD 22) fiscal 2021 docking selected restricted availability. This availability will include a combination of maintenance, modernization and repair of the USS San Diego. This contract includes options which, if exercised, would bring the cumulative value of this contract to $104,893,477. Work will be performed in San Diego, California, and is expected to be completed by November 2022. Fiscal 2021 other procurement (Navy) funds in the amount of $79,657,142 (88.25%); and fiscal 2021 operation and maintenance (Navy) funds in the amount of $10,610,294 (11.75%) will be obligated at time of award, of which $10,610,294 will expire at the end of the current fiscal year. This contract was competitively procured using full and open competition via the beta.sam.gov website. One offer was received in response to Solicitation No. N00024-21-R-4442. The Naval Sea Systems Command, Washington, D.C., is the contracting activity (N00024-21-C-4442). (Awarded June 11, 2021)"/>
    <m/>
    <s v="https://www.defense.gov/News/Contracts/Contract/Article/2659241/"/>
  </r>
  <r>
    <x v="0"/>
    <x v="0"/>
    <s v="Army"/>
    <x v="0"/>
    <x v="0"/>
    <s v="Indigenous"/>
    <x v="5"/>
    <x v="32"/>
    <s v="Imaging EO/IR"/>
    <s v="Shadow Plug-In Optronic 300 series"/>
    <s v="Shadow Plug-In Optronic 300 series"/>
    <s v="Uncrewed"/>
    <x v="48"/>
    <x v="0"/>
    <n v="61"/>
    <s v="Not applicable"/>
    <s v="Confirmed"/>
    <n v="56.09"/>
    <s v="USD$"/>
    <n v="56.09"/>
    <s v="B2G"/>
    <s v="June"/>
    <n v="2021"/>
    <s v="Stark Aerospace Inc., Columbus, Mississippi, was awarded a $56,087,580 firm-fixed-price contract for sustainment services of the Shadow Plug-In Optronic 300 series payloads in support of product manager Aerial Enhanced Radar, Optics, and Sensors.  Bids were solicited via the internet with one received.  Work locations and funding will be determined with each order, with an estimated completion date of July 25, 2026.  U.S. Army Contracting Command, Aberdeen Proving Ground, Maryland, is the contracting activity (W56KGY-21-D-0005)."/>
    <m/>
    <s v="https://www.defense.gov/News/Contracts/Contract/Article/2662720/"/>
  </r>
  <r>
    <x v="0"/>
    <x v="0"/>
    <s v="Navy"/>
    <x v="0"/>
    <x v="0"/>
    <s v="Indigenous"/>
    <x v="1"/>
    <x v="17"/>
    <s v="Rotary Wing Transport"/>
    <s v="CH-53"/>
    <s v="CH-53K"/>
    <s v="Crewed"/>
    <x v="19"/>
    <x v="0"/>
    <n v="65"/>
    <s v="Not applicable"/>
    <s v="Confirmed"/>
    <n v="73.221000000000004"/>
    <s v="USD$"/>
    <n v="73.221000000000004"/>
    <s v="B2G"/>
    <s v="June"/>
    <n v="2021"/>
    <s v="Sikorsky Aircraft Corp., a Lockheed Martin Co., Stratford, Connecticut, is awarded a $73,221,421 modification (P00008) to firm-fixed-price order N00019-21-F-0434 against previously issued basic ordering agreement N00019-19-G-0029.  This modification adds scope to procure 362 spare parts and support required for the repair and maintenance of the CH-53K low rate initial production configuration aircraft.  Work will be performed in Stratford, Connecticut (35.34%); Stamford, Connecticut (8.83%); Quebec, Canada (7.22%); Seattle, Washington (4.23%); Pottsville, Pennsylvania (2.86%); Slough, United Kingdom (2.64%); Jackson, Mississippi (2.55%); Cudahy, Wisconsin (2.08%); Windsor Locks, Connecticut (1.96%); Los Angeles, California (1.87%); Stratford, Canada (1.47%); Cromwell, Connecticut (1.43%); Enfield, Connecticut (1.25%); Lindenhurst, New York (1.23%); Creston, Iowa (1.15%); Grapevine, Texas (1.06%); Waltham, Massachusetts (1.06%); various locations within the continental U.S. (21.09%); and various locations outside the continental U.S. (0.68%), and is expected to be completed in December 2026.  Fiscal 2021 aircraft procurement (Navy) funds in the amount of $73,221,421 will be obligated at the time of award, none of which will expire at the end of the current fiscal year.  The Naval Air Systems Command, Patuxent River, Maryland, is the contracting activity. (Awarded June 18, 2021)"/>
    <m/>
    <s v="https://www.defense.gov/News/Contracts/Contract/Article/2665060/"/>
  </r>
  <r>
    <x v="0"/>
    <x v="0"/>
    <s v="Air Force"/>
    <x v="0"/>
    <x v="0"/>
    <s v="Indigenous"/>
    <x v="7"/>
    <x v="29"/>
    <s v="Not Applicable"/>
    <s v="F-15 MTC simulation services"/>
    <s v="F-15 MTC simulation services"/>
    <s v="Crewed"/>
    <x v="34"/>
    <x v="4"/>
    <n v="6"/>
    <s v="Not applicable"/>
    <s v="Confirmed"/>
    <n v="128.84"/>
    <s v="USD$"/>
    <n v="128.84"/>
    <s v="B2G"/>
    <s v="June"/>
    <n v="2021"/>
    <s v="The Boeing Co., St. Louis, Missouri, has been awarded a $128,843,992 firm-fixed-price contract for the F-15 Mission Training Center (MTC) simulation services to support the Air Combat Command, Pacific Air Forces and Air Force in Europe locations.  The contractor will provide all personnel, equipment, supplies, transportation, tools, materials, supervision and other items to perform all MTC services.  These services will provide simulation capability to train F-15 pilots and system operators in high-fidelity training devices.  Work will be performed in St. Louis, Missouri; Kadena Air Base, Japan; Mountain Home Air Force Base, Idaho; Nellis AFB, Nevada; Royal Air Force Lakenheath, United Kingdom; and Seymour-Johnson AFB, North Carolina, and is expected to be completed Dec. 31, 2021.  Fiscal 2021 operation and maintenance funds in the amount of $13,177,889 are being obligated at the time of award.  Air Force Life Cycle Management Center, Wright-Patterson AFB, Ohio, is the contracting activity (FA8621-21-C-0001)."/>
    <m/>
    <s v="https://www.defense.gov/News/Contracts/Contract/Article/2674228/"/>
  </r>
  <r>
    <x v="0"/>
    <x v="0"/>
    <s v="Defense Wide"/>
    <x v="0"/>
    <x v="0"/>
    <s v="Indigenous"/>
    <x v="5"/>
    <x v="19"/>
    <s v="Artificial Intelligence"/>
    <s v="Artificial Intelligence Algorithms"/>
    <s v="Artificial Intelligence Algorithms"/>
    <s v="Not Applicable"/>
    <x v="49"/>
    <x v="2"/>
    <n v="36"/>
    <s v="Not applicable"/>
    <s v="Confirmed"/>
    <n v="68.95"/>
    <s v="USD$"/>
    <n v="68.95"/>
    <s v="B2G"/>
    <s v="June"/>
    <n v="2021"/>
    <s v="ECS Federal LLC, Fairfax, Virginia, was awarded a $68,952,654 cost-plus-fixed-fee contract to design and develop novel approaches to artificial intelligence algorithms. Bids were solicited via the internet with 999 received. Work will be performed in Fairfax, Virginia, with an estimated completion date of June 30, 2024. Fiscal 2021 research, development, test and evaluation, defense-wide funds in the amount of $16,250,000 were obligated at the time of the award. U.S. Army Contracting Command, Aberdeen Proving Ground, Maryland, is the contracting activity (W911QX-21-C-0022). "/>
    <m/>
    <s v="https://www.defense.gov/News/Contracts/Contract/Article/2678227/"/>
  </r>
  <r>
    <x v="0"/>
    <x v="0"/>
    <s v="Air Force"/>
    <x v="0"/>
    <x v="0"/>
    <s v="Indigenous"/>
    <x v="4"/>
    <x v="28"/>
    <s v="Air-to-Surface"/>
    <s v="LRSO"/>
    <s v="LRSO"/>
    <s v="Uncrewed"/>
    <x v="50"/>
    <x v="2"/>
    <n v="67"/>
    <s v="Not applicable"/>
    <s v="Confirmed"/>
    <n v="2000"/>
    <s v="USD$"/>
    <n v="2000"/>
    <s v="B2G"/>
    <s v="July"/>
    <n v="2021"/>
    <s v="Raytheon Missiles and Defense, Tucson, Arizona, has been awarded an approximately $2,000,000,000 (to include all options) cost-plus-fixed-fee with performance incentives contract for the engineering and manufacturing development (EMD) phase of the Long Range Standoff (LRSO) Weapon System. During the EMD phase, manufacturing processes will continue to mature and the manufacturing environment will be demonstrated and transitioned to a pilot line readiness state. The objective at the end of EMD is to demonstrate full production readiness. Work will be performed in Tucson, Arizona, and is expected to be completed February 2027. This contract is the result of a sole-source acquisition. Fiscal 2021 research, development, test and evaluation funds are being obligated at the time of award. Air Force Nuclear Weapons Center, Eglin Air Force Base, Florida, is the contracting activity."/>
    <m/>
    <s v="https://www.defense.gov/News/Contracts/Contract/Article/2680485/"/>
  </r>
  <r>
    <x v="1"/>
    <x v="3"/>
    <s v="Air Force"/>
    <x v="0"/>
    <x v="0"/>
    <s v="Indigenous"/>
    <x v="1"/>
    <x v="1"/>
    <s v="ISR-Strike"/>
    <s v="MQ-9 Block 5"/>
    <s v="MQ-9 Block 5"/>
    <s v="Uncrewed"/>
    <x v="51"/>
    <x v="1"/>
    <n v="32"/>
    <s v="Unknown"/>
    <s v="Confirmed"/>
    <n v="79.42"/>
    <s v="USD$"/>
    <n v="79.42"/>
    <s v="G2G"/>
    <s v="July"/>
    <n v="2021"/>
    <s v="General Atomics Aeronautical Systems Inc., Poway, California, has been awarded a $79,420,164 delivery order (FA8689-21-F-2805) to a previously awarded indefinite-delivery/indefinite -quantity contract (FA8689-20-D-2020) for the France MQ-9 Block 5 aircraft procurement program. Work will be performed in Poway, California, and is expected to be completed March 29, 2024. This contract involves 100% Foreign Military Sales (FMS) to France. FMS funds in the full amount are being obligated at the time of award. Air Force Life Cycle Management Center, Wright-Patterson Air Force Base, Ohio, is the contracting activity."/>
    <m/>
    <s v="https://www.defense.gov/News/Contracts/Contract/Article/2680485/"/>
  </r>
  <r>
    <x v="0"/>
    <x v="0"/>
    <s v="Air Force"/>
    <x v="0"/>
    <x v="0"/>
    <s v="Indigenous"/>
    <x v="1"/>
    <x v="1"/>
    <s v="Tanker"/>
    <s v="Lot 6 spare parts and Lot 7 support equipment"/>
    <s v="Lot 6 spare parts and Lot 7 support equipment"/>
    <s v="Crewed"/>
    <x v="34"/>
    <x v="1"/>
    <n v="39"/>
    <s v="Unknown"/>
    <s v="Confirmed"/>
    <n v="67.39"/>
    <s v="USD$"/>
    <n v="67.39"/>
    <s v="B2G"/>
    <s v="July"/>
    <n v="2021"/>
    <s v="The Boeing Co., Seattle, Washington, has been awarded a $67,385,721.00 modification (P00235) to contract FA8625-11-C-6600 for Lot 6 spare parts and Lot 7 support equipment. Work will be performed in Seattle, Washington, and is expected to be completed by Oct. 30, 2024. Fiscal 2019 aircraft procurement funds in the amount of $47,308,613; and fiscal 2020 aircraft procurement funds in the amount of $20,077,108 are being obligated at the time of award. The Air Force Life Cycle Management Center, Wright-Patterson Air Force Base, Ohio, is the contracting activity."/>
    <m/>
    <s v="https://www.defense.gov/News/Contracts/Contract/Article/2680485/"/>
  </r>
  <r>
    <x v="0"/>
    <x v="0"/>
    <s v="Army"/>
    <x v="0"/>
    <x v="0"/>
    <s v="Indigenous"/>
    <x v="6"/>
    <x v="24"/>
    <s v="Tracked Armoured Fighting Vehicles"/>
    <s v="Armored Multi-Purpose Vehicle and M113 Family of Vehicles"/>
    <s v="Armored Multi-Purpose Vehicle and M113 Family of Vehicles"/>
    <s v="Crewed"/>
    <x v="52"/>
    <x v="1"/>
    <n v="59"/>
    <s v="Not applicable"/>
    <s v="Confirmed"/>
    <n v="600.20000000000005"/>
    <s v="USD$"/>
    <n v="600.20000000000005"/>
    <s v="B2G"/>
    <s v="July"/>
    <n v="2021"/>
    <s v="BAE Systems Land &amp; Armaments LP, Sterling Heights, Michigan, was awarded a $600,227,117 cost-plus-fixed-fee contract in support of the Armored Multi-Purpose Vehicle and M113 Family of Vehicles. Bids were solicited via the internet with one received. Work locations and funding will be determined with each order, with an estimated completion date of July 6, 2026. U.S. Army Contracting Command, Detroit Arsenal, Michigan, is the contracting activity (W56HZV-21-D-0018)."/>
    <m/>
    <s v="https://www.defense.gov/News/Contracts/Contract/Article/2684977/"/>
  </r>
  <r>
    <x v="0"/>
    <x v="0"/>
    <s v="Air Force"/>
    <x v="0"/>
    <x v="0"/>
    <s v="Indigenous"/>
    <x v="1"/>
    <x v="1"/>
    <s v="Transport Aircraft"/>
    <s v="C-130J "/>
    <s v="C-130J "/>
    <s v="Crewed"/>
    <x v="13"/>
    <x v="0"/>
    <n v="6"/>
    <s v="Unknown"/>
    <s v="Confirmed"/>
    <n v="57.84"/>
    <s v="USD$"/>
    <n v="57.84"/>
    <s v="B2G"/>
    <s v="July"/>
    <n v="2021"/>
    <s v="Lockheed Martin Corp., Marietta, Georgia, has been awarded a $57,843,433 firm-fixed-price, time and material, cost-plus-incentive-fee, requirements modification (P00028) to contract FA8504-16-D-0001 for C-130J long-term sustainment. Sustainment services include program sustainment support, inventory control point management, consumable spares replenishment, repair, sustaining engineering support, technical data, and depot activation in support of the C-130J weapon system. Work will be performed in Marietta, Georgia, and is expected to be completed Jan. 31, 2022. This award is the result of a sole-source acquisition. Fiscal 2021 operation and maintenance funds will be used for this contract with $47,737,519 being obligated at the time of award. Air Force Life Cycle Management Center, Robins Air Force Base, Georgia, is the contracting activity."/>
    <m/>
    <s v="https://www.defense.gov/News/Contracts/Contract/Article/2689704/"/>
  </r>
  <r>
    <x v="0"/>
    <x v="0"/>
    <s v="Army"/>
    <x v="0"/>
    <x v="0"/>
    <s v="Indigenous"/>
    <x v="4"/>
    <x v="28"/>
    <s v="Surface-to-Air"/>
    <s v="Stinger missile"/>
    <s v="Stinger missile"/>
    <s v="Uncrewed"/>
    <x v="0"/>
    <x v="1"/>
    <n v="59"/>
    <s v="Unknown"/>
    <s v="Confirmed"/>
    <n v="320.67"/>
    <s v="USD$"/>
    <n v="320.67"/>
    <s v="B2G"/>
    <s v="July"/>
    <n v="2021"/>
    <s v="Raytheon Co., Tucson, Arizona, was awarded a $320,667,721 firm-fixed-price contract for Stinger missile production. Bids were solicited via the internet with one received. Work locations and funding will be determined with each order, with an estimated completion date of June 30, 2026. U.S. Army Contracting Command, Redstone Arsenal, Alabama, is the contracting activity (W31P4Q-21-D-0007). (Awarded July 9, 2021)"/>
    <m/>
    <s v="https://www.defense.gov/News/Contracts/Contract/Article/2691351/"/>
  </r>
  <r>
    <x v="0"/>
    <x v="0"/>
    <s v="Army"/>
    <x v="0"/>
    <x v="0"/>
    <s v="Indigenous"/>
    <x v="6"/>
    <x v="33"/>
    <s v="Self-Propelled Artillery"/>
    <s v="M109A7 and M992A3 vehicles"/>
    <s v="M109A7 and M992A3 vehicles"/>
    <s v="Crewed"/>
    <x v="8"/>
    <x v="1"/>
    <n v="41"/>
    <s v="Unknown"/>
    <s v="Confirmed"/>
    <n v="72.459999999999994"/>
    <s v="USD$"/>
    <n v="72.459999999999994"/>
    <s v="B2G"/>
    <s v="July"/>
    <n v="2021"/>
    <s v="BAE Systems, York, Pennsylvania, was awarded a $72,458,148 modification (P00088) to contract W56HZV-17-C-0001 for the production and delivery of M109A7 and M992A3 vehicles. Work will be performed in York, Pennsylvania, with an estimated completion date of Dec. 31, 2024. Fiscal 2020 and 2021 weapons and tracked combat vehicle procurement, Army funds in the amount of $72,458,148 were obligated at the time of the award. U.S. Army Contracting Command, Detroit Arsenal, Michigan, is the contracting activity. "/>
    <m/>
    <s v="https://www.defense.gov/News/Contracts/Contract/Article/2692774/"/>
  </r>
  <r>
    <x v="0"/>
    <x v="0"/>
    <s v="Army"/>
    <x v="0"/>
    <x v="0"/>
    <s v="Indigenous"/>
    <x v="4"/>
    <x v="18"/>
    <s v="Launchers"/>
    <s v="High Mobility Artillery Rocket Systems M142 launchers"/>
    <s v="High Mobility Artillery Rocket Systems M142 launchers"/>
    <s v="Crewed"/>
    <x v="53"/>
    <x v="1"/>
    <n v="21"/>
    <s v="Unknown"/>
    <s v="Confirmed"/>
    <n v="160.47999999999999"/>
    <s v="USD$"/>
    <n v="160.47999999999999"/>
    <s v="B2G"/>
    <s v="July"/>
    <n v="2021"/>
    <s v="Lockheed Martin Missile and Fire Control, Grand Prairie, Texas, was awarded a $160,480,077 modification (P00032) to contract W31P4Q-19-C-0101 for production of High Mobility Artillery Rocket Systems M142 launchers and support requirements. Work will be performed in Boca Raton, Florida; Whippany, New Jersey; York, Pennsylvania; Jackson, Michigan; Brownsboro, Alabama; Jackson, Mississippi; Palm Bay, Florida; Archbald, Pennsylvania; Dallas, Texas; Camden, Arizona; Dallas, Texas; Clearwater, Florida; and Taiwan, with an estimated completion date of April 30, 2023. Fiscal 2021 research, development, test and evaluation, Army; procurement, Marine Corps; Foreign Military Sales (Taiwan); and missile procurement, Army funds in the amount of $160,480,077 were obligated at the time of the award. U.S. Army Contracting Command, Redstone Arsenal, Alabama, is the contracting activity."/>
    <m/>
    <s v="https://www.defense.gov/News/Contracts/Contract/Article/2694822/"/>
  </r>
  <r>
    <x v="0"/>
    <x v="0"/>
    <s v="Navy"/>
    <x v="0"/>
    <x v="0"/>
    <s v="Indigenous"/>
    <x v="1"/>
    <x v="1"/>
    <s v="Fighter"/>
    <s v="F/A-18E/F"/>
    <s v="F/A-18E/F"/>
    <s v="Crewed"/>
    <x v="54"/>
    <x v="1"/>
    <n v="23"/>
    <n v="219"/>
    <s v="Confirmed"/>
    <n v="55.36"/>
    <s v="USD$"/>
    <n v="55.36"/>
    <s v="B2G"/>
    <s v="July"/>
    <n v="2021"/>
    <s v="General Electric Aviation Systems LLC, Vandalia, Ohio, is awarded a $55,364,514 modification (P00012) to a previously awarded firm-fixed-price contract (N0001918C0004). This modification exercises an option to procure 219 generator converter units in support of the F/A-18E/F and E/A-18G aircraft for the Navy. Work will be performed in Vandalia, Ohio, and is expected to be completed in July 2023. Fiscal 2021 aircraft procurement (Navy) funds in the amount of $23,258,152; and fiscal 2020 aircraft procurement (Navy) funds in the amount of $32,106,362 will be obligated at the time of award, none of which will expire at the end of the current fiscal year. The Naval Air Systems Command, Patuxent River, Maryland, is the contracting activity. "/>
    <m/>
    <s v="https://www.defense.gov/News/Contracts/Contract/Article/2696307/"/>
  </r>
  <r>
    <x v="0"/>
    <x v="0"/>
    <s v="Navy"/>
    <x v="0"/>
    <x v="0"/>
    <s v="Indigenous"/>
    <x v="1"/>
    <x v="1"/>
    <s v="C4ISR"/>
    <s v="E/A-18G "/>
    <s v="E/A-18G "/>
    <s v="Crewed"/>
    <x v="54"/>
    <x v="1"/>
    <n v="23"/>
    <n v="219"/>
    <s v="Confirmed"/>
    <n v="55.36"/>
    <s v="USD$"/>
    <n v="55.36"/>
    <s v="B2G"/>
    <s v="July"/>
    <n v="2021"/>
    <s v="General Electric Aviation Systems LLC, Vandalia, Ohio, is awarded a $55,364,514 modification (P00012) to a previously awarded firm-fixed-price contract (N0001918C0004). This modification exercises an option to procure 219 generator converter units in support of the F/A-18E/F and E/A-18G aircraft for the Navy. Work will be performed in Vandalia, Ohio, and is expected to be completed in July 2023. Fiscal 2021 aircraft procurement (Navy) funds in the amount of $23,258,152; and fiscal 2020 aircraft procurement (Navy) funds in the amount of $32,106,362 will be obligated at the time of award, none of which will expire at the end of the current fiscal year. The Naval Air Systems Command, Patuxent River, Maryland, is the contracting activity. "/>
    <m/>
    <s v="https://www.defense.gov/News/Contracts/Contract/Article/2696307/"/>
  </r>
  <r>
    <x v="0"/>
    <x v="0"/>
    <s v="Navy"/>
    <x v="0"/>
    <x v="0"/>
    <s v="Indigenous"/>
    <x v="5"/>
    <x v="11"/>
    <s v="Multi-Mission Radar"/>
    <s v="AN/SPY-6(V)"/>
    <s v="AN/SPY-6(V)"/>
    <s v="Crewed"/>
    <x v="50"/>
    <x v="1"/>
    <n v="4"/>
    <s v="Unknown"/>
    <s v="Confirmed"/>
    <n v="67.72"/>
    <s v="USD$"/>
    <n v="67.72"/>
    <s v="B2G"/>
    <s v="July"/>
    <n v="2021"/>
    <s v="Raytheon Missiles &amp; Defense, Marlborough, Massachusetts, was awarded a $67,723,503 cost-plus fixed-fee modification to previously-awarded contract N00024-19-C-5501 for AN/SPY-6(V) integration and production support efforts. This modification includes options which, if exercised, would bring the cumulative value of this modification to $781,000,000. Work will be performed in Marlborough, Massachusetts (54%); Pascagoula, Mississippi (11%); Moorestown, New Jersey (10%); Newport News, Virginia (6%)’ Kauai, Hawaii (5%); Wallops Island, Virginia (4%); Fair Lakes, Virginia (4%); Chesapeake, Virginia (2%); Bath, Maine (2%); Portsmouth, Rhode Island (1%); and San Diego, California (1%), and is expected to be completed by December 2021. If all options are exercised, work will continue through November 2024. Fiscal 2021 research, development, test and evaluation (Navy) funds in the amount of $16,126,410 (44%); fiscal 2020 shipbuilding and conversion (Navy) funds in the amount of $6,941,141 (19%); fiscal 2017 shipbuilding and conversion (Navy) funds in the amount of $6,147,355 (17%); fiscal 2021 operation and maintenance (Navy) funds in the amount of $3,885,854 (10%); fiscal 2016 shipbuilding and conversion (Navy) funds in the amount of $2,325,767 (6%); and fiscal 2021 shipbuilding and conversions (Navy) funds in the amount of $1,390,814 (4%) will be obligated at time of award, of which funds in the amount of $3,885,854 will expire at the end of the current fiscal year. The Naval Sea Systems Command, Washington D.C., is the contracting activity. (Awarded July 13, 2021)"/>
    <m/>
    <s v="https://www.defense.gov/News/Contracts/Contract/Article/2697938/"/>
  </r>
  <r>
    <x v="0"/>
    <x v="0"/>
    <s v="Navy"/>
    <x v="0"/>
    <x v="0"/>
    <s v="Indigenous"/>
    <x v="0"/>
    <x v="20"/>
    <s v="Other Surface Combatants"/>
    <s v="LCS 2"/>
    <s v="LCS 2"/>
    <s v="Crewed"/>
    <x v="55"/>
    <x v="0"/>
    <n v="71"/>
    <s v="Unknown"/>
    <s v="Confirmed"/>
    <n v="76.28"/>
    <s v="USD$"/>
    <n v="76.28"/>
    <s v="B2G"/>
    <s v="July"/>
    <n v="2021"/>
    <s v="Wartsila Defense Inc., Chesapeake, Virginia, is awarded a not-to-exceed $76,276,583 indefinite-delivery/indefinite-quantity, firm-fixed-price contract (N66498-21-D-4041) for the repair of Independence Littoral Combat Ship (LCS 2) variant waterjet and shaft assemblies. Work will be completed at the contractor’s facility in Chesapeake, Virginia, and is expected to be completed by July 2027. The contract will have a 60-month ordering period. Fiscal 2021 operation and maintenance, (Navy) funding in the total amount of $757,768 will be obligated at time of award and will expire at the end of the current fiscal year. This contract was not competitively procured in accordance with 10 U.S. Code 2304(c)(1) — only one responsible source and no other supplies or services will satisfy agency requirements. The Naval Surface Warfare Center, Philadelphia Division, Philadelphia, Pennsylvania, is the contracting activity."/>
    <m/>
    <s v="https://www.defense.gov/News/Contracts/Contract/Article/2711345/"/>
  </r>
  <r>
    <x v="0"/>
    <x v="0"/>
    <s v="Navy"/>
    <x v="0"/>
    <x v="0"/>
    <s v="Indigenous"/>
    <x v="1"/>
    <x v="1"/>
    <s v="Fighter"/>
    <s v="F-5 F/N aircraft"/>
    <s v="F-5 F/N aircraft"/>
    <s v="Crewed"/>
    <x v="56"/>
    <x v="0"/>
    <n v="17"/>
    <s v="Unknown"/>
    <s v="Confirmed"/>
    <n v="98"/>
    <s v="USD$"/>
    <n v="98"/>
    <s v="B2G"/>
    <s v="July"/>
    <n v="2021"/>
    <s v="PAE Aviation and Technical Services LLC, Arlington, Virginia, is awarded a $98,000,000 firm-fixed-price, cost reimbursable, cost-plus-fixed-fee, indefinite-delivery/indefinite-quantity contract. This contract provides organizational, selected intermediate, limited depot level maintenance and logistics support services for the F-5 F/N aircraft. Work will be performed at Naval Air Station (NAS) Key West, Florida (32%); NAS Fallon, Nevada (30%); Marine Corps Air Station, Yuma, Arizona (25%); and NAS Joint Reserve Base New Orleans, Louisiana (13%), and is expected to be completed in January 2023. No funds will be obligated at the time of award. Funds will be obligated on individual orders as they are issued.  This contract was not competitively procured pursuant to Federal Acquisition Regulation 6.302-1. The Naval Air Warfare Center Aircraft Division, Patuxent River, Maryland, is the contracting activity (N0042121D0036)."/>
    <m/>
    <s v="https://www.defense.gov/News/Contracts/Contract/Article/2713104/"/>
  </r>
  <r>
    <x v="0"/>
    <x v="0"/>
    <s v="Army"/>
    <x v="0"/>
    <x v="0"/>
    <s v="Indigenous"/>
    <x v="4"/>
    <x v="23"/>
    <s v="Ammunition"/>
    <s v="M795 TNT"/>
    <s v="M795 TNT"/>
    <s v="Crewed"/>
    <x v="57"/>
    <x v="1"/>
    <n v="60"/>
    <s v="Unknown"/>
    <s v="Confirmed"/>
    <n v="59.25"/>
    <s v="USD$"/>
    <n v="59.25"/>
    <s v="B2G"/>
    <s v="July"/>
    <n v="2021"/>
    <s v="American Ordnance LLC, Middletown, Iowa, was awarded a $59,253,922 modification (P00001) to contract W52P1J-20-C-0035 for M795 TNT. Work will be performed in Middletown, Iowa, with an estimated completion date of July 31, 2026. Fiscal 2019, 2020 and 2021 procurement of ammunition, Army funds in the amount of $59,253,922 were obligated at the time of the award. U.S. Army Contracting Command, Rock Island Arsenal, Illinois, is the contracting activity."/>
    <m/>
    <s v="https://www.defense.gov/News/Contracts/Contract/Article/2714840/"/>
  </r>
  <r>
    <x v="0"/>
    <x v="0"/>
    <s v="Air Force"/>
    <x v="0"/>
    <x v="0"/>
    <s v="Indigenous"/>
    <x v="1"/>
    <x v="1"/>
    <s v="Target Drone"/>
    <s v="Lots 17-21 production"/>
    <s v="Lots 17-21 production"/>
    <s v="Uncrewed"/>
    <x v="58"/>
    <x v="0"/>
    <n v="76"/>
    <s v="Unknown"/>
    <s v="Confirmed"/>
    <n v="338.1"/>
    <s v="USD$"/>
    <n v="338.1"/>
    <s v="B2G"/>
    <s v="August"/>
    <n v="2021"/>
    <s v="Kratos Unmanned Aerial Systems Inc., Sacramento, California, has been awarded a $338,071,466 firm fixed-price, cost-plus-fixed-fee and time-and-material contract for Lots 17-21 production, out-of-warranty-repairs, and contractor logistics support. Work will be performed in Sacramento, California, and is expected to be completed by Dec. 31, 2027. This award is the result of a sole-source acquisition, and fiscal 2021 procurement (3010) funds in the amount of $30,499,362 were obligated at the time of award. Air Force Life Cycle Management Center, Eglin Air Force Base, Florida is the contracting activity (FA8678-21-D-0001)."/>
    <m/>
    <s v="https://www.defense.gov/News/Contracts/Contract/Article/2722997/"/>
  </r>
  <r>
    <x v="0"/>
    <x v="0"/>
    <s v="Army"/>
    <x v="0"/>
    <x v="0"/>
    <s v="Indigenous"/>
    <x v="1"/>
    <x v="17"/>
    <s v="Rotary Wing Transport"/>
    <s v="Black Hawk"/>
    <s v="Black Hawk"/>
    <s v="Crewed"/>
    <x v="19"/>
    <x v="0"/>
    <n v="59"/>
    <s v="Unknown"/>
    <s v="Confirmed"/>
    <n v="116.51"/>
    <s v="USD$"/>
    <n v="116.51"/>
    <s v="B2G"/>
    <s v="August"/>
    <n v="2021"/>
    <s v="Sikorsky Aircraft Corp., Stratford, Connecticut, was awarded a $116,512,253 firm-fixed-price contract for maintenance and overhaul of the Black Hawk main rotor blade. Bids were solicited via the internet with one received. Work locations and funding will be determined with each order, with an estimated completion date of Aug. 15, 2026. Army Contract Command, Redstone Arsenal, Alabama, is the contracting activity (W58RGZ-21-D-0078)."/>
    <m/>
    <s v="https://www.defense.gov/News/Contracts/Contract/Article/2733362/"/>
  </r>
  <r>
    <x v="0"/>
    <x v="0"/>
    <s v="Army"/>
    <x v="0"/>
    <x v="0"/>
    <s v="Indigenous"/>
    <x v="1"/>
    <x v="17"/>
    <s v="Rotary Wing Attack"/>
    <s v="Apache AH-64"/>
    <s v="Apache AH-64"/>
    <s v="Crewed"/>
    <x v="34"/>
    <x v="5"/>
    <n v="53"/>
    <s v="Unknown"/>
    <s v="Confirmed"/>
    <n v="487"/>
    <s v="USD$"/>
    <n v="487"/>
    <s v="B2G"/>
    <s v="August"/>
    <n v="2021"/>
    <s v="The Boeing Co., Mesa, Arizona, was awarded a $487,000,000 cost-plus-fixed-fee contract for Apache AH-64 engineering services and technical support. Bids were solicited via the internet with one received. Work locations and funding will be determined with each order, with an estimated completion date of Feb. 6, 2026. U.S. Army Contracting Command, Redstone Arsenal, Alabama, is the contracting activity (W58RGZ-21-D-0077)."/>
    <m/>
    <s v="https://www.defense.gov/News/Contracts/Contract/Article/2741226/"/>
  </r>
  <r>
    <x v="0"/>
    <x v="0"/>
    <s v="Air Force"/>
    <x v="0"/>
    <x v="0"/>
    <s v="Indigenous"/>
    <x v="5"/>
    <x v="5"/>
    <s v="Other"/>
    <s v="Avionics Systems"/>
    <s v="Avionics Systems"/>
    <s v="Not Applicable"/>
    <x v="59"/>
    <x v="2"/>
    <n v="83"/>
    <s v="Not applicable"/>
    <s v="Confirmed"/>
    <n v="200"/>
    <s v="USD$"/>
    <n v="200"/>
    <s v="B2G"/>
    <s v="August"/>
    <n v="2021"/>
    <s v="Booz Allen Hamilton Inc., McLean, Virginia, was awarded a $200,000,000 multiple award, indefinite-delivery/indefinite-quantity contract with cost-plus-fixed-fee task orders for research and development. This contract provides for innovative research and development in order to identify, mitigate and protect avionics systems against cyber‐attack, and prototype agile, next‐generation platform and system of systems architectures to enable rapid integration and fielding of enhanced mission system capability. The location of performance is Beavercreek, Ohio, and work is expected to be completed by Aug. 23, 2028. This award is the result of a competitive acquisition and three offers were received. The Air Force Research Lab, Wright-Patterson Air Force Base, Ohio, is the contracting activity (FA8650-21-D-1006)."/>
    <m/>
    <s v="https://www.defense.gov/News/Contracts/Contract/Article/2744379/"/>
  </r>
  <r>
    <x v="0"/>
    <x v="0"/>
    <s v="Air Force"/>
    <x v="0"/>
    <x v="0"/>
    <s v="Indigenous"/>
    <x v="5"/>
    <x v="5"/>
    <s v="Other"/>
    <s v="Avionics Systems"/>
    <s v="Avionics Systems"/>
    <s v="Not Applicable"/>
    <x v="60"/>
    <x v="2"/>
    <n v="83"/>
    <s v="Not applicable"/>
    <s v="Confirmed"/>
    <n v="200"/>
    <s v="USD$"/>
    <n v="200"/>
    <s v="B2G"/>
    <s v="August"/>
    <n v="2021"/>
    <s v="Ball Aerospace &amp; Technologies Corp., Boulder, Colorado, was awarded a $200,000,000 multiple award, indefinite-delivery/indefinite-quantity contract with cost-plus-fixed-fee task orders for research and development. This contract provides for innovative research and development in order to identify, mitigate and protect avionics systems against cyber‐attack, and prototype agile, next‐generation platform and system of systems architectures to enable rapid integration and fielding of enhanced mission system capability. The location of performance is Wright-Patterson Air Force Base, Ohio, and work is expected to be completed by Aug. 23, 2028. This award is the result of a competitive acquisition and three offers were received. The Air Force Research Lab, Wright-Patterson Air Force Base, Ohio, is the contracting activity (FA8650-21-D-1004)."/>
    <m/>
    <s v="https://www.defense.gov/News/Contracts/Contract/Article/2744379/"/>
  </r>
  <r>
    <x v="0"/>
    <x v="0"/>
    <s v="Foreign Assistance"/>
    <x v="0"/>
    <x v="0"/>
    <s v="Indigenous"/>
    <x v="5"/>
    <x v="7"/>
    <s v="Other"/>
    <s v="Meter Persistent Surveillance Systems-Tethered"/>
    <s v="Meter Persistent Surveillance Systems-Tethered"/>
    <s v="Uncrewed"/>
    <x v="61"/>
    <x v="1"/>
    <n v="66"/>
    <s v="Not applicable"/>
    <s v="Confirmed"/>
    <n v="217.27"/>
    <s v="USD$"/>
    <n v="217.27"/>
    <s v="B2G"/>
    <s v="August"/>
    <n v="2021"/>
    <s v="TCOM L.P., Columbia, Maryland, was awarded a $217,270,662 firm-fixed-price contract for Meter Persistent Surveillance Systems-Tethered. Bids were solicited via the internet with one received. Work will be performed in Elizabeth City, North Carolina, with an estimated completion date of March 23, 2027. Fiscal 2021 Foreign Military Sales (Saudi Arabia) funds in the amount of $217,270,662 were obligated at the time of the award. U.S. Army Contracting Command, Aberdeen Proving Ground, Maryland, is the contracting activity (W56KGY-21-C-0021)."/>
    <m/>
    <s v="https://www.defense.gov/News/Contracts/Contract/Article/2749660/"/>
  </r>
  <r>
    <x v="0"/>
    <x v="0"/>
    <s v="Army"/>
    <x v="0"/>
    <x v="0"/>
    <s v="Indigenous"/>
    <x v="1"/>
    <x v="17"/>
    <s v="Rotary Wing Transport"/>
    <s v="UH-60M"/>
    <s v="UH-60M Black Hawks"/>
    <s v="Crewed"/>
    <x v="19"/>
    <x v="1"/>
    <n v="10"/>
    <s v="Unknown"/>
    <s v="Confirmed"/>
    <n v="53.9"/>
    <s v="USD$"/>
    <n v="53.9"/>
    <s v="B2G"/>
    <s v="August"/>
    <n v="2021"/>
    <s v="Sikorsky Aircraft Corp., Stratford, Connecticut, was awarded a $53,895,498 modification (P00197) to contract W58RGZ-17-C-0009 for production of UH-60M Black Hawks. Work will be performed in Stratford, Connecticut, with an estimated completion date of June 30, 2022. Fiscal 2022 special funds in the amount of $53,895,498 were obligated at the time of the award. U.S. Army Contracting Command, Redstone Arsenal, Alabama, is the contracting activity."/>
    <m/>
    <s v="https://www.defense.gov/News/Contracts/Contract/Article/2749660/"/>
  </r>
  <r>
    <x v="0"/>
    <x v="0"/>
    <s v="Air Force"/>
    <x v="0"/>
    <x v="0"/>
    <s v="Indigenous"/>
    <x v="4"/>
    <x v="28"/>
    <s v="Air-to-Air"/>
    <s v="AMRAAM Production Lot 35 CATM"/>
    <s v="AMRAAM Production Lot 35 CATM"/>
    <s v="Uncrewed"/>
    <x v="62"/>
    <x v="1"/>
    <n v="32"/>
    <s v="Unknown"/>
    <s v="Confirmed"/>
    <n v="77.11"/>
    <s v="USD$"/>
    <n v="77.11"/>
    <s v="B2G"/>
    <s v="August"/>
    <n v="2021"/>
    <s v="Raytheon Missiles and Defense, Tucson, Arizona, was awarded a $77,107,920 non-competitive fixed-price incentive (firm) modification (P00007) to previously awarded contract FA8675-21-C-0034 for Advanced Medium Range Air-to-Air Missile (AMRAAM) Production Lot 35 Captive Air Training Missiles (CATM) and CATM guidance sections. Work will be performed in Tucson, Arizona, and is expected to be completed by April 30, 2024. Fiscal 2021 Air Force missile procurement funds in the amount of $17,593,520; fiscal 2021 Air Force operation and maintenance funds in the amount of $37,522,500; fiscal 2020 Navy weapons procurement funds in the amount of $11,875,626; and fiscal 2021 Navy weapons procurement funds in the amount of $10,116,274 are being obligated at the time of award. Air Force Life Cycle Management Center (AFLCMC), Air Dominance Division Contracting Office, Eglin Air Force Base, Florida, is the contracting activity."/>
    <m/>
    <s v="https://www.defense.gov/News/Contracts/Contract/Article/2753797/"/>
  </r>
  <r>
    <x v="0"/>
    <x v="0"/>
    <s v="Navy"/>
    <x v="0"/>
    <x v="0"/>
    <s v="Indigenous"/>
    <x v="1"/>
    <x v="1"/>
    <s v="Fighter"/>
    <s v="F/A-18"/>
    <s v="F414 Engines"/>
    <s v="Crewed"/>
    <x v="54"/>
    <x v="0"/>
    <n v="59"/>
    <s v="Unknown"/>
    <s v="Confirmed"/>
    <n v="1650"/>
    <s v="USD$"/>
    <n v="1650"/>
    <s v="B2G"/>
    <s v="September"/>
    <n v="2021"/>
    <s v="General Electric Aviation, Lynn, Massachusetts, is awarded a not-to-exceed $1,650,000,000 firm-fixed-price, indefinite-delivery, performance-based logistics requirements contract for the repair, upgrade or replacement, inventory management, and required supply response times of 17 F414 engine components in support of the F/A-18 aircraft. The contract will include a five-year base period with no options. Work will be performed in Lynn, Massachusetts (90%); and Jacksonville, Florida (10%). Work is expected to be completed by August 2026. Annual working capital funds (Navy) in the amount of $77,100,000 will be issued for delivery order (N00383-21-F-0ZN0) that will be awarded concurrently with the contract and will initially be obligated at the time of award as an undefinitized contract action, with a commitment of an additional $25,700,000 for period of performance from Sept. 1, 2021, through Dec. 21 2021.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1-D-ZN01)."/>
    <m/>
    <s v="https://www.defense.gov/News/Contracts/Contract/Article/2762096/"/>
  </r>
  <r>
    <x v="0"/>
    <x v="0"/>
    <s v="Air Force"/>
    <x v="0"/>
    <x v="0"/>
    <s v="Indigenous"/>
    <x v="4"/>
    <x v="25"/>
    <s v="Guided Bomb"/>
    <s v="B61-12 Tail Kit Assembly "/>
    <s v="B61-12 Tail Kit Assembly "/>
    <s v="Uncrewed"/>
    <x v="34"/>
    <x v="0"/>
    <n v="60"/>
    <s v="Unknown"/>
    <s v="Confirmed"/>
    <n v="79.099999999999994"/>
    <s v="USD$"/>
    <n v="79.099999999999994"/>
    <s v="B2G"/>
    <s v="September"/>
    <n v="2021"/>
    <s v="The Boeing Co., St. Louis, Missouri, has been awarded a $79,100,000 indefinite-delivery/indefinite-quantity contract for B61-12 Tail Kit Assembly (TKA) surveillance and sustainment support. This contract provides the government with engineering services and technical expertise as needed across various disciplines for B61-12 TKA support. Work will be performed in St. Louis, Missouri, and is expected to be completed by Sept. 14, 2026. This contract includes Foreign Military Sales to NATO members that are to be determined. This award is the result of a sole source acquisition. Fiscal 2021 operations and maintenance funds in the amount of $352,045 are being obligated at the time of award in the initial task order. Air Force Nuclear Weapons Center, Kirtland Air Force Base, New Mexico, is the contracting activity (FA9422-21-D-0001)."/>
    <m/>
    <s v="https://www.defense.gov/News/Contracts/Contract/Article/2774421/"/>
  </r>
  <r>
    <x v="0"/>
    <x v="0"/>
    <s v="Air Force"/>
    <x v="0"/>
    <x v="0"/>
    <s v="Indigenous"/>
    <x v="4"/>
    <x v="25"/>
    <s v="Guided Bomb"/>
    <s v="GBU-57"/>
    <s v="GBU-57"/>
    <s v="Uncrewed"/>
    <x v="34"/>
    <x v="1"/>
    <n v="55"/>
    <s v="Unknown"/>
    <s v="Confirmed"/>
    <n v="70"/>
    <s v="USD$"/>
    <n v="70"/>
    <s v="B2G"/>
    <s v="September"/>
    <n v="2021"/>
    <s v="The Boeing Corp., St. Louis, Missouri, has been awarded a $70,000,000 indefinite-delivery/indefinite-quantity contract for GBU-57 Massive Ordnance Penetrators. This contract provides for the procurement via delivery order of GBU-57 Massive Ordnance Penetrator carriage and release equipment. The location of performance is Saint Charles, Missouri, and work is expected to be completed by April 30, 2026. This award is the result of a sole source acquisition. Fiscal 2019 3011 (production) funds in the amount of $18,025,770 are being obligated at the time of award. Air Force Life Cycle Management Center, Eglin Air Force Base, Florida, is the contracting activity (FA8681-19-D-0008)."/>
    <m/>
    <s v="https://www.defense.gov/News/Contracts/Contract/Article/2777767/"/>
  </r>
  <r>
    <x v="0"/>
    <x v="0"/>
    <s v="Air Force"/>
    <x v="0"/>
    <x v="0"/>
    <s v="Indigenous"/>
    <x v="4"/>
    <x v="28"/>
    <s v="Ballistic Missile"/>
    <s v="Minuteman III ICBM"/>
    <s v="Minuteman III ICBM"/>
    <s v="Uncrewed"/>
    <x v="34"/>
    <x v="0"/>
    <n v="216"/>
    <s v="Unknown"/>
    <s v="Confirmed"/>
    <n v="1620.7"/>
    <s v="USD$"/>
    <n v="1620.7"/>
    <s v="B2G"/>
    <s v="September"/>
    <n v="2021"/>
    <s v="The Boeing Co., Newark, Ohio, has been awarded a $1,620,707,490 indefinite-delivery/indefinite-quantity contract for missile guidance repair. This contract will repair the Minuteman III Intercontinental Ballistic Missile (ICBM) missile guidance set. Work will be performed in Newark, Ohio, and is expected to be completed by Sept. 27, 2039. This award is the result of a sole-source acquisition. Fiscal 2021 operation and maintenance funds in the amount of $32,486,160 are being obligated at the time of award. The Air Force Nuclear Weapons Center, Hill Air Force Base, Utah, is the contracting activity (FA821421D0003)."/>
    <m/>
    <s v="https://www.defense.gov/News/Contracts/Contract/Article/2780513/"/>
  </r>
  <r>
    <x v="0"/>
    <x v="0"/>
    <s v="Army"/>
    <x v="0"/>
    <x v="0"/>
    <s v="Indigenous"/>
    <x v="2"/>
    <x v="15"/>
    <s v="Not Applicable"/>
    <s v="Aircraft maintenance hangar construction"/>
    <s v="Aircraft maintenance hangar construction"/>
    <s v="Not Applicable"/>
    <x v="63"/>
    <x v="1"/>
    <n v="37"/>
    <s v="Not applicable"/>
    <s v="Confirmed"/>
    <n v="76.599999999999994"/>
    <s v="USD$"/>
    <n v="76.599999999999994"/>
    <s v="B2G"/>
    <s v="September"/>
    <n v="2021"/>
    <s v="Hensel Phelps Construction Co., Honolulu, Hawaii, was awarded a $76,594,000 firm-fixed-price contract for aircraft maintenance hangar construction. Bids were solicited via the internet with six received. Work will be performed at Wheeler Army Airfield, Hawaii, with an estimated completion date of Oct. 31, 2024. Fiscal 2021 military construction, Army funds in the amount of $76,594,000 were obligated at the time of the award. U.S. Army Corps of Engineers, Honolulu, Hawaii, is the contracting activity (W9128A-21-C-0007)."/>
    <m/>
    <s v="https://www.defense.gov/News/Contracts/Contract/Article/2783328/"/>
  </r>
  <r>
    <x v="0"/>
    <x v="0"/>
    <s v="Army"/>
    <x v="0"/>
    <x v="0"/>
    <s v="Indigenous"/>
    <x v="1"/>
    <x v="17"/>
    <s v="Rotary Wing Attack"/>
    <s v="AH-64 Apache helicopter"/>
    <s v="AH-64 Apache helicopter"/>
    <s v="Crewed"/>
    <x v="64"/>
    <x v="1"/>
    <n v="59"/>
    <s v="Unknown"/>
    <s v="Confirmed"/>
    <n v="75.98"/>
    <s v="USD$"/>
    <n v="75.98"/>
    <s v="B2G"/>
    <s v="September"/>
    <n v="2021"/>
    <s v="EFW Inc., Fort Worth, Texas, has been awarded a maximum $75,984,294 firm-fixed-price, indefinite-delivery/indefinite-quantity contract for Integrated Helmet and Display Sight System spares that support the AH-64 Apache helicopter. This was a sole-source acquisition using justification 10 U.S. Code 2304 (c)(1), as stated in Federal Acquisition Regulation 6.302-1. This is a five-year contract with no option periods. Locations of performance are Texas and Israel, with a Sept. 21, 2026, performance completion date. Using military service is Army. Type of appropriation is fiscal 2021 through 2026 Army working capital funds. The contracting activity is the Defense Logistics Agency Land and Maritime, Warren, Michigan (SPRDL1-21-D-0044)."/>
    <m/>
    <s v="https://www.defense.gov/News/Contracts/Contract/Article/2785412/"/>
  </r>
  <r>
    <x v="0"/>
    <x v="0"/>
    <s v="Navy"/>
    <x v="0"/>
    <x v="0"/>
    <s v="Indigenous"/>
    <x v="1"/>
    <x v="17"/>
    <s v="Rotary Wing Maritime"/>
    <s v="Navy’s H-60 Seahawk and the Marine Corp’s AH-1 Cobra helicopters"/>
    <s v="Navy’s H-60 Seahawk and the Marine Corp’s AH-1 Cobra helicopters"/>
    <s v="Crewed"/>
    <x v="54"/>
    <x v="0"/>
    <n v="59"/>
    <n v="2"/>
    <s v="Confirmed"/>
    <n v="131.6"/>
    <s v="USD$"/>
    <n v="131.6"/>
    <s v="B2G"/>
    <s v="October"/>
    <n v="2021"/>
    <s v="General Electric Aviation, Lynn, Massachusetts, is awarded a not-to-exceed $131,600,000 firm-fixed-price, indefinite delivery, performance-based logistics requirements contract for the repair, upgrade or replacement; inventory management; and required supply response times of two T-700 engine components in support of the Navy’s H-60 Seahawk and the Marine Corp’s AH-1 Cobra helicopters. The contract will include a five-year base period with no options. Work will be performed in Lynn, Massachusetts (50%); and Arkansas City, Kansas (50%). Work is expected to be completed by September 2026. No funds will be obligated at time of award. Annual working capital funds (Navy) will be used as delivery orders are issued. Funds will not expire at the end of the current fiscal year. One company was solicited for this non-competitive requirement pursuant to the authority set forth in 10 U.S. Code 2304 (c)(1), in accordance with Defense Federal Acquisition Regulation 6.302-1, with one offer received. Naval Supply Systems Command Weapon Systems Support, Philadelphia, Pennsylvania, is the contracting activity (N00383-22-D-ZU01)."/>
    <m/>
    <s v="https://www.defense.gov/News/Contracts/Contract/Article/2796431/"/>
  </r>
  <r>
    <x v="0"/>
    <x v="0"/>
    <s v="Air Force"/>
    <x v="0"/>
    <x v="0"/>
    <s v="Indigenous"/>
    <x v="7"/>
    <x v="29"/>
    <s v="Not Applicable"/>
    <s v="TFTS SES"/>
    <s v="TFTS SES"/>
    <s v="Not Applicable"/>
    <x v="65"/>
    <x v="0"/>
    <n v="119"/>
    <s v="Unknown"/>
    <s v="Confirmed"/>
    <n v="99.99"/>
    <s v="USD$"/>
    <n v="99.99"/>
    <s v="B2G"/>
    <s v="October"/>
    <n v="2021"/>
    <s v="Amherst Systems Inc., Buffalo, New York, has been awarded a $99,990,000 indefinite-delivery/indefinite-quantity contract (FA2487-21-D-0014) for Test Facilities Threat Simulators (TFTS) sustaining engineering services (SES) support; and a $530,744 task order (FA2487-21-F-1017) for the 36th Electronic Warfare Squadron TFTS SES support. The contract provides for the sustainment of Radio Frequency Threat Simulators in support of the Air Force Test Center electronic warfare mission. Work will be performed in Buffalo, New York, and is expected to be completed by Sept. 30, 2031. This award is the result of a sole-source acquisition. Fiscal 2020 research, development, test and evaluation appropriations in the amount of $353,851; and fiscal 2021 operation and maintenance appropriations in the amount of $172,898 are being obligated at the time of award. Air Force Test Center, Eglin Air Force Base, Florida, is the contracting activity. (Awarded Sept. 30, 2021)"/>
    <m/>
    <s v="https://www.defense.gov/News/Contracts/Contract/Article/2796431/"/>
  </r>
  <r>
    <x v="0"/>
    <x v="0"/>
    <s v="Air Force"/>
    <x v="0"/>
    <x v="0"/>
    <s v="Indigenous"/>
    <x v="7"/>
    <x v="29"/>
    <s v="Not Applicable"/>
    <s v="MQ-9 aircrew training and courseware development"/>
    <s v="MQ-9 aircrew training and courseware development"/>
    <s v="Uncrewed"/>
    <x v="66"/>
    <x v="4"/>
    <n v="11"/>
    <s v="Not applicable"/>
    <s v="Confirmed"/>
    <n v="51.66"/>
    <s v="USD$"/>
    <n v="51.66"/>
    <s v="B2G"/>
    <s v="October"/>
    <n v="2021"/>
    <s v="Crew Training International Inc., Memphis, Tennessee, has been awarded a $51,657,166 firm-fixed-price modification (P00027) to previously awarded FA4890-19-C-0003 for the MQ-9 aircrew training and courseware development contract. Fiscal 2022 operation and maintenance funds in the amount of $51,657,166 are being obligated at the time of award. Work will be performed at Creech Air Force Base, Nevada; Holloman Air Force Base, New Mexico; March Air Reserve Base, California; and Hancock Air National Guard Base, New York, and is expected to be completed by Sept. 30, 2022. The contract modification provides for the exercise of Option Year Three, and brings the total cumulative face value of the contract to $242,498,528. Headquarters Air Combat Command Acquisition Management &amp; Integration Center, Joint Base Langley-Eustis, Virginia, is the contracting activity. "/>
    <m/>
    <s v="https://www.defense.gov/News/Contracts/Contract/Article/2796431/"/>
  </r>
  <r>
    <x v="0"/>
    <x v="0"/>
    <s v="Navy"/>
    <x v="0"/>
    <x v="0"/>
    <s v="Indigenous"/>
    <x v="5"/>
    <x v="11"/>
    <s v="Other"/>
    <s v="Engineering support"/>
    <s v="Engineering support"/>
    <s v="Optional"/>
    <x v="8"/>
    <x v="0"/>
    <n v="59"/>
    <s v="Not applicable"/>
    <s v="Confirmed"/>
    <n v="154.1"/>
    <s v="USD$"/>
    <n v="154.1"/>
    <s v="B2G"/>
    <s v="October"/>
    <n v="2021"/>
    <s v="BAE Systems Technology Solutions and Services Inc., Rockville, Maryland, is awarded a $154,107,055 cost-plus-fixed-fee, cost-reimbursable, indefinite-delivery/indefinite-quantity contract. This contract provides engineering support for the rapid integration of command, control, communications, computers, combat systems, intelligence, surveillance, and reconnaissance systems onboard small and large craft, commercial and militarized vehicles, transit cases, mobile communications, fixed base stations, command centers, and intelligence systems in support of the Naval Air Warfare Center Aircraft Division, Webster Outlying Field, Special Communications Mission Solutions Division. Work will be performed in St. Inigoes, Maryland (56%); and Jacksonville, Florida (44%), and is expected to be completed in October 2026. No funds will be obligated at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1). "/>
    <m/>
    <s v="https://www.defense.gov/News/Contracts/Contract/Article/2815782/"/>
  </r>
  <r>
    <x v="0"/>
    <x v="0"/>
    <s v="Air Force"/>
    <x v="0"/>
    <x v="0"/>
    <s v="Indigenous"/>
    <x v="5"/>
    <x v="7"/>
    <s v="Integrated C4ISR System"/>
    <s v="RQ-4 Global Hawk aircraft sustainment"/>
    <s v="RQ-4 Global Hawk aircraft sustainment"/>
    <s v="Uncrewed"/>
    <x v="4"/>
    <x v="0"/>
    <n v="27"/>
    <s v="Unknown"/>
    <s v="Confirmed"/>
    <n v="108.84"/>
    <s v="USD$"/>
    <n v="108.84"/>
    <s v="B2G"/>
    <s v="October"/>
    <n v="2021"/>
    <s v="Northrop Grumman Systems Corp., Sierra Vista, Arizona, has been awarded a not-to-exceed $108,843,273 bilateral modification (P00009) to previously awarded undefinitized contract action FA8690-21-C-1001 for RQ-4 Global Hawk aircraft sustainment. The modification provides for a second year of contractor logistics support services. Work will be performed in the Republic of Korea, and Sierra Vista, Arizona, and is expected to be completed by Feb. 29, 2024. Foreign military sale funds in the amount of $22,888,481 are being obligated at the time of award, and the total cumulative face value of the contract is $267,233,297. Air Force Life Cycle Management Center, Wright-Patterson Air Force Base, Ohio, is the contracting activity."/>
    <m/>
    <s v="https://www.defense.gov/News/Contracts/Contract/Article/2827649/"/>
  </r>
  <r>
    <x v="0"/>
    <x v="0"/>
    <s v="Air Force"/>
    <x v="0"/>
    <x v="0"/>
    <s v="Indigenous"/>
    <x v="1"/>
    <x v="1"/>
    <s v="Fighter"/>
    <s v="F-22 Raptor "/>
    <s v="F-22 Raptor "/>
    <s v="Crewed"/>
    <x v="13"/>
    <x v="0"/>
    <n v="119"/>
    <s v="Unknown"/>
    <s v="Confirmed"/>
    <n v="10863"/>
    <s v="USD$"/>
    <n v="10863"/>
    <s v="B2G"/>
    <s v="November"/>
    <n v="2021"/>
    <s v="Lockheed Martin Corp., Fort Worth, Texas, has been awarded a $10,863,000,000 indefinite-delivery/indefinite-quantity contract for Advanced Raptor Enhancement &amp; Sustainment (ARES) for the F-22 Program Office. This contract vehicle provides support for the necessary supplies and services to sustain and modernize the F-22 Raptor, including modernization hardware kit procurement and services such as upgrades, enhancements and fixes, as well as performance-based logistics services. The location of performance is Fort Worth, Texas, and if all options are utilized, work is expected to be completed by Oct. 31, 2031. This award is the result of a sole source acquisition. Fiscal 2021 research, development, test, and evaluation funds in the amount of $200,000 are being obligated on the first delivery order at the time of award. Air Force Life Cycle Management Center, Wright Patterson Air Force Base, Ohio, is the contracting activity (FA8611-22-D-0001). There is known congressional interest pertaining to this acquisition."/>
    <m/>
    <s v="https://www.defense.gov/News/Contracts/Contract/Article/2835747/"/>
  </r>
  <r>
    <x v="0"/>
    <x v="0"/>
    <s v="Air Force"/>
    <x v="0"/>
    <x v="0"/>
    <s v="Indigenous"/>
    <x v="4"/>
    <x v="28"/>
    <s v="Air-to-Surface"/>
    <s v="Lot 20 Joint Air-to-Surface Standoff Missile – Extended Range missiles with containers"/>
    <s v="Lot 20 Joint Air-to-Surface Standoff Missile – Extended Range missiles with containers"/>
    <s v="Uncrewed"/>
    <x v="53"/>
    <x v="1"/>
    <n v="55"/>
    <n v="95"/>
    <s v="Confirmed"/>
    <n v="97.34"/>
    <s v="USD$"/>
    <n v="97.34"/>
    <s v="B2G"/>
    <s v="November"/>
    <n v="2021"/>
    <s v="Lockheed Martin Missiles and Fire Control, Orlando, Florida, has been awarded a $97,336,915 firm-fixed-price contract modification (P00007) to previously awarded contract FA8682-21-C-0001. The contract modification is for 94 Lot 20 Joint Air-to-Surface Standoff Missile – Extended Range missiles with containers. Work will be performed in Orlando, Florida; and Troy, Alabama, and is expected to be completed by June 30, 2026. This award is the result of a sole-source acquisition. Fiscal 2020-2022 missile procurement funds in the amount of $97,336,915 are being obligated at the time of award, and the total cumulative face value of the contract is $536,515,914. Air Force Life Cycle Management Center, Eglin Air Force Base, Florida, is the contracting activity."/>
    <m/>
    <s v="https://www.defense.gov/News/Contracts/Contract/Article/2835747/"/>
  </r>
  <r>
    <x v="0"/>
    <x v="0"/>
    <s v="Air Force"/>
    <x v="0"/>
    <x v="0"/>
    <s v="Indigenous"/>
    <x v="4"/>
    <x v="34"/>
    <s v="Heavy Weight Torpedo"/>
    <s v="MK 48 Mod 7"/>
    <s v="MK 48 Mod 7"/>
    <s v="Uncrewed"/>
    <x v="67"/>
    <x v="1"/>
    <n v="48"/>
    <s v="Unknown"/>
    <s v="Confirmed"/>
    <n v="105.67"/>
    <s v="USD$"/>
    <n v="105.67"/>
    <s v="B2G"/>
    <s v="November"/>
    <n v="2021"/>
    <s v="Lockheed Martin Sippican Inc., Marion, Massachusetts, is awarded a $105,668,584 firm-fixed-price modification to previously-awarded contract N00024-16-C-6412 to exercise options for the production of MK 48 Mod 7 guidance and control sections and MK 48 Mod 7 Common Broadband Advanced Sonar System kits. This modification is in support of the MK54 MOD 7 heavyweight torpedo program. Work will be performed in Syracuse, New York (60%); Clearwater, Florida (25%); Braintree, Massachusetts (10%); and Marion, Massachusetts (5%), and is expected to be completed by December 2025. Fiscal 2021 weapons procurement (Navy) in the amount of $105,668,584 will be obligated at time of award and will not expire at the end of the current fiscal year. The Naval Sea Systems Command, Washington, D.C., is the contracting activity. "/>
    <m/>
    <s v="https://www.defense.gov/News/Contracts/Contract/Article/2835747/"/>
  </r>
  <r>
    <x v="0"/>
    <x v="0"/>
    <s v="Navy"/>
    <x v="0"/>
    <x v="0"/>
    <s v="Indigenous"/>
    <x v="0"/>
    <x v="22"/>
    <s v="Nuclear-Powered Submarine"/>
    <s v="Virginia-class submarines"/>
    <s v="Virginia-class submarines"/>
    <s v="Crewed"/>
    <x v="9"/>
    <x v="2"/>
    <n v="35"/>
    <s v="Unknown"/>
    <s v="Estimated"/>
    <n v="66.64"/>
    <s v="USD$"/>
    <n v="66.64"/>
    <s v="B2G"/>
    <s v="November"/>
    <n v="2021"/>
    <s v="General Dynamics Electric Boat Corp., Groton, Connecticut, is awarded a not-to-exceed $66,637,726 undefinitized contract action modification to previously awarded contract N00024-20-C-2120 for lead yard support and development studies and design efforts related to Virginia-class submarines. Work will be performed in McLeansville, North Carolina (34%); Riviera Beach, Florida (26%); Annapolis, Maryland (21%); and Hanover, Maryland (19%), and is expected to be completed by November 2024. Fiscal 2022 research, development, test, and evaluation (Navy) $5,557,989 funding will be obligated at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Naval Sea Systems Command, Washington, D.C., is the contracting activity."/>
    <m/>
    <s v="https://www.defense.gov/News/Contracts/Contract/Article/2835747/"/>
  </r>
  <r>
    <x v="0"/>
    <x v="0"/>
    <s v="Army"/>
    <x v="0"/>
    <x v="0"/>
    <s v="Indigenous"/>
    <x v="1"/>
    <x v="1"/>
    <s v="ISR-Strike"/>
    <s v="Gray Eagle unmanned aircraft, satellite airborne data terminals, equipment maintenance"/>
    <s v="Gray Eagle unmanned aircraft, satellite airborne data terminals, equipment maintenance"/>
    <s v="Uncrewed"/>
    <x v="51"/>
    <x v="1"/>
    <n v="25"/>
    <s v="Unknown"/>
    <s v="Confirmed"/>
    <n v="103.2"/>
    <s v="USD$"/>
    <n v="103.2"/>
    <s v="B2G"/>
    <s v="November"/>
    <n v="2021"/>
    <s v="General Atomics Aeronautical Systems Inc., Poway, California, was awarded a $103,206,787 firm-fixed-price contract for the production of Gray Eagle unmanned aircraft systems, satellite airborne data terminals, and government furnished equipment maintenance. Bids were solicited via the internet with one received. Work will be performed in Poway, California, with an estimated completion date of Dec. 31, 2023. Fiscal 2021 aircraft procurement, Army funds in the amount of $103,206,787 were obligated at the time of the award. U.S. Army Contracting Command, Redstone Arsenal, Alabama is the contracting activity (W58RGZ-22-C-0014)."/>
    <m/>
    <s v="https://www.defense.gov/News/Contracts/Contract/Article/2848255/"/>
  </r>
  <r>
    <x v="0"/>
    <x v="0"/>
    <s v="Navy"/>
    <x v="0"/>
    <x v="0"/>
    <s v="Indigenous"/>
    <x v="1"/>
    <x v="1"/>
    <s v="Fighter"/>
    <s v="F/A-18C/D "/>
    <s v="F/A-18C/D "/>
    <s v="Crewed"/>
    <x v="0"/>
    <x v="3"/>
    <n v="15"/>
    <n v="19"/>
    <s v="Confirmed"/>
    <n v="63.1"/>
    <s v="USD$"/>
    <n v="63.1"/>
    <s v="B2G"/>
    <s v="November"/>
    <n v="2021"/>
    <s v="Raytheon Co., El Segundo, California, is awarded a $63,103,871 fixed-price-incentive-fee modification (P00011) to a previously awarded contract (N0001920C0001). This modification exercises options to procure 19 AN/APG-79(V)4 radar systems and associated software in support of radar retrofit and integration into the F/A-18C/D aircraft on behalf of the Marine Corps. Additionally, this modification provides engineering and obsolescence management support as well as associated technical, financial, and administrative data in support of the retrofit and integration effort. Work will be performed in Forest, Mississippi (41.1%); El Segundo, California (32.6%); Andover, Massachusetts (18.3%) and Dallas, Texas (8%), and is expected to be completed in March 2023. Fiscal 2022 aircraft procurement (Navy) funds in the amount of $63,103,871 will be obligated at time of award, none of which will expire at the end of the current fiscal year. The Naval Air Systems Command, Patuxent River, Maryland, is the contracting activity."/>
    <m/>
    <s v="https://www.defense.gov/News/Contracts/Contract/Article/2848255/"/>
  </r>
  <r>
    <x v="0"/>
    <x v="0"/>
    <s v="Air Force"/>
    <x v="0"/>
    <x v="0"/>
    <s v="Indigenous"/>
    <x v="4"/>
    <x v="28"/>
    <s v="Air-to-Ship"/>
    <s v="Lot Four and Five of Long Range Anti-Ship Missiles and tooling and test equipment"/>
    <s v="Lot Four and Five of Long Range Anti-Ship Missiles and tooling and test equipment"/>
    <s v="Uncrewed"/>
    <x v="53"/>
    <x v="1"/>
    <n v="45"/>
    <s v="Unknown"/>
    <s v="Confirmed"/>
    <n v="124.9"/>
    <s v="USD$"/>
    <n v="124.9"/>
    <s v="B2G"/>
    <s v="November"/>
    <n v="2021"/>
    <s v="Lockheed Martin Missiles and Fire Control, Orlando, Florida, has been awarded a $124,902,953 firm-fixed-price contract modification (P00007) to previously awarded contract FA8682-21-C-0004 for Lot Four and Five of Long Range Anti-Ship Missiles and tooling and test equipment. The contract modification provides for the purchase of an additional 42 Long Range Anti-Ship Missiles and 24 Weapons Data Links in support of Lot Six. Work will be performed in Orlando, Florida; and Troy, Alabama, and is expected to be completed by Sept. 22, 2025. This award is the result of a sole-source acquisition. Fiscal 2022 Navy weapons procurement funds in the amount of $124,902,953 are being obligated at time of modification award. The total cumulative face value of the contract is $549,674,649. Air Force Life Cycle Management Center, Eglin Air Force Base, Florida, is the contracting activity."/>
    <m/>
    <s v="https://www.defense.gov/News/Contracts/Contract/Article/2855927/"/>
  </r>
  <r>
    <x v="0"/>
    <x v="0"/>
    <s v="Army"/>
    <x v="0"/>
    <x v="0"/>
    <s v="Indigenous"/>
    <x v="7"/>
    <x v="29"/>
    <s v="Not Applicable"/>
    <s v="Cyber training platform"/>
    <s v="Cyber training platform"/>
    <s v="Not Applicable"/>
    <x v="47"/>
    <x v="4"/>
    <n v="95"/>
    <s v="Not applicable"/>
    <s v="Confirmed"/>
    <n v="957.7"/>
    <s v="USD$"/>
    <n v="957.7"/>
    <s v="B2G"/>
    <s v="November"/>
    <n v="2021"/>
    <s v="Cole Engineering Services Inc., Orlando, Florida, was awarded a $957,739,868 firm-fixed-price contract to provide cyber training platform capabilities, cyber acquisition blue team support, training content, training related event operations, training solutions and overall cyber training system architecture development and sustainment. Bids were solicited via the internet with five received. Work locations and funding will be determined with each order, with an estimated completion date of Nov. 29, 2029. U.S. Army Contracting Command, Orlando, Florida, is the contracting activity (W900KK-22-D-0002)."/>
    <m/>
    <s v="https://www.defense.gov/News/Contracts/Contract/Article/2857360/"/>
  </r>
  <r>
    <x v="0"/>
    <x v="0"/>
    <s v="Navy"/>
    <x v="0"/>
    <x v="0"/>
    <s v="Indigenous"/>
    <x v="0"/>
    <x v="22"/>
    <s v="Nuclear-Powered Submarine"/>
    <s v="Naval nuclear propulsion components"/>
    <s v="Naval nuclear propulsion components"/>
    <s v="Crewed"/>
    <x v="68"/>
    <x v="1"/>
    <m/>
    <s v="Unknown"/>
    <s v="Confirmed"/>
    <n v="507.4"/>
    <s v="USD$"/>
    <n v="507.4"/>
    <s v="B2G"/>
    <s v="December"/>
    <n v="2021"/>
    <s v="Bechtel Plant Machinery Inc., Monroeville, Pennsylvania, is awarded a $507,423,423 cost-plus-fixed-fee modification to previously-awarded contract N00024-16-C-2106 for naval nuclear propulsion components. Work will be performed in Monroeville, Pennsylvania (71%); and Schenectady, New York (29%). Fiscal 2022 shipbuilding and conversion (Navy) funds in the amount of $507,423,423 will be obligated at time of award and will not expire at the end of the current fiscal year. The Naval Sea Systems Command, Washington, D.C., is the contracting activity. "/>
    <m/>
    <s v="https://www.defense.gov/News/Contracts/Contract/Article/2863449/"/>
  </r>
  <r>
    <x v="0"/>
    <x v="0"/>
    <s v="Army"/>
    <x v="0"/>
    <x v="0"/>
    <s v="Indigenous"/>
    <x v="6"/>
    <x v="24"/>
    <s v="Main Battle Tank"/>
    <s v="M1A2 Abrams"/>
    <s v="M1A2 Abrams"/>
    <s v="Crewed"/>
    <x v="9"/>
    <x v="1"/>
    <n v="45"/>
    <s v="Unknown"/>
    <s v="Confirmed"/>
    <n v="93.52"/>
    <s v="USD$"/>
    <n v="93.52"/>
    <s v="B2G"/>
    <s v="December"/>
    <n v="2021"/>
    <s v="General Dynamics Land Systems Inc., Sterling Heights, Michigan, was awarded a $93,519,000 fixed-price-incentive contract for M1A2 Abrams engineering, manufacturing, design and production. Bids were solicited via the internet with one received. Work will be performed in Lima, Ohio, with an estimated completion date of Sep. 30, 2025. Fiscal 2019 Foreign Military Sales funds in the amount of $93,519,000 were obligated at the time of the award. U.S. Army Contracting Command, Detroit Arsenal, Michigan, is the contracting activity (W56HZV-22-C-0005)."/>
    <m/>
    <s v="https://www.defense.gov/News/Contracts/Contract/Article/2870193/"/>
  </r>
  <r>
    <x v="0"/>
    <x v="0"/>
    <s v="Air Force"/>
    <x v="0"/>
    <x v="0"/>
    <s v="Indigenous"/>
    <x v="1"/>
    <x v="1"/>
    <s v="Fighter"/>
    <s v="F-35"/>
    <s v="F-35"/>
    <s v="Crewed"/>
    <x v="0"/>
    <x v="0"/>
    <n v="32"/>
    <s v="Unknown"/>
    <s v="Confirmed"/>
    <n v="145.30000000000001"/>
    <s v="USD$"/>
    <n v="145.30000000000001"/>
    <s v="B2G"/>
    <s v="December"/>
    <n v="2021"/>
    <s v="Raytheon Technologies Corp., Pratt and Whitney Military Engines, East Hartford, Connecticut, is awarded a $145,288,785 cost-plus-incentive-fee modification (P00002) to a previously awarded contract (N0001921C0068). This modification exercises options to procure material and support equipment for depot maintenance facilities as well as supplies, services, and planning for depot activations in support of F-35 aircraft sustainment efforts for the Air Force, Marine Corps, Navy, and non-U.S. Department of Defense (DOD) participant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ir Force Base, Arizona (1.2%); Brekstad, Norway (1.2%); Leeuwarden, Netherlands (1.1%); Tyndall Air Force Base, Florida (1%); and Brandon, United Kingdom (0.2%), and is expected to be completed in September 2024. Fiscal 2021 aircraft procurement (Navy) funds in the amount of $59,531,081; fiscal 2021 aircraft procurement (Air Force) funds in the amount of $59,531,073; and non-U.S. DOD participant funds in the amount of $26,226,631 will be obligated at time of award, none of which will expire at the end of the current fiscal year. The Naval Air Systems Command, Patuxent River, Maryland, is the contracting activity."/>
    <m/>
    <s v="https://www.defense.gov/News/Contracts/Contract/Article/2871869/"/>
  </r>
  <r>
    <x v="0"/>
    <x v="0"/>
    <s v="Navy"/>
    <x v="0"/>
    <x v="0"/>
    <s v="Indigenous"/>
    <x v="1"/>
    <x v="1"/>
    <s v="Fighter"/>
    <s v="F-35"/>
    <s v="F-35"/>
    <s v="Crewed"/>
    <x v="0"/>
    <x v="0"/>
    <n v="32"/>
    <s v="Unknown"/>
    <s v="Confirmed"/>
    <n v="145.30000000000001"/>
    <s v="USD$"/>
    <n v="145.30000000000001"/>
    <s v="B2G"/>
    <s v="December"/>
    <n v="2021"/>
    <s v="Raytheon Technologies Corp., Pratt and Whitney Military Engines, East Hartford, Connecticut, is awarded a $145,288,785 cost-plus-incentive-fee modification (P00002) to a previously awarded contract (N0001921C0068). This modification exercises options to procure material and support equipment for depot maintenance facilities as well as supplies, services, and planning for depot activations in support of F-35 aircraft sustainment efforts for the Air Force, Marine Corps, Navy, and non-U.S. Department of Defense (DOD) participant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ir Force Base, Arizona (1.2%); Brekstad, Norway (1.2%); Leeuwarden, Netherlands (1.1%); Tyndall Air Force Base, Florida (1%); and Brandon, United Kingdom (0.2%), and is expected to be completed in September 2024. Fiscal 2021 aircraft procurement (Navy) funds in the amount of $59,531,081; fiscal 2021 aircraft procurement (Air Force) funds in the amount of $59,531,073; and non-U.S. DOD participant funds in the amount of $26,226,631 will be obligated at time of award, none of which will expire at the end of the current fiscal year. The Naval Air Systems Command, Patuxent River, Maryland, is the contracting activity."/>
    <m/>
    <s v="https://www.defense.gov/News/Contracts/Contract/Article/2871869/"/>
  </r>
  <r>
    <x v="0"/>
    <x v="0"/>
    <s v="Defense Wide"/>
    <x v="0"/>
    <x v="0"/>
    <s v="Indigenous"/>
    <x v="1"/>
    <x v="1"/>
    <s v="Fighter"/>
    <s v="F-35"/>
    <s v="F-35"/>
    <s v="Crewed"/>
    <x v="0"/>
    <x v="0"/>
    <n v="32"/>
    <s v="Unknown"/>
    <s v="Confirmed"/>
    <n v="145.30000000000001"/>
    <s v="USD$"/>
    <n v="145.30000000000001"/>
    <s v="B2G"/>
    <s v="December"/>
    <n v="2021"/>
    <s v="Raytheon Technologies Corp., Pratt and Whitney Military Engines, East Hartford, Connecticut, is awarded a $145,288,785 cost-plus-incentive-fee modification (P00002) to a previously awarded contract (N0001921C0068). This modification exercises options to procure material and support equipment for depot maintenance facilities as well as supplies, services, and planning for depot activations in support of F-35 aircraft sustainment efforts for the Air Force, Marine Corps, Navy, and non-U.S. Department of Defense (DOD) participant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ir Force Base, Arizona (1.2%); Brekstad, Norway (1.2%); Leeuwarden, Netherlands (1.1%); Tyndall Air Force Base, Florida (1%); and Brandon, United Kingdom (0.2%), and is expected to be completed in September 2024. Fiscal 2021 aircraft procurement (Navy) funds in the amount of $59,531,081; fiscal 2021 aircraft procurement (Air Force) funds in the amount of $59,531,073; and non-U.S. DOD participant funds in the amount of $26,226,631 will be obligated at time of award, none of which will expire at the end of the current fiscal year. The Naval Air Systems Command, Patuxent River, Maryland, is the contracting activity."/>
    <m/>
    <s v="https://www.defense.gov/News/Contracts/Contract/Article/2871869/"/>
  </r>
  <r>
    <x v="0"/>
    <x v="0"/>
    <s v="Navy"/>
    <x v="0"/>
    <x v="0"/>
    <s v="Indigenous"/>
    <x v="0"/>
    <x v="9"/>
    <s v="Amphibious Assault Ship"/>
    <s v="Amphibious assault ship "/>
    <s v="Amphibious assault ship "/>
    <s v="Crewed"/>
    <x v="10"/>
    <x v="1"/>
    <n v="27"/>
    <n v="1"/>
    <s v="Confirmed"/>
    <n v="70.87"/>
    <s v="USD$"/>
    <n v="70.87"/>
    <s v="B2G"/>
    <s v="December"/>
    <n v="2021"/>
    <s v="Huntington Ingalls Inc. (HII) - Ingalls Shipbuilding, Pascagoula, Mississippi, is awarded a $70,866,327 not-to-exceed, undefinitized contract action for long lead time material (LLTM) in support of one amphibious assault ship (general purpose) replacement (LHA(R)) Flight 1 Ship (LHA 9). This action will be the seventh increment of LLTM awarded to HII under contract (N00024-20-C-2437) executed on April 30, 2020. Work will be performed in Philadelphia, Pennsylvania (49%); Pascagoula, Mississippi (45%); Hamilton, Ohio (4%); and High Ridge, Missouri (2%), and is expected to be completed by April 2024. Fiscal 2021 shipbuilding and conversion (Navy) funding in the amount of $53,149,745 will be obligated at award and will not expire at the end of the current fiscal year. The obligation amount represents 75% of the not-to-exceed price, in accordance with Defense Federal Acquisition Regulation 217.7404-4, limitations on obligations. This contract was not competitively procured in accordance with 10 U.S. Code 2304(c)(1) — only one responsible source and no other supplies or services will satisfy agency requirements. The Naval Sea Systems Command, Washington, D.C., is the contracting activity (N00024-20-C-2437)."/>
    <m/>
    <s v="https://www.defense.gov/News/Contracts/Contract/Article/2871869/"/>
  </r>
  <r>
    <x v="0"/>
    <x v="0"/>
    <s v="Air Force"/>
    <x v="0"/>
    <x v="0"/>
    <s v="Indigenous"/>
    <x v="4"/>
    <x v="23"/>
    <s v="Ammunition"/>
    <s v="M61A1 Vulcan 20MM cannon guns"/>
    <s v="M61A1 Vulcan 20MM cannon guns"/>
    <s v="Crewed"/>
    <x v="69"/>
    <x v="1"/>
    <n v="119"/>
    <s v="Unknown"/>
    <s v="Confirmed"/>
    <n v="88.28"/>
    <s v="USD$"/>
    <n v="88.28"/>
    <s v="B2G"/>
    <s v="December"/>
    <n v="2021"/>
    <s v="General Dynamics-OTS Inc., Williston, Vermont, has been awarded an $88,275,000 firm-fixed-price, indefinite-delivery/indefinite-quantity requirements contract for the purchase of M61A1 Vulcan 20MM cannon guns. This contract provides for production of the guns in support of the F-16 weapon system. Work will be performed in Williston, Vermont, and is expected to be completed by Dec. 12, 2031. This award is the result of a sole source acquisition. Foreign Military Sales funds in the amount of $7,853,702 will be obligated on the first order at time of award. Air Force Life Cycle Management Center, Robins Air Force Base, Georgia, is the contracting activity (FA8520-22-D-0003)."/>
    <m/>
    <s v="https://www.defense.gov/News/Contracts/Contract/Article/2875114/"/>
  </r>
  <r>
    <x v="5"/>
    <x v="7"/>
    <m/>
    <x v="0"/>
    <x v="0"/>
    <s v="Imported"/>
    <x v="7"/>
    <x v="29"/>
    <s v="Not Applicable"/>
    <s v="F-16 Block 70 training systems"/>
    <s v="F-16 Block 70 training systems"/>
    <s v="Crewed"/>
    <x v="13"/>
    <x v="4"/>
    <n v="71"/>
    <s v="Unknown"/>
    <s v="Confirmed"/>
    <n v="77.64"/>
    <s v="USD$"/>
    <n v="77.64"/>
    <s v="B2G"/>
    <s v="December"/>
    <n v="2021"/>
    <s v="Lockheed Martin Corp., Rotary and Mission Systems, Orlando, Florida, has been awarded a $77,637,721 fixed-price contract for F-16 Block 70 training systems. This contract provides for the engineering, manufacturing, and development, production, integration, testing and delivery of training devices, as well as spare parts and support equipment. This contract involves classified Foreign Military Sales (FMS) programs. Work will be performed in two Eastern European FMS partner nations, and one Middle Eastern FMS partner nation, and is expected to be completed by Dec. 14, 2027. This award is the result of a directed source acquisition procured with 100% FMS funds. Air Force Life Cycle Management Center, Wright-Patterson Air Force Base, Ohio, is the contracting activity (FA8621-22-C-0020)"/>
    <m/>
    <s v="https://www.defense.gov/News/Contracts/Contract/Article/2875114/"/>
  </r>
  <r>
    <x v="0"/>
    <x v="0"/>
    <s v="Air Force"/>
    <x v="0"/>
    <x v="0"/>
    <s v="Indigenous"/>
    <x v="7"/>
    <x v="29"/>
    <s v="Not Applicable"/>
    <s v="Initial Flying Training services"/>
    <s v="Initial Flying Training services"/>
    <s v="Crewed"/>
    <x v="17"/>
    <x v="4"/>
    <n v="37"/>
    <s v="Unknown"/>
    <s v="Confirmed"/>
    <n v="86.83"/>
    <s v="USD$"/>
    <n v="86.83"/>
    <s v="B2G"/>
    <s v="December"/>
    <n v="2021"/>
    <s v="L3 Doss Aviation Inc., Colorado Springs, Colorado, has been awarded an $86,825,692 contract modification (P00019) to previously awarded contract FA3002-17-D-0004 for Initial Flying Training services. This modification provides for the exercise of the first option ordering period. Work will be performed in Pueblo, Colorado, and is expected to be completed by Jan. 31, 2025. Fiscal 2022 operations and maintenance funds, amount to be determined, will be obligated prior to start of performance. The 338th Enterprise Sourcing Squadron, Joint Base San Antonio Randolph, Texas, is the contracting activity."/>
    <m/>
    <s v="https://www.defense.gov/News/Contracts/Contract/Article/2875114/"/>
  </r>
  <r>
    <x v="0"/>
    <x v="0"/>
    <s v="Air Force"/>
    <x v="0"/>
    <x v="0"/>
    <s v="Indigenous"/>
    <x v="5"/>
    <x v="11"/>
    <s v="Multi-Mission Radar"/>
    <s v="F-16"/>
    <s v="F-16"/>
    <s v="Crewed"/>
    <x v="4"/>
    <x v="1"/>
    <n v="36"/>
    <n v="83"/>
    <s v="Confirmed"/>
    <n v="189.76"/>
    <s v="USD$"/>
    <n v="189.76"/>
    <s v="B2G"/>
    <s v="December"/>
    <n v="2021"/>
    <s v="Northrop Grumman Systems Corp., Linthicum Heights, Maryland, has been awarded a $189,761,282 firm-fixed-price modification (P00049) to contract FA8615-17-C-6047 for Active Electronically Scanned Array radars of Air Force F-16 aircraft. This modification exercises options to include 83 production radars, as well as associated spares. Work will be performed in Linthicum Heights, Maryland, and is expected to be completed by Dec. 31, 2024. The total cumulative face value of the contract is $1,032,433,616. Fiscal 2021 aircraft procurement funds in the amount of $67,964,526; and fiscal 2022 aircraft procurement funds in the amount of $121,796,756 are being obligated at the time of award. Air Force Life Cycle Management Center, Wright-Patterson Air Force Base, Ohio, is the contracting activity. (Awarded Dec. 16, 2021)"/>
    <m/>
    <s v="https://www.defense.gov/News/Contracts/Contract/Article/2878567/"/>
  </r>
  <r>
    <x v="0"/>
    <x v="0"/>
    <s v="Navy"/>
    <x v="0"/>
    <x v="0"/>
    <s v="Indigenous"/>
    <x v="5"/>
    <x v="11"/>
    <s v="Other"/>
    <s v="ALR-67(V)3 radar"/>
    <s v="ALR-67(V)3 radar warning system"/>
    <s v="Crewed"/>
    <x v="0"/>
    <x v="0"/>
    <n v="59"/>
    <s v="Unknown"/>
    <s v="Confirmed"/>
    <n v="102.6"/>
    <s v="USD$"/>
    <n v="102.6"/>
    <s v="B2G"/>
    <s v="December"/>
    <n v="2021"/>
    <s v="Raytheon Co., Goleta, California, is awarded a $102,591,251 firm-fixed-price, performance-based logistics requirements contract for the repair, upgrade or replacement, required availability, configuration management, inventory management, and obsolescence management in support of the ALR-67(V)3 radar warning system. Work will be performed in Jacksonville, Florida (40%); Goleta, California (30%); Point Magu, California (15%); Tucson, Arizona (10%); El Segundo, California (3%); and Forest, Mississippi (2%). This contract includes a five-year base period with no options. Work is expected to be completed by December 2026. Working capital funds (Navy) in the amount of $23,919,850 will be issued for delivery order (N00383-22-F-0T00) that will be awarded concurrently with the contract and will initially be obligated at the time of award, and funds will not expire. Funds will not expire at the end of the current fiscal year. One company was solicited for this non-competitive requirement under authority 10 U.S. Code 2304 (c)(1) with one offer received. Naval Supply Systems Command Weapon Systems Support, Philadelphia, Pennsylvania, is the contracting activity. (N00383-22-D-T001)"/>
    <m/>
    <s v="https://www.defense.gov/News/Contracts/Contract/Article/2880108/"/>
  </r>
  <r>
    <x v="0"/>
    <x v="0"/>
    <s v="Air Force"/>
    <x v="0"/>
    <x v="0"/>
    <s v="Imported"/>
    <x v="4"/>
    <x v="16"/>
    <s v="Air and Missile Defense System"/>
    <s v="MAU-12 bomb racks for F-16"/>
    <s v="MAU-12 bomb racks for F-16"/>
    <s v="Crewed"/>
    <x v="70"/>
    <x v="1"/>
    <n v="120"/>
    <s v="Unknown"/>
    <s v="Confirmed"/>
    <n v="59.93"/>
    <s v="USD$"/>
    <n v="59.93"/>
    <s v="G2G"/>
    <s v="December"/>
    <n v="2021"/>
    <s v="Marvin Engineering Co. LLC, Inglewood, California, has been awarded a $59,930,725 firm-fixed-price, indefinite-delivery/indefinite-quantity requirements contract for the purchase of MAU-12 bomb racks in support of the F-16 weapon system. Work will be performed in Inglewood, California, and is expected to be completed by Dec. 21, 2031. This award is the result of a sole source acquisition and is 100% Foreign Military Sales (FMS). FMS funds in the amount of $6,402,952 will be obligated on the first order at the time of award. Air Force Life Cycle Management Center, Robins Air Force Base, Warner Robins, Georgia, is the contracting activity (FA8520-22-D-0002). "/>
    <m/>
    <s v="https://www.defense.gov/News/Contracts/Contract/Article/2881533/"/>
  </r>
  <r>
    <x v="0"/>
    <x v="0"/>
    <s v="Army"/>
    <x v="0"/>
    <x v="0"/>
    <s v="Indigenous"/>
    <x v="5"/>
    <x v="4"/>
    <s v="Electronic Attack"/>
    <s v="AH-64 Apache Modernized Target Acquisition Designation Sight/Pilot Night Vision Sensor (MTADS/PNVS)"/>
    <s v="AH-64 Apache Modernized Target Acquisition Designation Sight/Pilot Night Vision Sensor (MTADS/PNVS)"/>
    <s v="Crewed"/>
    <x v="13"/>
    <x v="0"/>
    <n v="48"/>
    <s v="Unknown"/>
    <s v="Confirmed"/>
    <n v="67.17"/>
    <s v="USD$"/>
    <n v="67.17"/>
    <s v="B2G"/>
    <s v="December"/>
    <n v="2021"/>
    <s v="Lockheed Martin Corp., Orlando, Florida, was awarded a $67,173,212 firm-fixed-price modification (P00004) to contract W58RGZ-21-C-0016 for the AH-64 Apache Modernized Target Acquisition Designation Sight/Pilot Night Vision Sensor (MTADS/PNVS) Performance Based Logistics (PBL) program. Work will be performed in Orlando, Florida, with an estimated completion date of Dec. 31, 2025. Fiscal 2022 working capital, Army funds in the amount of $67,173,212 were obligated at the time of the award. U.S. Army Contracting Command, Redstone Arsenal, Alabama, is the contracting activity."/>
    <m/>
    <s v="https://www.defense.gov/News/Contracts/Contract/Article/2881533/"/>
  </r>
  <r>
    <x v="0"/>
    <x v="0"/>
    <s v="Navy"/>
    <x v="0"/>
    <x v="0"/>
    <s v="Indigenous"/>
    <x v="4"/>
    <x v="28"/>
    <s v="Ballistic Missile"/>
    <s v="TRIDENT II (D5) missile"/>
    <s v="TRIDENT II (D5) missile"/>
    <s v="Uncrewed"/>
    <x v="71"/>
    <x v="1"/>
    <n v="57"/>
    <s v="Unknown"/>
    <s v="Confirmed"/>
    <n v="70.12"/>
    <s v="USD$"/>
    <n v="70.12"/>
    <s v="B2G"/>
    <s v="December"/>
    <n v="2021"/>
    <s v="Lockheed Martin Space, Titusville, Florida, is awarded a $70,123,973 fixed-price-incentive, cost-plus-incentive-fee, and cost-plus-fixed-fee modification (P00006) to exercise options under a previously awarded contract (N0003021C0100) for TRIDENT II (D5) missile production and deployed systems support. Work will be performed in Cape Canaveral, Florida (34%); Borgo San Dalmazzo, Italy (13.6%); Johnstown, Pennsylvania (9.9%); Denver, Colorado (6.7%); Titusville, Florida (6.4%); Endicott, New York (6%); Cincinnati, Ohio (3.5%); Sunnyvale, California (2.8%); Modesto, California (2.5%); Merritt Island, Florida (1.8%); City Of Industry, California (1.4%); Rockford, Illinois (1.4%); Kingsbay, Georgia (1%); and other various locations (less than 1.0% each, 9.0% total). Work is expected to be completed Sept. 30, 2026. Fiscal 2021 weapons procurement (Navy) funds in the amount of $4,300,336; and fiscal 2022 weapons procurement (Navy) funds in the amount of $65,823,637 will be obligated on this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m/>
    <s v="https://www.defense.gov/News/Contracts/Contract/Article/2882869/"/>
  </r>
  <r>
    <x v="3"/>
    <x v="4"/>
    <s v="Air Force"/>
    <x v="0"/>
    <x v="0"/>
    <s v="Imported"/>
    <x v="5"/>
    <x v="32"/>
    <s v="Imaging EO/IR"/>
    <s v="MS-110 Multi-spectral intelligence, surveillance and reconnaissance sensor"/>
    <s v="MS-110 Multi-spectral intelligence, surveillance and reconnaissance sensor"/>
    <s v="Optional"/>
    <x v="72"/>
    <x v="1"/>
    <n v="47"/>
    <s v="Unknown"/>
    <s v="Confirmed"/>
    <n v="146.80000000000001"/>
    <s v="USD$"/>
    <n v="146.80000000000001"/>
    <s v="B2G"/>
    <s v="December"/>
    <n v="2021"/>
    <s v="Goodrich Corps., as part of Collins Aerospace and Raytheon Technologies, Westford, Massachusetts, has been awarded a $146,792,433 delivery order (FA8691-22-F-1000) to previously awarded indefinite-delivery/indefinite-quantity contract FA8620-18-D-3014 for multi-spectral intelligence, surveillance and reconnaissance sensors through the Tactical Reconnaissance Pod Program MS-110 Phase 1b. This contract provides for production, manufacturing, and testing of the new reconnaissance pod systems. Work will be performed in Westford, Massachusetts, and is expected to be completed by Nov. 30, 2025. This contract involves 100 percent Foreign Military Sales (FMS)to Taiwan and is the result of a sole source acquisition. FMS funds in the amount of $146,792,433 are being obligated at the time of award. Air Force Life Cycle Management Center, Wright-Patterson Air Force Base, Ohio, is the contracting activity. (Awarded Dec. 21, 2021)"/>
    <m/>
    <s v="https://www.defense.gov/News/Contracts/Contract/Article/2882869/"/>
  </r>
  <r>
    <x v="0"/>
    <x v="0"/>
    <s v="Navy"/>
    <x v="0"/>
    <x v="0"/>
    <s v="Indigenous"/>
    <x v="6"/>
    <x v="24"/>
    <s v="Amphibious Assault Vehicles"/>
    <s v="Amphibious Combat Vehicles"/>
    <s v="Amphibious Combat Vehicles"/>
    <s v="Crewed"/>
    <x v="52"/>
    <x v="1"/>
    <n v="19"/>
    <n v="33"/>
    <s v="Confirmed"/>
    <n v="169.33"/>
    <s v="USD$"/>
    <n v="169.33"/>
    <s v="B2G"/>
    <s v="December"/>
    <n v="2021"/>
    <s v="BAE Systems Land &amp; Armaments L.P., Sterling Heights, Michigan, is awarded a $169,334,012 modification (P00139) to previously awarded firm-fixed-price contract (M67854-16-C-0006) for Amphibious Combat Vehicles (ACV). The total value of the contract if all options are exercised is $3,354,159,920. This modification provides for the exercise of options for the procurement of 33 full rate production ACVs and associated production, and fielding and support costs. Work will be performed in York, Pennsylvania (60%); Aiken, South Carolina (15%); San Jose, California (15%); Sterling Heights, Michigan (5%); and Stafford, Virginia (5%), with an expected completion date of August 2023. Fiscal 2022 procurement (Marine Corps) funds in the amount of $169,334,012 will be obligated at the time of award, and will not expire at the end of the current fiscal year. Marine Corps Systems Command, Quantico, Virginia, is the contracting activity (M67854-16-C-0006)."/>
    <m/>
    <s v="https://www.defense.gov/News/Contracts/Contract/Article/2883372/"/>
  </r>
  <r>
    <x v="4"/>
    <x v="8"/>
    <s v="Navy"/>
    <x v="0"/>
    <x v="0"/>
    <s v="Imported"/>
    <x v="1"/>
    <x v="1"/>
    <s v="Fighter"/>
    <s v="F/A-18C/D/E/F"/>
    <s v="F/A-18C/D/E/F"/>
    <s v="Crewed"/>
    <x v="73"/>
    <x v="0"/>
    <n v="12"/>
    <s v="Unknown"/>
    <s v="Confirmed"/>
    <n v="72.78"/>
    <s v="USD$"/>
    <n v="72.78"/>
    <s v="B2G"/>
    <s v="December"/>
    <n v="2021"/>
    <s v="Kay and Associates Inc., Buffalo, Illinois, is awarded a $72,777,290 cost-plus-fixed-fee, cost reimbursable contract to provide maintenance, operation, and management support services for the F/A-18C/D/E/F aircraft and associated equipment, as well as maintenance repair and storage facilities for the Government of Kuwait. Work will be performed in undisclosed locations in Kuwait, and is expected to be completed in January 2023. Foreign Military Sales funds in the amount of $52,921,055 will be obligated at time of award, none of which will expire at the end of the current fiscal year.  This contract was not competitively procured pursuant to Defense Federal Acquisition Regulation 6.302-4(a)(2). The Naval Air Warfare Center Aircraft Division, Patuxent River, Maryland, is the contracting activity (N0042122C0013)."/>
    <m/>
    <s v="https://www.defense.gov/News/Contracts/Contract/Article/2883372/"/>
  </r>
  <r>
    <x v="0"/>
    <x v="0"/>
    <s v="Navy"/>
    <x v="0"/>
    <x v="0"/>
    <s v="Indigenous"/>
    <x v="0"/>
    <x v="22"/>
    <s v="Nuclear-Powered Submarine"/>
    <s v="Naval nuclear propulsion components"/>
    <s v="Naval nuclear propulsion components"/>
    <s v="Crewed"/>
    <x v="68"/>
    <x v="1"/>
    <m/>
    <s v="Unknown"/>
    <s v="Confirmed"/>
    <n v="622"/>
    <s v="USD$"/>
    <n v="622"/>
    <s v="B2G"/>
    <s v="December"/>
    <n v="2021"/>
    <s v="Bechtel Plant Machinery Inc., Monroeville, Pennsylvania, is awarded a $621,969,749 cost-plus-fixed-fee modification to previously-awarded contract N00024-19-C-2115 for naval nuclear propulsion components. Work will be performed in Monroeville, Pennsylvania (77%); and Schenectady, New York (23%). Fiscal 2022 shipbuilding and conversion (Navy) funding in the amount of $498,923,330 (80%); and fiscal 2019 shipbuilding and conversion (Navy) funding in the amount of $123,046,419 (20%) will be obligated at time of award and will not expire at the end of the current fiscal year. The Naval Sea Systems Command, Washington, D.C., is the contracting activity. "/>
    <m/>
    <s v="https://www.defense.gov/News/Contracts/Contract/Article/2884211/"/>
  </r>
  <r>
    <x v="0"/>
    <x v="0"/>
    <s v="Navy"/>
    <x v="0"/>
    <x v="0"/>
    <s v="Indigenous"/>
    <x v="0"/>
    <x v="22"/>
    <s v="Nuclear-Powered Submarine"/>
    <s v="Naval nuclear propulsion components"/>
    <s v="Naval nuclear propulsion components"/>
    <s v="Crewed"/>
    <x v="74"/>
    <x v="1"/>
    <m/>
    <s v="Unknown"/>
    <s v="Confirmed"/>
    <n v="201.58"/>
    <s v="USD$"/>
    <n v="201.58"/>
    <s v="B2G"/>
    <s v="December"/>
    <n v="2021"/>
    <s v="Bechtel Plant Machinery Inc., Monroeville, Pennsylvania, is awarded a $201,576,723 cost-plus-fixed-fee modification to previously-awarded contract N00024-19-C-2112 for naval nuclear propulsion components. This modification includes options which, if exercised, would bring the cumulative value of this modification to $249,866,231. Work will be performed in Schenectady, New York (96%); and Monroeville, Pennsylvania (4%). Fiscal 2022 other procurement (Navy) funds in the amount of $160,293,432 (79%); and fiscal 2022 shipbuilding and conversion (Navy) funds in the amount of $8,000,000 (21%) will be obligated at time of award and will not expire at the end of the current fiscal year. The Naval Sea Systems Command, Washington, D.C., is the contracting activity. "/>
    <m/>
    <s v="https://www.defense.gov/News/Contracts/Contract/Article/2884211/"/>
  </r>
  <r>
    <x v="0"/>
    <x v="0"/>
    <s v="Army"/>
    <x v="0"/>
    <x v="0"/>
    <s v="Indigenous"/>
    <x v="4"/>
    <x v="16"/>
    <s v="Other"/>
    <s v="Apache Attack Helicopter Modernized Target Acquisition Designation/Pilot Night Vision Sensor System"/>
    <s v="Apache Attack Helicopter Modernized Target Acquisition Designation/Pilot Night Vision Sensor System"/>
    <s v="Crewed"/>
    <x v="53"/>
    <x v="1"/>
    <n v="31"/>
    <s v="Unknown"/>
    <s v="Confirmed"/>
    <n v="102.39"/>
    <s v="USD$"/>
    <n v="102.39"/>
    <s v="B2G"/>
    <s v="December"/>
    <n v="2021"/>
    <s v="Lockheed Martin Corp. Missiles and Fire Control, Orlando, Florida, was awarded a $102,389,630 firm-fixed-price contract for production and delivery of hardware components and spares of the Apache Attack Helicopter Modernized Target Acquisition Designation/Pilot Night Vision Sensor System. Bids were solicited via the internet with one received. Work locations and funding will be determined with each order, with an estimated completion date of July 31, 2024. U.S. Army Contracting Command, Redstone Arsenal, Alabama, is the contracting activity (W58RGZ-22-F-0130)."/>
    <m/>
    <s v="https://www.defense.gov/News/Contracts/Contract/Article/2884932/"/>
  </r>
  <r>
    <x v="0"/>
    <x v="0"/>
    <s v="Navy"/>
    <x v="0"/>
    <x v="0"/>
    <s v="Indigenous"/>
    <x v="0"/>
    <x v="22"/>
    <s v="Nuclear-Powered Submarine"/>
    <s v="Naval nuclear propulsion components"/>
    <s v="Naval nuclear propulsion components"/>
    <s v="Crewed"/>
    <x v="74"/>
    <x v="1"/>
    <m/>
    <s v="Unknown"/>
    <s v="Confirmed"/>
    <n v="707.2"/>
    <s v="USD$"/>
    <n v="707.2"/>
    <s v="B2G"/>
    <s v="December"/>
    <n v="2021"/>
    <s v="Bechtel Plant Machinery Inc., Monroeville, Pennsylvania, is awarded a $707,194,284 cost-plus-fixed-fee modification to previously-awarded contract N00024-19-C-2114 for naval nuclear propulsion components. Work will be performed in Monroeville, Pennsylvania (70%); and Schenectady, New York (30%). Fiscal 2022 shipbuilding and conversion (Navy) funds in the amount of $707,194,284 will be obligated at time of award and will not expire at the end of the current fiscal year. The Naval Sea Systems Command, Washington, D.C., is the contracting activity."/>
    <m/>
    <s v="https://www.defense.gov/News/Contracts/Contract/Article/2885691/"/>
  </r>
  <r>
    <x v="0"/>
    <x v="0"/>
    <s v="Army"/>
    <x v="0"/>
    <x v="0"/>
    <s v="Indigenous"/>
    <x v="4"/>
    <x v="28"/>
    <s v="Air-to-Surface"/>
    <s v="MK 90 propellant grain"/>
    <s v="MK 90 propellant grain"/>
    <s v="Crewed"/>
    <x v="75"/>
    <x v="1"/>
    <n v="12"/>
    <s v="Unknown"/>
    <s v="Confirmed"/>
    <n v="81.09"/>
    <s v="USD$"/>
    <n v="81.09"/>
    <s v="B2G"/>
    <s v="December"/>
    <n v="2021"/>
    <s v="BAE Systems Ordnance Systems Inc., Radford, Virginia, was awarded an $81,089,341 modification (000828) to contract W52P1J-11-D-0013 for MK 90 propellant grain. Bids were solicited via the internet with one received. Work locations and funding will be determined with each order, with an estimated completion date of Dec. 30, 2022. U.S. Army Contracting Command, Rock Island Arsenal, Illinois, is the contracting activity (W52P1J-11-D-0013)."/>
    <m/>
    <s v="https://www.defense.gov/News/Contracts/Contract/Article/2886237/"/>
  </r>
  <r>
    <x v="0"/>
    <x v="0"/>
    <s v="Defense Wide"/>
    <x v="0"/>
    <x v="0"/>
    <s v="Indigenous"/>
    <x v="1"/>
    <x v="17"/>
    <s v="Hybrid"/>
    <s v="MV-22B"/>
    <s v="MV-22B"/>
    <s v="Crewed"/>
    <x v="76"/>
    <x v="0"/>
    <n v="58"/>
    <n v="228"/>
    <s v="Confirmed"/>
    <n v="1643.7"/>
    <s v="USD$"/>
    <n v="1643.7"/>
    <s v="B2G"/>
    <s v="January"/>
    <n v="2022"/>
    <s v="Bell Boeing Joint Program Office, California, Maryland, is awarded a not-to-exceed $1,643,701,284 firm-fixed-price, performance-based logistics requirements contract for the repair, replacement, required availability, configuration management, and inventory management for supply support for 228 MV-22B (Marine); CMV-22 (Navy); and CV-22 (Air Force) Osprey aircraft components. The contract will include a five-year base period with no options. Work will be performed in Fort Worth, Texas (97%); and Ridley Park, Pennsylvania (3%). Work is expected to be completed by December 2026. Annual working capital funds (Navy) in the amount of $246,555,193 will be issued for delivery order N00383-22-F-0ZV0 that will be awarded concurrently with the contract and will initially be obligated at the time of award as an undefinitized contract action with a commitment of an additional $82,185,064 for period of performance from January 2022 through December 2022.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2-D-ZV01)."/>
    <m/>
    <s v="https://www.defense.gov/News/Contracts/Contract/Article/2891105/"/>
  </r>
  <r>
    <x v="0"/>
    <x v="0"/>
    <s v="Navy"/>
    <x v="0"/>
    <x v="0"/>
    <s v="Indigenous"/>
    <x v="1"/>
    <x v="17"/>
    <s v="Hybrid"/>
    <s v="CMV-22"/>
    <s v="CMV-22"/>
    <s v="Crewed"/>
    <x v="76"/>
    <x v="0"/>
    <n v="58"/>
    <n v="228"/>
    <s v="Confirmed"/>
    <n v="1643.7"/>
    <s v="USD$"/>
    <n v="1643.7"/>
    <s v="B2G"/>
    <s v="January"/>
    <n v="2022"/>
    <s v="Bell Boeing Joint Program Office, California, Maryland, is awarded a not-to-exceed $1,643,701,284 firm-fixed-price, performance-based logistics requirements contract for the repair, replacement, required availability, configuration management, and inventory management for supply support for 228 MV-22B (Marine); CMV-22 (Navy); and CV-22 (Air Force) Osprey aircraft components. The contract will include a five-year base period with no options. Work will be performed in Fort Worth, Texas (97%); and Ridley Park, Pennsylvania (3%). Work is expected to be completed by December 2026. Annual working capital funds (Navy) in the amount of $246,555,193 will be issued for delivery order N00383-22-F-0ZV0 that will be awarded concurrently with the contract and will initially be obligated at the time of award as an undefinitized contract action with a commitment of an additional $82,185,064 for period of performance from January 2022 through December 2022.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2-D-ZV01)."/>
    <m/>
    <s v="https://www.defense.gov/News/Contracts/Contract/Article/2891105/"/>
  </r>
  <r>
    <x v="0"/>
    <x v="0"/>
    <s v="Air Force"/>
    <x v="0"/>
    <x v="0"/>
    <s v="Indigenous"/>
    <x v="1"/>
    <x v="17"/>
    <s v="Hybrid"/>
    <s v="CV-22"/>
    <s v="CV-22"/>
    <s v="Crewed"/>
    <x v="76"/>
    <x v="0"/>
    <n v="58"/>
    <n v="228"/>
    <s v="Confirmed"/>
    <n v="1643.7"/>
    <s v="USD$"/>
    <n v="1643.7"/>
    <s v="B2G"/>
    <s v="January"/>
    <n v="2022"/>
    <s v="Bell Boeing Joint Program Office, California, Maryland, is awarded a not-to-exceed $1,643,701,284 firm-fixed-price, performance-based logistics requirements contract for the repair, replacement, required availability, configuration management, and inventory management for supply support for 228 MV-22B (Marine); CMV-22 (Navy); and CV-22 (Air Force) Osprey aircraft components. The contract will include a five-year base period with no options. Work will be performed in Fort Worth, Texas (97%); and Ridley Park, Pennsylvania (3%). Work is expected to be completed by December 2026. Annual working capital funds (Navy) in the amount of $246,555,193 will be issued for delivery order N00383-22-F-0ZV0 that will be awarded concurrently with the contract and will initially be obligated at the time of award as an undefinitized contract action with a commitment of an additional $82,185,064 for period of performance from January 2022 through December 2022.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2-D-ZV01)."/>
    <m/>
    <s v="https://www.defense.gov/News/Contracts/Contract/Article/2891105/"/>
  </r>
  <r>
    <x v="0"/>
    <x v="0"/>
    <s v="Army"/>
    <x v="0"/>
    <x v="0"/>
    <s v="Indigenous"/>
    <x v="6"/>
    <x v="24"/>
    <s v="Tracked Armoured Fighting Vehicles"/>
    <s v="M109A7 and M992A3 vehicles"/>
    <s v="M109A7 and M992A3 vehicles"/>
    <s v="Crewed"/>
    <x v="8"/>
    <x v="1"/>
    <n v="35"/>
    <s v="Unknown"/>
    <s v="Confirmed"/>
    <n v="97.28"/>
    <s v="USD$"/>
    <n v="97.28"/>
    <s v="B2G"/>
    <s v="January"/>
    <n v="2022"/>
    <s v="BAE Systems, York, Pennsylvania, was awarded a $97,280,236 modification (P00098) to contract W56HZV-17-C-0001 for the production and delivery of M109A7 and M992A3 vehicles. Work will be performed in York, Pennsylvania, with an estimated completion date of Dec. 31, 2024. Fiscal 2020 and 2021 weapons and tracked combat vehicle procurement, Army funds in the amount of $97,280,236 were obligated at the time of the award. U.S. Army Contracting Command, Detroit Arsenal, Michigan, is the contracting activity."/>
    <m/>
    <s v="https://www.defense.gov/News/Contracts/Contract/Article/2892786/"/>
  </r>
  <r>
    <x v="0"/>
    <x v="0"/>
    <s v="Air Force"/>
    <x v="0"/>
    <x v="0"/>
    <s v="Indigenous"/>
    <x v="1"/>
    <x v="1"/>
    <s v="Transport Aircraft"/>
    <s v="C-130 aircraft"/>
    <s v="C-130 aircraft"/>
    <s v="Crewed"/>
    <x v="1"/>
    <x v="0"/>
    <n v="5"/>
    <s v="Unknown"/>
    <s v="Confirmed"/>
    <n v="96.27"/>
    <s v="USD$"/>
    <n v="96.27"/>
    <s v="B2G"/>
    <s v="January"/>
    <n v="2022"/>
    <s v="The Rolls Royce Corp., Indianapolis, Indiana, has been awarded a $96,270,179 indefinite-delivery vehicle requirements contract modification (P00025) to previously awarded contract FA8504-17-D-0002 for C-130 aircraft fleet engine sustainment support. This contract modification incorporates an additional five-month option period to maintain continuity of services for the C-130 engine repairs. Work will be performed in Indianapolis, Indiana, and is expected to be completed by June 30, 2022. The total cumulative face value of the contract is $1,655,270,179. Air Force Life Cycle Management Center, Robins Air Force Base, Georgia, is the contracting activity."/>
    <m/>
    <s v="https://www.defense.gov/News/Contracts/Contract/Article/2907867/"/>
  </r>
  <r>
    <x v="0"/>
    <x v="0"/>
    <s v="Air Force"/>
    <x v="0"/>
    <x v="0"/>
    <s v="Indigenous"/>
    <x v="4"/>
    <x v="25"/>
    <s v="Guided Bomb"/>
    <s v="StormBreaker (SDBII, GBU-53/B)"/>
    <s v="StormBreaker (SDBII, GBU-53/B)"/>
    <s v="Uncrewed"/>
    <x v="62"/>
    <x v="1"/>
    <n v="49"/>
    <s v="Unknown"/>
    <s v="Confirmed"/>
    <n v="91.77"/>
    <s v="USD$"/>
    <n v="91.77"/>
    <s v="B2G"/>
    <s v="January"/>
    <n v="2022"/>
    <s v="Raytheon Missiles and Defense, Tucson, Arizona, has been awarded a $91,773,155 contract modification (P00004) to previously awarded contract FA8672-21-C-0005 for StormBreaker (SDBII, GBU-53/B) production all up rounds and containers. Work will be performed in Tucson, Arizona, and is expected to be completed by Feb. 28, 2026. This award is the result of a sole source acquisition. Fiscal 2022 missiles procurement funding in the amount of $91,773,155 are being obligated at the time of award. Air Force Life Cycle Management Center, Eglin Air Force Base, Florida, is the contracting activity."/>
    <m/>
    <s v="https://www.defense.gov/News/Contracts/Contract/Article/2909723/"/>
  </r>
  <r>
    <x v="0"/>
    <x v="0"/>
    <s v="Air Force"/>
    <x v="0"/>
    <x v="0"/>
    <s v="Indigenous"/>
    <x v="5"/>
    <x v="7"/>
    <s v="Integrated C4ISR System"/>
    <s v="F-16 Secure Mission Data System"/>
    <s v="F-16 Secure Mission Data System"/>
    <s v="Crewed"/>
    <x v="77"/>
    <x v="1"/>
    <n v="71"/>
    <s v="Unknown"/>
    <s v="Confirmed"/>
    <n v="165"/>
    <s v="USD$"/>
    <n v="165"/>
    <s v="B2G"/>
    <s v="January"/>
    <n v="2022"/>
    <s v="Mercury Mission Systems, Torrance, California, has been awarded a $165,000,000 firm-fixed-price, cost-plus-fixed-fee, indefinite-delivery/indefinite-quantity contract for the F-16 Secure Mission Data System. Work will be performed in Torrance, California, and is expected to be completed by Jan. 19, 2028. This award is the result of a sole-source, non-competitive acquisition, Small Business Innovation Research Phase III production follow-on. Fiscal 2021 aircraft procurement funds in the amount of $12,921,550; fiscal 2022 operations and maintenance funds in the amount of $500,000; and fiscal 2021 National Guard and Reserve Equipment Appropriation funds in the amount of $2,986,599 are being obligated at the time of award. Air Force Life Cycle Management Center, Hill Air Force Base, Utah, is the contracting activity (FA8232-22-D-0002). (Awarded Jan. 21, 2022)"/>
    <m/>
    <s v="https://www.defense.gov/News/Contracts/Contract/Article/2911544/"/>
  </r>
  <r>
    <x v="0"/>
    <x v="0"/>
    <s v="Defense Wide"/>
    <x v="0"/>
    <x v="0"/>
    <s v="Indigenous"/>
    <x v="5"/>
    <x v="21"/>
    <s v="Radios"/>
    <s v="Multi-channel hand held radios"/>
    <s v="Multi-channel hand held radios"/>
    <s v="Not Applicable"/>
    <x v="17"/>
    <x v="1"/>
    <n v="119"/>
    <s v="Unknown"/>
    <s v="Confirmed"/>
    <n v="750"/>
    <s v="USD$"/>
    <n v="750"/>
    <s v="B2G"/>
    <s v="January"/>
    <n v="2022"/>
    <s v="L3 Technologies Inc., Harris Defense Communication, Rochester, New York, is awarded a $750,000,000 firm-fixed-price, indefinite-delivery/indefinite-quantity contract for the purchase of multi-channel hand held (MCHH) radios. The work to be performed provides for MCHH radios, MCHH-vehicle installation kits (VIKs) and MCHH accessories. The MCHH-VIK consists of the amplifier, antennas, and mounts necessary to integrate the MCHH into a High Mobility Multi-purpose Wheeled Vehicle and Joint Light Tactical Vehicle. The MCHH will replace legacy handheld systems that do not meet the National Security Agency 2024 cryptographic modernization mandate. Work will be performed at Rochester, New York, with an expected completion date of January 2032. The maximum dollar value, including the base period and five option years, is $750,000,000. Fiscal 2022 procurement (Marine Corps) funds in the amount of $1,125,500 are being obligated at time of award. Contract funds $1,125,500 will not expire at the end of the current fiscal year. This contract was a competitively procured via the beta.sam.gov website with two offers solicited and two offers received. The Marine Corps Systems Command, Quantico, Virginia, is the contracting activity (M67854-22-D-2090)."/>
    <m/>
    <s v="https://www.defense.gov/News/Contracts/Contract/Article/2913552/"/>
  </r>
  <r>
    <x v="0"/>
    <x v="0"/>
    <s v="Army"/>
    <x v="0"/>
    <x v="0"/>
    <s v="Indigenous"/>
    <x v="4"/>
    <x v="25"/>
    <s v="Guided Artillery Round"/>
    <s v="Excalibur 155mm Increment 1B projectiles"/>
    <s v="Excalibur 155mm Increment 1B projectiles"/>
    <s v="Uncrewed"/>
    <x v="78"/>
    <x v="1"/>
    <n v="27"/>
    <s v="Unknown"/>
    <s v="Confirmed"/>
    <n v="66.22"/>
    <s v="USD$"/>
    <n v="66.22"/>
    <s v="B2G"/>
    <s v="January"/>
    <n v="2022"/>
    <s v="Raytheon Co. Missile Systems, Tuscon, Arizona, was awarded a $66,221,560 modification (P00020) to contract W15QKN-19-C-0017 for procurement of Excalibur 155mm Increment 1B projectiles. Work will be performed in Southway, Plymouth, United Kingdom; East Camden, Gilbert, Tuscon and Phoenix, Arizona; Chino, Healdsburg, Inglewood, Santa Clara and Valencia, California; Cedar Rapids, Iowa; Woodridge, Illinois; Joplin, Missouri; Cookstown, New Jersey; Farmington, New Mexico; Cincinnati, Ohio; McAlester, Oklahoma; Lansdale, Pennsylvania; Trenton, Texas; and Salt Lake City, Utah, with an estimated completion date of April 29, 2024. Fiscal 2022 other procurement, Army funds; and special defense acquisition funds in the amount of $66,221,560 were obligated at the time of the award. U.S. Army Contracting Command, Newark, New Jersey, is the contracting activity."/>
    <m/>
    <s v="https://www.defense.gov/News/Contracts/Contract/Article/2914949/"/>
  </r>
  <r>
    <x v="0"/>
    <x v="0"/>
    <s v="Navy"/>
    <x v="0"/>
    <x v="0"/>
    <s v="Indigenous"/>
    <x v="1"/>
    <x v="1"/>
    <s v="Fighter"/>
    <s v="F/A-18 E/F and EA-18G aircraft"/>
    <s v="F/A-18 E/F and EA-18G aircraft"/>
    <s v="Crewed"/>
    <x v="34"/>
    <x v="0"/>
    <n v="25"/>
    <s v="Unknown"/>
    <s v="Confirmed"/>
    <n v="106.06"/>
    <s v="USD$"/>
    <n v="106.06"/>
    <s v="B2G"/>
    <s v="January"/>
    <n v="2022"/>
    <s v="The Boeing Co., St. Louis, Missouri, is awarded $106,055,500 for a ceiling-priced delivery order (N00383-22-F-A30P) under previously awarded basic ordering agreement N00383-17-G-A301 for the repair of flight control surfaces used on the F/A-18 E/F and EA-18G aircraft. Work will be completed by March 2024 with no option periods. Work will be performed in Jacksonville, Florida (68%); St. Louis, Missouri (27%); and various other supplier locations that cannot be determined at this time (5%). Working capital funds (Navy) in the amount of $51,967,195 will be obligated at the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
    <m/>
    <s v="https://www.defense.gov/News/Contracts/Contract/Article/2914949/"/>
  </r>
  <r>
    <x v="0"/>
    <x v="0"/>
    <s v="Air Force"/>
    <x v="0"/>
    <x v="0"/>
    <s v="Indigenous"/>
    <x v="1"/>
    <x v="1"/>
    <s v="Transport Aircraft"/>
    <s v="C-130J mission"/>
    <s v="C-130J mission"/>
    <s v="Crewed"/>
    <x v="13"/>
    <x v="0"/>
    <n v="120"/>
    <s v="Unknown"/>
    <s v="Confirmed"/>
    <n v="1420"/>
    <s v="USD$"/>
    <n v="1420"/>
    <s v="B2G"/>
    <s v="January"/>
    <n v="2022"/>
    <s v="The Lockheed Martin Corp., Marietta, Georgia, has been awarded a $1,420,000,000 indefinite-delivery/indefinite-quantity contract for the C-130J mission sustainment support effort. This contract provides for contractor logistics support and sustainment of the C-130J aircraft fleet. Work will be performed in Marietta, Georgia, and is expected to be completed by Jan. 31, 2032. This award is the result of a sole source acquisition. Fiscal 2022 operations and maintenance funds in the amount of $91,023,138 are being obligated at the time of award. Air Force Life Cycle Management Center, Robins Air Force Base, Georgia, is the contracting activity (FA8504-22-D-0001)."/>
    <m/>
    <s v="https://www.defense.gov/News/Contracts/Contract/Article/2918328/"/>
  </r>
  <r>
    <x v="0"/>
    <x v="0"/>
    <s v="Navy"/>
    <x v="0"/>
    <x v="0"/>
    <s v="Indigenous"/>
    <x v="1"/>
    <x v="17"/>
    <s v="Rotary Wing Transport"/>
    <s v="Lot 6, CH-53K "/>
    <s v="Lot 6, CH-53K "/>
    <s v="Crewed"/>
    <x v="19"/>
    <x v="1"/>
    <n v="41"/>
    <n v="9"/>
    <s v="Confirmed"/>
    <n v="685"/>
    <s v="USD$"/>
    <n v="685"/>
    <s v="B2G"/>
    <s v="January"/>
    <n v="2022"/>
    <s v="Sikorsky Aircraft Corp., a Lockheed Martin Co., Stratford, Connecticut, is awarded a $684,950,963 fixed-price incentive (firm target) modification (P00006) to a previously awarded contract (N0001920C0047). This modification exercises options for the production and delivery of nine low rate initial production, Lot 6, CH-53K heavy lift aircraft, as well as associated aircraft programmatic and logistical support. Work will be performed in Stratford, Connecticut (37.57%); Wichita, Kansas (9.56%); Salt Lake City, Utah (5.60%); St. Louis, Missouri (4.36%); Bridgeport, West Virginia (3.11%); Redmond, Washington (1.99%); Kent, Washington (1.67%); Quebec, Canada (1.63%); Cudahy, Wisconsin (1.42%); Rochester, United Kingdom (1.29%); Fort Walton Beach, Florida (1.19%); Rome, New York (1.12%); Saint Marcel, France (1.04%); Jupiter, Florida (1.03%); various locations within the continental U.S. (26.36%); and various locations outside the continental U.S. (1.06%), and is expected to be completed in July 2025. Fiscal 2022 aircraft procurement (Navy) funds in the amount of $684,950,963 will be obligated at time of award, none of which will expire at the end of the current fiscal year. The Naval Air Systems Command, Patuxent River, Maryland, is the contracting activity."/>
    <m/>
    <s v="https://www.defense.gov/News/Contracts/Contract/Article/2918328/"/>
  </r>
  <r>
    <x v="0"/>
    <x v="0"/>
    <s v="Army"/>
    <x v="0"/>
    <x v="0"/>
    <s v="Indigenous"/>
    <x v="4"/>
    <x v="23"/>
    <s v="Ammunition"/>
    <s v="Special ammunition and weapons systems"/>
    <s v="Special ammunition and weapons systems"/>
    <s v="Uncrewed"/>
    <x v="4"/>
    <x v="1"/>
    <n v="60"/>
    <s v="Unknown"/>
    <s v="Confirmed"/>
    <n v="750"/>
    <s v="USD$"/>
    <n v="750"/>
    <s v="B2G"/>
    <s v="January"/>
    <n v="2022"/>
    <s v="Northrop Grumman Systems Corp., Radford, Virginia (W52P1J-22-D-0006); and Global Military Products Inc.,* Tampa, Florida (W52P1J-22-D-0007), will compete for each order of the $750,000,000 firm-fixed-price contract for special ammunition and weapons systems. Bids were solicited via the internet with 10 received. Work locations and funding will be determined with each order, with an estimated completion date of Jan. 30, 2027. U.S. Army Contracting Command, Rock Island Arsenal, Illinois, is the contracting activity."/>
    <m/>
    <s v="https://www.defense.gov/News/Contracts/Contract/Article/2918328/"/>
  </r>
  <r>
    <x v="0"/>
    <x v="0"/>
    <s v="Defense Wide"/>
    <x v="0"/>
    <x v="0"/>
    <s v="Indigenous"/>
    <x v="5"/>
    <x v="21"/>
    <s v="Satellite Communications"/>
    <s v="TCC-FSR"/>
    <s v="TCC-FSR"/>
    <s v="Crewed"/>
    <x v="79"/>
    <x v="0"/>
    <n v="61"/>
    <s v="Unknown"/>
    <s v="Confirmed"/>
    <n v="105"/>
    <s v="USD$"/>
    <n v="105"/>
    <s v="B2G"/>
    <s v="February"/>
    <n v="2022"/>
    <s v="Raytheon Blackbird Technologies Inc., Herndon, Virginia, was awarded a $105,000,000 indefinite-delivery/indefinite-quantity contract (H92400-22-D-0002) for technical collections and communications field service representatives (TCC-FSR) services in support of U.S. Special Operations Command Special Reconnaissance. The work will be performed in various locations in the U.S. and other countries, and is expected to be completed by March 31, 2027. The contract will be funded at the task order level with operations and maintenance and procurement funding from fiscal 2022. This contract was competitively awarded under the authority of Federal Acquisition Regulation Part 15, Contracting by Negotiation, with two submissions received. U.S. Special Operations Command, Tampa, Florida, is the contracting activity."/>
    <m/>
    <s v="https://www.defense.gov/News/Contracts/Contract/Article/2919673/"/>
  </r>
  <r>
    <x v="0"/>
    <x v="0"/>
    <s v="Navy"/>
    <x v="0"/>
    <x v="0"/>
    <s v="Indigenous"/>
    <x v="5"/>
    <x v="7"/>
    <s v="Integrated C4ISR System"/>
    <s v="F-35 "/>
    <s v="F-35 "/>
    <s v="Crewed"/>
    <x v="80"/>
    <x v="2"/>
    <n v="59"/>
    <s v="Unknown"/>
    <s v="Confirmed"/>
    <n v="104.88"/>
    <s v="USD$"/>
    <n v="104.88"/>
    <s v="B2G"/>
    <s v="February"/>
    <n v="2022"/>
    <s v="System High Corp., Chantilly, Virginia, is awarded a $104,877,823 cost-plus-fixed-fee, indefinite-delivery/indefinite-quantity contract. This contract provides program security services for the F-35 Joint Program Office to include program management, general security, information security, industrial security, physical security, personnel security, counter-intelligence and foreign disclosure support.  Additionally, this contract provides special security studies, program protection cybersecurity and security control assessments as well as and engineering services support. Work will be performed in Arlington, Virginia (90%); Wright-Patterson Air Force Base, Ohio (4%); Stuttgart, Germany (2%); Fort Worth, Texas (2%); Patuxent River, Maryland (1%); and Eglin AFB, Florida (1%), and is expected to be completed in February 2027. No funds will be obligated at the time of award; funds will be obligated on individual orders as they are issued. This contract was competitively procured via an electronic request for proposal; one offer was received. The Naval Air Systems Command, Patuxent River, Maryland, is the contracting activity (N0001922D0008"/>
    <m/>
    <s v="https://www.defense.gov/News/Contracts/Contract/Article/2926444/"/>
  </r>
  <r>
    <x v="0"/>
    <x v="0"/>
    <s v="Navy"/>
    <x v="0"/>
    <x v="0"/>
    <s v="Indigenous"/>
    <x v="5"/>
    <x v="35"/>
    <s v="Sonar"/>
    <s v="P-8A Acoustic"/>
    <s v="P-8A Acoustic"/>
    <s v="Crewed"/>
    <x v="34"/>
    <x v="0"/>
    <n v="58"/>
    <s v="Unknown"/>
    <s v="Confirmed"/>
    <n v="94.9"/>
    <s v="USD$"/>
    <n v="94.9"/>
    <s v="B2G"/>
    <s v="February"/>
    <n v="2022"/>
    <s v="The Boeing Co., Huntington Beach, California, is awarded a $94,902,277 cost-plus-fixed-fee, indefinite-delivery/indefinite-quantity contract. This contract provides engineering services and supplies, to include capability defect package fixes and acoustic software improvement efforts in support of the continued development and sustainment of the P-8A Acoustic Operational Flight Program. Work will be performed in Huntington Beach, California (80%); Seattle, Washington (10%); California, Maryland (8%); and St. Louis, Missouri (2%), and is expected to be completed in January 2027. No funds will be obligated at the time of award; funds will be obligated on individual orders as they are issued. This contract was not competitively procured pursuant to 10 U.S. Code 2304(c)(l). The Naval Air System Command, Patuxent River, Maryland, is the contracting activity (N0001922D0007)."/>
    <m/>
    <s v="https://www.defense.gov/News/Contracts/Contract/Article/2928328/"/>
  </r>
  <r>
    <x v="0"/>
    <x v="0"/>
    <s v="Air Force"/>
    <x v="0"/>
    <x v="0"/>
    <m/>
    <x v="5"/>
    <x v="11"/>
    <s v="Air Search Radar"/>
    <s v="E-3 Sentry"/>
    <s v="E-3 Sentry"/>
    <s v="Crewed"/>
    <x v="34"/>
    <x v="0"/>
    <n v="78"/>
    <s v="Unknown"/>
    <s v="Confirmed"/>
    <n v="99.83"/>
    <s v="USD$"/>
    <n v="99.83"/>
    <s v="B2G"/>
    <s v="February"/>
    <n v="2022"/>
    <s v="The Boeing Co., Oklahoma City, Oklahoma, has been awarded a $99,830,000 indefinite-delivery/ indefinite-quantity contract for engineering support services. This contract provides for engineering services and support for recurring and non-recurring requirements relating to the E-3 Sentry Airborne Warning and Control System. Work will be performed in Oklahoma City, Oklahoma, and is expected to be completed by Aug. 9, 2028. This contract involves 40 percent Foreign Military Sales to NATO, Saudi Arabia, United Kingdom, and France, and is the result of a sole-source acquisition. Fiscal 2022 operations and maintenance funds in the amount of $455,782 are being obligated at the time of award. Air Force Life Cycle Management Center, Tinker Air Force Base, Oklahoma, is the contracting activity (FA8102-22-D-0003)."/>
    <m/>
    <s v="https://www.defense.gov/News/Contracts/Contract/Article/2929695/"/>
  </r>
  <r>
    <x v="0"/>
    <x v="0"/>
    <s v="Army"/>
    <x v="0"/>
    <x v="0"/>
    <m/>
    <x v="4"/>
    <x v="28"/>
    <m/>
    <s v="Spike non-line-of-sight missile system"/>
    <s v="Spike non-line-of-sight missile system"/>
    <s v="Optional"/>
    <x v="13"/>
    <x v="2"/>
    <n v="35"/>
    <s v="Unknown"/>
    <s v="Confirmed"/>
    <n v="138.91999999999999"/>
    <s v="USD$"/>
    <n v="138.91999999999999"/>
    <s v="B2G"/>
    <s v="February"/>
    <n v="2022"/>
    <s v="Lockheed Martin Corp., Orlando, Florida, was awarded a $138,916,495 cost-plus-fixed-fee other transaction agreement for federation, testing and user operational assessments of the Spike non-line-of-sight missile system. Bids were solicited via the internet with one received. Work will be performed in Orlando, Florida; and Haifa, Israel, with an estimated completion date of Jan. 30, 2025. Fiscal 2021 aircraft procurement, Army funds in the amount of $25,048,867 were obligated at the time of the award. U.S. Army Contracting Command, Redstone Arsenal, Alabama, is the contracting activity (W9124P-19-9-001). "/>
    <m/>
    <s v="https://www.defense.gov/News/Contracts/Contract/Article/2931057/"/>
  </r>
  <r>
    <x v="0"/>
    <x v="0"/>
    <s v="Defense Wide"/>
    <x v="0"/>
    <x v="0"/>
    <s v="Indigenous"/>
    <x v="5"/>
    <x v="21"/>
    <s v="Radios"/>
    <s v="AN/PRC 167 radios and ancillary equipment"/>
    <s v="AN/PRC 167 radios and ancillary equipment"/>
    <s v="Not Applicable"/>
    <x v="81"/>
    <x v="1"/>
    <s v="Unknown"/>
    <s v="Unknown"/>
    <s v="Confirmed"/>
    <n v="297.2"/>
    <s v="USD$"/>
    <n v="297.2"/>
    <s v="B2G"/>
    <s v="February"/>
    <n v="2022"/>
    <s v="L3Harris Technologies Inc., Rochester, New York, received a modification (P00019) in the amount of $297,200,000 on indefinite-delivery/indefinite-quantity contract H92222-17-D-0021 to allow for the continued purchase of the Special Operations Forces Tactical Communications Next Generation Manpack, AN/PRC 167 radios and ancillary equipment. This modification increases the maximum contract ceiling value from $255,000,000, to $552,200,000. No funds are being obligated via this modification. The majority of the work will be performed in Rochester, New York. This contract modification was awarded through other than full and open competition under 10 U.S. Code 2304(c)(1). U.S. Special Operations Command Headquarters, Tampa, Florida, is the contracting activity."/>
    <m/>
    <s v="https://www.defense.gov/News/Contracts/Contract/Article/2932911/"/>
  </r>
  <r>
    <x v="0"/>
    <x v="0"/>
    <s v="Army"/>
    <x v="0"/>
    <x v="0"/>
    <s v="Indigenous"/>
    <x v="4"/>
    <x v="25"/>
    <s v="Guided Artillery Round"/>
    <s v="M1156 Precision Guidance Kits"/>
    <s v="M1156 Precision Guidance Kits"/>
    <s v="Not Applicable"/>
    <x v="4"/>
    <x v="1"/>
    <n v="53"/>
    <s v="Unknown"/>
    <s v="Confirmed"/>
    <n v="61.1"/>
    <s v="USD$"/>
    <n v="61.1"/>
    <s v="B2G"/>
    <s v="February"/>
    <n v="2022"/>
    <s v="Northrop Grumman Systems Corp., Plymouth, Minnesota, was awarded a $61,105,140 modification (P00080) to contract W15QKN-13-C-0074 for procurement of M1156 Precision Guidance Kits. Work will be performed in Plymouth, Minnesota, with an estimated completion date of July 20, 2026. Fiscal 2022 procurement of ammunition, Army funds in the amount of $61,105,140 were obligated at the time of the award. U.S. Army Corps of Engineers, Newark, New Jersey, is the contracting activity."/>
    <m/>
    <s v="https://www.defense.gov/News/Contracts/Contract/Article/2936138/"/>
  </r>
  <r>
    <x v="0"/>
    <x v="0"/>
    <s v="Navy"/>
    <x v="0"/>
    <x v="0"/>
    <s v="Indigenous"/>
    <x v="5"/>
    <x v="32"/>
    <m/>
    <s v="NGHTS "/>
    <s v="NGHTS "/>
    <s v="Crewed"/>
    <x v="4"/>
    <x v="1"/>
    <n v="78"/>
    <s v="Unknown"/>
    <s v="Confirmed"/>
    <n v="252"/>
    <s v="USD$"/>
    <n v="252"/>
    <s v="B2G"/>
    <s v="February"/>
    <n v="2022"/>
    <s v="Northrop Grumman Systems Corp., Apopka, Florida, is awarded a $252,000,000 hybrid (firm-fixed-price, cost-plus-fixed-fee, indefinite-delivery/indefinite-quantity) contract to provide for the Next Generation Targeting Handheld System (NGHTS). The effort includes low-rate initial production, full-rate production, testing, spare parts, engineering services, logistics support, training and documentation. Work will be performed in Apopka, Florida, and is expected to be completed by February 2030. No funds will be obligated at time of award. Funds will be obligated on individual task orders as they are issued. The contract is a follow-on to the NGHTS Other Transaction Authority (OTA) Agreement prototyping effort, awarded in September 2018. It is a production contract awarded without the use of competitive procedures in accordance with 10 U.S. Code §2371b(f)(2). The Marine Corps Systems Command, Quantico, Virginia, is the contracting activity (M67854-22-D-1011)."/>
    <m/>
    <s v="https://www.defense.gov/News/Contracts/Contract/Article/2939663/"/>
  </r>
  <r>
    <x v="0"/>
    <x v="0"/>
    <s v="Navy"/>
    <x v="0"/>
    <x v="0"/>
    <s v="Indigenous"/>
    <x v="7"/>
    <x v="29"/>
    <s v="Not Applicable"/>
    <s v="VH-92A"/>
    <s v="VH-92A"/>
    <s v="Crewed"/>
    <x v="82"/>
    <x v="4"/>
    <n v="95"/>
    <s v="Unknown"/>
    <s v="Confirmed"/>
    <n v="99.25"/>
    <s v="USD$"/>
    <n v="99.25"/>
    <s v="B2G"/>
    <s v="February"/>
    <n v="2022"/>
    <s v="Sikorsky Aircraft Corp., a Lockheed Martin Co., Stratford, Connecticut, is awarded a $99,250,000 cost-plus-fixed-fee, cost reimbursable, indefinite-delivery/indefinite-quantity contract. This contract provides products and support required to rapidly integrate and field VH-92A aircraft simulators and trainers in support of the Presidential Helicopter Program. The products include delivery of technical analysis, technical reports, trade studies, and retrofit kits for ground support equipment modifications that support deficiency resolution, capability/technology insertions, obsolescence redesigns, and reliability/sustainability improvements. The support includes program management, engineering, integrated logistics support, configuration management, system integration lab operation and maintenance, testing support, and Federal Aviation Administration certification activities. Work will be performed in Owego, New York (98%); and Stratford, Connecticut (2%), and is expected to be completed in February 2030.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2D0013)."/>
    <m/>
    <s v="https://www.defense.gov/News/Contracts/Contract/Article/2939663/"/>
  </r>
  <r>
    <x v="0"/>
    <x v="0"/>
    <s v="Navy"/>
    <x v="0"/>
    <x v="0"/>
    <s v="Indigenous"/>
    <x v="0"/>
    <x v="22"/>
    <s v="Nuclear-Powered Submarine"/>
    <s v="USS Columbus (SSN 762)"/>
    <s v="USS Columbus (SSN 762)"/>
    <s v="Crewed"/>
    <x v="10"/>
    <x v="0"/>
    <n v="9"/>
    <s v="Unknown"/>
    <s v="Confirmed"/>
    <n v="188.9"/>
    <s v="USD$"/>
    <n v="188.9"/>
    <s v="B2G"/>
    <s v="February"/>
    <n v="2022"/>
    <s v="Huntington Ingalls Industries, Newport News Shipbuilding Division, Newport News, Virginia, was awarded an $188,908,033 cost-plus-fixed-fee modification to a previously awarded contract (N00024-15-C-4301) to continue performance of the repair, maintenance, upgrades, and modernization efforts on the USS Columbus (SSN 762) engineered overhaul. Work will be performed in Newport News, Virginia, and is expected to be completed by December 2022. Fiscal 2022 operation and maintenance (Navy) funding in the amount of $188,908,033 will be obligated at time of award and will expire at the end of the current fiscal year. The Supervisor of Shipbuilding, Conversion and Repair, USN, Newport News, Virginia is the contracting activity. (Awarded Feb. 16, 2022)"/>
    <m/>
    <s v="https://www.defense.gov/News/Contracts/Contract/Article/2939663/"/>
  </r>
  <r>
    <x v="0"/>
    <x v="0"/>
    <s v="Navy"/>
    <x v="0"/>
    <x v="0"/>
    <s v="Indigenous"/>
    <x v="5"/>
    <x v="21"/>
    <s v="Radios"/>
    <s v="RQ-7Bv2 Shadow UAS"/>
    <s v="RQ-7Bv2 Shadow UAS"/>
    <s v="Uncrewed"/>
    <x v="17"/>
    <x v="0"/>
    <n v="59"/>
    <s v="Unknown"/>
    <s v="Confirmed"/>
    <n v="74.44"/>
    <s v="USD$"/>
    <n v="74.44"/>
    <s v="B2G"/>
    <s v="February"/>
    <n v="2022"/>
    <s v="L3 Technologies Inc. Communication Systems-West Subsidiary, Salt Lake City, Utah, was awarded a $74,441,282 hybrid (cost-plus-fixed-fee and firm-fixed-price) contract for production, depot maintenance and sustainment for software and hardware to produce and deliver components for the RQ-7Bv2 Shadow UAS. Bids were solicited via the internet with one received. Work locations and funding will be determined with each order, with an estimated completion date of Jan. 31, 2027. U.S. Army Contracting Command, Redstone Arsenal, Alabama, is the contracting activity (W58RGZ-22-D-0018)."/>
    <m/>
    <s v="https://www.defense.gov/News/Contracts/Contract/Article/2939663/"/>
  </r>
  <r>
    <x v="0"/>
    <x v="0"/>
    <s v="Army"/>
    <x v="0"/>
    <x v="0"/>
    <s v="Indigenous"/>
    <x v="0"/>
    <x v="22"/>
    <s v="Nuclear-Powered Submarine"/>
    <s v="USS Hartford (SSN 768) "/>
    <s v="USS Hartford (SSN 768) "/>
    <s v="Crewed"/>
    <x v="45"/>
    <x v="0"/>
    <n v="3"/>
    <s v="Unknown"/>
    <s v="Confirmed"/>
    <n v="108.15"/>
    <s v="USD$"/>
    <n v="108.15"/>
    <s v="B2G"/>
    <s v="February"/>
    <n v="2022"/>
    <s v="General Dynamics Electric Boat Corp., Groton, Connecticut, was awarded a $108,151,242 cost-plus-fixed-fee and cost-plus-incentive-fee modification to previously awarded contract N00024-20-C-4312 for Smart Start maintenance, repair, and modernization efforts in support of the USS Hartford (SSN 768) engineered overhaul. Work will be performed in Groton, Connecticut, and is expected to be completed by June 2022. Fiscal 2022 operation and maintenance (Navy) funds in the amount of $47,161,861 (94%); and fiscal 2022 other procurement (Navy) funds in the amount of $3,252,859 (6%) will be obligated at the time of award, and funds in the amount of $47,161,861 will expire at the end of the current fiscal year. The Naval Sea Systems Command, Washington, D.C., is the contracting activity. (Awarded Feb. 18, 2022)"/>
    <m/>
    <s v="https://www.defense.gov/News/Contracts/Contract/Article/2945663/"/>
  </r>
  <r>
    <x v="0"/>
    <x v="0"/>
    <s v="Air Force"/>
    <x v="0"/>
    <x v="0"/>
    <s v="Indigenous"/>
    <x v="4"/>
    <x v="28"/>
    <s v="Air-to-Surface"/>
    <s v="Lot 20 Joint Air-to-Surface Standoff Missile"/>
    <s v="Lot 20 Joint Air-to-Surface Standoff Missile"/>
    <s v="Uncrewed"/>
    <x v="53"/>
    <x v="1"/>
    <n v="47"/>
    <n v="123"/>
    <s v="Confirmed"/>
    <n v="128.25"/>
    <s v="USD$"/>
    <n v="128.25"/>
    <s v="B2G"/>
    <s v="February"/>
    <n v="2022"/>
    <s v="Lockheed Martin Missiles and Fire Control, Orlando, Florida, has been awarded a $128,245,319 firm-fixed-price contract modification (P00013) to previously awarded contract FA8682-21-C-0001 for the exercise of an option for hardware spares and the partial exercise of an option for an additional 123 Lot 20 Joint Air-to-Surface Standoff Missile – Extended Range missiles with containers. Work will be performed in Orlando, Florida, and Troy, Alabama, and is expected to be completed by Jan. 30, 2026.  This award is the result of a sole source acquisition. Fiscal 2022 Missile Procurement funds are being obligated at the time of award. The total cumulative face value of the contract is $541,366,022. Air Force Life Cycle Management Center, Eglin Air Force Base, Florida, is the contracting activity."/>
    <m/>
    <s v="https://www.defense.gov/News/Contracts/Contract/Article/2949169/"/>
  </r>
  <r>
    <x v="0"/>
    <x v="0"/>
    <s v="Navy"/>
    <x v="0"/>
    <x v="0"/>
    <s v="Indigenous"/>
    <x v="5"/>
    <x v="7"/>
    <s v="Integrated C4ISR System"/>
    <s v="TARCES"/>
    <s v="TARCES"/>
    <s v="Optional"/>
    <x v="83"/>
    <x v="0"/>
    <n v="62"/>
    <s v="Unknown"/>
    <s v="Confirmed"/>
    <n v="133.63"/>
    <s v="USD$"/>
    <n v="133.63"/>
    <s v="B2G"/>
    <s v="March"/>
    <n v="2022"/>
    <s v="Smartronix LLC, Hollywood, Maryland, is awarded a $133,627,480 cost-plus-fixed-fee, indefinite-delivery/indefinite-quantity contract. This contract provides sustainment for Tactical and Remote, Command, Control, Communications, Computers, Cyber, and Intelligence Edge Systems (TARCES) support for remote edge telecommunications engineering or computer networks to support users or sensors located away from the central core network. TARCES solutions require a mixture of legacy, industry standard, and newly emerging technologies. Specifically, the contractor shall provide inputs to solution engineering and recommendations, network, desktop, and server administration; configuration management; infrastructure and cable plant technology; applications development/operations support; and cybersecurity and information assurance support. Work will be performed in Hollywood, Maryland (59.12%); St. Inigoes, Maryland (27.04%); Panzer Kaserne, Germany (3.07%); Kelly Barracks, Germany (2.13%); Fort Belvoir, Virginia (2.22%); MacDill Air Force Base, Florida (1%); Hurlburt Field, Florida (1%); Pearl Harbor, Hawaii (1%); various locations within the continental U.S. (2.42%); and various locations outside the continental U.S. (1%), and is expected to be completed in May 2027. No funds will be obligated at the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5)."/>
    <m/>
    <s v="https://www.defense.gov/News/Contracts/Contract/Article/2950986/"/>
  </r>
  <r>
    <x v="0"/>
    <x v="0"/>
    <s v="Army"/>
    <x v="0"/>
    <x v="0"/>
    <s v="Indigenous"/>
    <x v="1"/>
    <x v="17"/>
    <s v="Rotary Wing Transport"/>
    <s v="MH47-G "/>
    <s v="MH47-G "/>
    <s v="Crewed"/>
    <x v="34"/>
    <x v="1"/>
    <m/>
    <n v="6"/>
    <s v="Confirmed"/>
    <n v="194.63"/>
    <s v="USD$"/>
    <n v="194.63"/>
    <s v="B2G"/>
    <s v="March"/>
    <n v="2022"/>
    <s v="The Boeing Co., Ridley Park, Pennsylvania, was awarded a firm-fixed-price modification to an existing delivery order in the amount of $194,628,000 on contract H92241-20-F-0020 to procure six MH47-G renew rotary wing aircraft in support of U.S. Special Operations Command (USSOCOM). Fiscal 2022 procurement and Army funds in the amount of $194,628,000 are being obligated at the time of award. The majority of the work will be performed in Ridley Park, Pennsylvania. This delivery order modification is a noncompetitive award and is in accordance with Federal Acquisition Regulation 6.302.1. USSOCOM, Tampa, Florida, is the contracting activity. (Awarded Feb. 25, 2022)"/>
    <m/>
    <s v="https://www.defense.gov/News/Contracts/Contract/Article/2952403/"/>
  </r>
  <r>
    <x v="0"/>
    <x v="0"/>
    <s v="Navy"/>
    <x v="0"/>
    <x v="0"/>
    <s v="Indigenous"/>
    <x v="1"/>
    <x v="1"/>
    <s v="Fighter"/>
    <s v="F-35A, F-35B, F-35C"/>
    <s v="F-35A, F-35B, F-35C"/>
    <s v="Crewed"/>
    <x v="13"/>
    <x v="2"/>
    <n v="56"/>
    <s v="Unknown"/>
    <s v="Estimated"/>
    <n v="869.9"/>
    <s v="USD$"/>
    <n v="869.9"/>
    <s v="B2G"/>
    <s v="March"/>
    <n v="2022"/>
    <s v="Lockheed Martin Corp., Lockheed Martin Aeronautics Co., Fort Worth, Texas, is awarded a not-to-exceed $869,864,564 cost-plus-incentive-fee, cost-plus-fixed-fee, cost-plus-award-fee, undefinitized modification (P00062) to a previously awarded contract (N0001919C0010). This modification adds scope for integrating mission and weapon systems capability development, including flight-test hardware, through system functional review to development test complete on the F-35A, F-35B, F-35C aircraft. Work will be performed in Fort Worth, Texas (54%); Nashua, New Hampshire (15%); Orlando, Florida (14%); Baltimore, Maryland (6%); San Diego, California (5%); Northridge, California (3%); St. Charles, Missouri (1%); Tucson, Arizona (1%); and Torrance, California (1%), and is expected to be completed in December 2026. Fiscal 2022 research, development, test and evaluation (Air Force) funds in the amount of $20,142,000; fiscal 2022 research, development, test and evaluation (Navy) funds in the amount of $19,342,000; and non-U.S. Department of Defense partner funds in the amount of $3,747,331 will be obligated at the time of award, none of which will expire at the end of the current fiscal year. The Naval Air Systems Command, Patuxent River, Maryland, is the contracting activity."/>
    <m/>
    <s v="https://www.defense.gov/News/Contracts/Contract/Article/2955530/"/>
  </r>
  <r>
    <x v="0"/>
    <x v="0"/>
    <s v="Navy"/>
    <x v="0"/>
    <x v="0"/>
    <s v="Indigenous"/>
    <x v="0"/>
    <x v="9"/>
    <s v="Amphibious Assault Ship"/>
    <s v="USS Essex (LHD 2)"/>
    <s v="USS Essex (LHD 2)"/>
    <s v="Crewed"/>
    <x v="8"/>
    <x v="0"/>
    <n v="18"/>
    <s v="Unknown"/>
    <s v="Confirmed"/>
    <n v="125.52"/>
    <s v="USD$"/>
    <n v="125.52"/>
    <s v="B2G"/>
    <s v="March"/>
    <n v="2022"/>
    <s v="BAE Systems - San Diego Ship Repair, San Diego, California, is awarded an $125,517,541 firm-fixed-price contract for the execution of the USS Essex (LHD 2) fiscal 2022 docking selected restricted availability. This availability will include a combination of maintenance, modernization and repair of the USS Essex (LHD 2). This contract includes options which, if exercised, would bring the cumulative value of this contract to $148,226,878. Work will be performed in San Diego, California, and is expected to be completed by October 2023. Fiscal 2022 other procurement (Navy) funds in the amount of $123,421,093 2022 (98%); and fiscal 2022 operations and maintenance (Navy) funds in the amount of $2,096,448 (2%) will be obligated at time of award, of which, funds in the amount of $2,096,448 will expire at the end of the current fiscal year. This contract was awarded using full and open competition via the System for Award Management website. Competitive proposals were received in response to Solicitation No. N00024-21-R-4420. The Naval Sea Systems Command, Washington, D.C., is the contracting activity (N00024-22-C-4420)."/>
    <m/>
    <s v="https://www.defense.gov/News/Contracts/Contract/Article/2955530/"/>
  </r>
  <r>
    <x v="0"/>
    <x v="0"/>
    <s v="Navy"/>
    <x v="0"/>
    <x v="0"/>
    <s v="Indigenous"/>
    <x v="5"/>
    <x v="7"/>
    <s v="Integrated C4ISR System"/>
    <s v="MQ-4C Triton air vehicles"/>
    <s v="MQ-4C Triton air vehicles"/>
    <s v="Uncrewed"/>
    <x v="4"/>
    <x v="0"/>
    <n v="11"/>
    <s v="Unknown"/>
    <s v="Confirmed"/>
    <n v="97.31"/>
    <s v="USD$"/>
    <n v="97.31"/>
    <s v="B2G"/>
    <s v="March"/>
    <n v="2022"/>
    <s v="Northrop Grumman System Corp., San Diego, California, is awarded a $97,314,948 modification (P00007) to a previously awarded cost-plus-fixed-fee contract (N0001921C0060). This modification exercises options to provide continued test, maintenance, logistics and sustainment engineering support for MQ-4C Triton air vehicles, mission control and operator training systems. This modification also provides continued field service representative’s technical support to ensure that the MQ-4C Triton unmanned aerial system (UAS) aircraft are mission-capable for intelligence, surveillance and reconnaissance missions supporting aircraft early operational capability and initial operating capability. Additionally, this modification provides continued reach-back engineering support for both the Navy and the government of Australia MQ-4C Triton UAS assets. Work will be performed in Patuxent River, Maryland (36.5%); San Diego, California (22.5%); Jacksonville, Florida (7.7%); Mayport, Florida (6.5%); Baltimore, Maryland (5.3%); various locations outside the continental U.S. (12.7%); and various locations within the continental U.S. (8.8%), and is expected to be completed in March 2023.  Fiscal 2022 aircraft procurement (Navy) funds in the amount of $40,000,000; fiscal 2022 operations and maintenance (Navy) funds in the amount of $2,976,100; fiscal 2022 research, development, test and evaluation (Navy) funds in the amount of $1,000; fiscal 2021 aircraft procurement (Navy) funds in the amount of $3,000,000; and foreign cooperative project funds in the amount of $238,232 will be obligated at the time of award, $2,976,100 of which will expire at the end of the current fiscal year. The Naval Air Systems Command, Patuxent River, Maryland, is the contracting activity."/>
    <m/>
    <s v="https://www.defense.gov/News/Contracts/Contract/Article/2960068/"/>
  </r>
  <r>
    <x v="0"/>
    <x v="0"/>
    <s v="Air Force"/>
    <x v="0"/>
    <x v="0"/>
    <s v="Indigenous"/>
    <x v="5"/>
    <x v="7"/>
    <s v="Integrated C4ISR System"/>
    <s v="Electronic warfare radio"/>
    <s v="Electronic warfare radio"/>
    <s v="Not Applicable"/>
    <x v="4"/>
    <x v="2"/>
    <n v="29"/>
    <s v="Unknown"/>
    <s v="Estimated"/>
    <n v="91.28"/>
    <s v="USD$"/>
    <n v="91.28"/>
    <s v="B2G"/>
    <s v="March"/>
    <n v="2022"/>
    <s v="Northrop Grumman Corp., Rolling Meadows, Illinois, has been awarded a not-to-exceed $91,277,706 modification (P00048) to previously awarded FA8615-19-C-6061 for electronic warfare radio frequency compatibility. The contract modification provides for software development, support for developmental testing and operational testing, initial production capabilities maturation, and hardware qualification testing. Work will be performed in Rolling Meadows, Illinois, and is expected to be completed by Aug. 31, 2024. Fiscal 2022 research, development, test, and evaluation funds in the amount of $11,000,000 is being obligated at the time of award. Air Force Life Cycle Management Center, Wright-Patterson Air Force Base, Ohio, is the contracting activity. (Awarded March 9, 2022)"/>
    <m/>
    <s v="https://www.defense.gov/News/Contracts/Contract/Article/2963146/"/>
  </r>
  <r>
    <x v="0"/>
    <x v="0"/>
    <s v="Navy"/>
    <x v="0"/>
    <x v="0"/>
    <s v="Indigenous"/>
    <x v="1"/>
    <x v="1"/>
    <s v="Trainers"/>
    <s v="T-45 F405-RR-401 Adour engines"/>
    <s v="T-45 F405-RR-401 Adour engines"/>
    <s v="Crewed"/>
    <x v="1"/>
    <x v="0"/>
    <n v="2"/>
    <n v="210"/>
    <s v="Confirmed"/>
    <n v="52.51"/>
    <s v="USD$"/>
    <n v="52.51"/>
    <s v="B2G"/>
    <s v="March"/>
    <n v="2022"/>
    <s v="Rolls-Royce Corp., Indianapolis, Indiana, is awarded a $52,507,515 firm-fixed-price modification (P00010) to a previously awarded indefinite-delivery requirements contract (N6134019D0004). This modification establishes an option to extend services and adds flight hours for intermediate and depot level maintenance, logistics and engineering support for approximately 210 in-service T-45 F405-RR-401 Adour engines. Work will be performed in Meridian, Mississippi (47%); Kingsville, Texas (46%); Pensacola, Florida (6%); and  Patuxent River, Maryland (1%), and is expected to be completed in June 2022. No funds are being obligated at time of award; funds will be obligated on individual orders as they are issued. The Naval Air Systems Command, Patuxent River, Maryland, is the contracting activity."/>
    <m/>
    <s v="https://www.defense.gov/News/Contracts/Contract/Article/2963146/"/>
  </r>
  <r>
    <x v="0"/>
    <x v="0"/>
    <s v="Navy"/>
    <x v="0"/>
    <x v="0"/>
    <s v="Indigenous"/>
    <x v="2"/>
    <x v="36"/>
    <s v="Not Applicable"/>
    <s v="EAF SALS"/>
    <s v="EAF SALS"/>
    <s v="Not Applicable"/>
    <x v="84"/>
    <x v="1"/>
    <n v="59"/>
    <n v="10"/>
    <s v="Confirmed"/>
    <n v="59.98"/>
    <s v="USD$"/>
    <n v="59.98"/>
    <s v="B2G"/>
    <s v="March"/>
    <n v="2022"/>
    <s v="Goldwings Supply Service Inc.,* Honolulu, Hawaii, is awarded a $59,978,551 firm-fixed-price, indefinite-delivery/indefinite-quantity contract. This contract provides production and engineering support for the U.S. Marine Corps Expeditionary Air Field (EAF) Solar Airfield Lighting System (SALS). This includes the production of a maximum of 10 Solar Vertical Takeoff and Landing Taxiway and supplementary Airfield Lighting Suites for the EAF SALS. Work will be performed in Franklin, Tennessee (83%); and Honolulu, Hawaii (17%), and is expected to be completed in March 2027. No funds will be obligated at the time of award; funds will be obligated on individual orders as they are issued.  This contract was competitively procured via an electronic request for proposal; one offer was received.  The Naval Air Warfare Center Aircraft Division, Lakehurst, New Jersey, is the contracting activity (N6833522D0017)."/>
    <m/>
    <s v="https://www.defense.gov/News/Contracts/Contract/Article/2967286/"/>
  </r>
  <r>
    <x v="0"/>
    <x v="0"/>
    <s v="Air Force"/>
    <x v="0"/>
    <x v="0"/>
    <s v="Indigenous"/>
    <x v="4"/>
    <x v="28"/>
    <s v="Air-to-Surface"/>
    <s v="Standoff Missile"/>
    <s v="Standoff Missile"/>
    <s v="Uncrewed"/>
    <x v="53"/>
    <x v="1"/>
    <n v="46"/>
    <n v="308"/>
    <s v="Confirmed"/>
    <n v="318.93"/>
    <s v="USD$"/>
    <n v="318.93"/>
    <s v="B2G"/>
    <s v="March"/>
    <n v="2022"/>
    <s v="Lockheed Martin Missiles and Fire Control, Orlando, Florida, has been awarded a $318,933,722 firm-fixed-price contract modification (P00014) to previously awarded contract FA8682-21-C-0001 for the exercise of an option to add 308 Lot 20 Joint Air-to-Surface Standoff Missile – Extended Range missiles with containers. Work will be performed in Orlando, Florida; and Troy, Alabama, and is expected to be completed by Jan. 31, 2026. This award is the result of a sole source acquisition. Fiscal 2022 missile procurement funds in the amount of $318,933,722 are being obligated at the time of award. The total cumulative face value of the contract is $988,545,063. Air Force Life Cycle Management Center, Eglin Air Force Base, Florida, is the contracting activity. (Awarded March 17, 2022)"/>
    <m/>
    <s v="https://www.defense.gov/News/Contracts/Contract/Article/2973219/"/>
  </r>
  <r>
    <x v="0"/>
    <x v="0"/>
    <s v="Navy"/>
    <x v="0"/>
    <x v="0"/>
    <s v="Indigenous"/>
    <x v="1"/>
    <x v="1"/>
    <s v="Fighter"/>
    <s v="F/A-18 E/F and EA-18G "/>
    <s v="F/A-18 E/F and EA-18G "/>
    <s v="Crewed"/>
    <x v="34"/>
    <x v="0"/>
    <n v="8"/>
    <s v="Unknown"/>
    <s v="Confirmed"/>
    <n v="95.02"/>
    <s v="USD$"/>
    <n v="95.02"/>
    <s v="B2G"/>
    <s v="March"/>
    <n v="2022"/>
    <s v="The Boeing Co., Jacksonville, Florida, is awarded a $95,018,411 firm-fixed-price, cost-plus-fixed-fee modification (P00011) to a previously awarded indefinite-delivery/indefinite-quantity contract (N0001919D0003). This modification increases the contract ceiling to provide depot level maintenance and modification efforts support for F/A-18 E/F and EA-18G aircraft inspections, modifications, and repairs, as well as F/A-18 E/F and EA-18G inner wing panel modifications and repairs. Work will be performed in Jacksonville, Florida (82%); El Segundo, California (8.2%); St. Louis, Missouri (3.9%); Whidbey Island, Washington (3%); and Lemoore, California (2.9%), and is expected to be completed in December 2022. No funds will be obligated at the time of award; funds will be obligated on individual orders as they are issued. The Naval Air Systems Command, Patuxent River, Maryland, is the contracting activity."/>
    <m/>
    <s v="https://www.defense.gov/News/Contracts/Contract/Article/2973219/"/>
  </r>
  <r>
    <x v="0"/>
    <x v="0"/>
    <s v="Navy"/>
    <x v="0"/>
    <x v="0"/>
    <s v="Indigenous"/>
    <x v="4"/>
    <x v="16"/>
    <s v="Naval Gun"/>
    <s v="MK15 CIWS"/>
    <s v="MK15 CIWS"/>
    <s v="Crewed"/>
    <x v="62"/>
    <x v="3"/>
    <n v="41"/>
    <s v="Unknown"/>
    <s v="Confirmed"/>
    <n v="93.55"/>
    <s v="USD$"/>
    <n v="93.55"/>
    <s v="B2G"/>
    <s v="March"/>
    <n v="2022"/>
    <s v="Raytheon Missiles &amp; Defense, Tucson, Arizona, is awarded a $93,554,802 firm-fixed-price modification to previously awarded contract N00024-21-C-5406 for MK15 Close-In Weapon System (CIWS) upgrades and conversions, system overhauls, and associated hardware. Work will be performed in Louisville, Kentucky (33%); El Segundo, California (10%); Pittsburgh, Pennsylvania (6%); Williston, Vermont (5%); Tucson, Arizona (5%); Hauppauge, New York (2%); Andover, Massachusetts (2%); Melbourne, Florida (2%); Radford, Virginia (2%); Palo Alto, California (2%); Joplin, Missouri (1%); Tempe, Arizona (1%); Van Nuys California (1%); Anaheim, California (1%); Valencia, California (1%); Irvine, California (1%); East Syracuse, New York (1%); and various locations with less than 1% each (24%). Work is expected to be completed by September 2026. Fiscal 2022 operations and maintenance (Navy) funds in the amount of $70,189,392 (74%); 2022 shipbuilding and conversion (Navy) funds in the amount of $22,550,880 (24%); 2021 weapons procurement (Navy) funds in the amount of $587,187 (1%); and 2020 weapons procurement (Navy) funds in the amount of $227,343 (1%) will be obligated at time of award, of which, $70,416,735 will expire at the end of the current fiscal year. The Naval Sea Systems Command, Washington Navy Yard, Washington, D.C., is the contracting activity."/>
    <m/>
    <s v="https://www.defense.gov/News/Contracts/Contract/Article/2976212/"/>
  </r>
  <r>
    <x v="0"/>
    <x v="0"/>
    <s v="Army"/>
    <x v="0"/>
    <x v="0"/>
    <s v="Indigenous"/>
    <x v="4"/>
    <x v="23"/>
    <s v="Ammunition"/>
    <s v=".38 caliber, .45 caliber, and 9mm ammunition"/>
    <s v=".38 caliber, .45 caliber, and 9mm ammunition"/>
    <s v="Not Applicable"/>
    <x v="85"/>
    <x v="1"/>
    <n v="59"/>
    <s v="Unknown"/>
    <s v="Confirmed"/>
    <n v="145"/>
    <s v="USD$"/>
    <n v="145"/>
    <s v="B2G"/>
    <s v="March"/>
    <n v="2022"/>
    <s v="Olin Winchester LLC, Oxford, Mississippi, was awarded a $145,000,000 fixed-price with economic price adjustment contract to manufacture .38 caliber, .45 caliber, and 9mm ammunition. Bids were solicited via the internet with one received. Work locations and funding will be determined with each order, with an estimated completion date of March 27, 2027. U.S. Army Contracting Command, Rock Island Arsenal, Illinois, is the contracting activity (W52P1J-22-D-0009)."/>
    <m/>
    <s v="https://www.defense.gov/News/Contracts/Contract/Article/2980587/"/>
  </r>
  <r>
    <x v="0"/>
    <x v="0"/>
    <s v="Navy"/>
    <x v="0"/>
    <x v="0"/>
    <s v="Indigenous"/>
    <x v="0"/>
    <x v="20"/>
    <s v="Destroyers"/>
    <s v="USS Mustin (DDG 89)"/>
    <s v="USS Mustin (DDG 89)"/>
    <s v="Crewed"/>
    <x v="8"/>
    <x v="0"/>
    <n v="19"/>
    <s v="Unknown"/>
    <s v="Confirmed"/>
    <n v="89.43"/>
    <s v="USD$"/>
    <n v="89.43"/>
    <s v="B2G"/>
    <s v="March"/>
    <n v="2022"/>
    <s v="BAE Systems - San Diego Ship Repair, San Diego, California, is awarded an $89,432,169, firm-fixed-price contract for the execution of the USS Mustin (DDG 89) fiscal 2022 depot modernization period. This availability will include a combination of maintenance, modernization and repair of the USS Mustin (DDG 89). This contract includes options which, if exercised, would bring the cumulative value of this contract to $95,201,563. Work will be performed in San Diego, California, and is expected to be completed by November 2023. Fiscal 2021 other procurement (Navy) in the amount of $65,912,200 (73.7%); fiscal 2022 other procurement (Navy) funds in the amount of $17,485,155 (19.6%); and fiscal 2022 operations and maintenance (Navy) funds in the amount of $6,034,814 (6.7%) will be obligated at time of award, of which funding in the amount of $6,034,814 will expire at the end of the current fiscal year. This contract was competitively procured using full and open competition via the Federal Business Opportunities website. Competitive proposals were received in response to Solicitation No. N00024-21-R-4485. The Naval Sea Systems Command, Washington, D.C., is the contracting activity (N00024-22-C-4485)."/>
    <m/>
    <s v="https://www.defense.gov/News/Contracts/Contract/Article/2980587/"/>
  </r>
  <r>
    <x v="0"/>
    <x v="0"/>
    <s v="Air Force"/>
    <x v="0"/>
    <x v="0"/>
    <s v="Indigenous"/>
    <x v="1"/>
    <x v="1"/>
    <s v="Fighter"/>
    <s v="F-15 Advanced Display Core Processor II "/>
    <s v="F-15 Advanced Display Core Processor II "/>
    <s v="Crewed"/>
    <x v="34"/>
    <x v="1"/>
    <s v="Not Applicable"/>
    <s v="Unknown"/>
    <s v="Confirmed"/>
    <n v="59.34"/>
    <s v="USD$"/>
    <n v="59.34"/>
    <s v="B2G"/>
    <s v="April"/>
    <n v="2022"/>
    <s v="The Boeing Co., St. Louis, Missouri, has been awarded a $59,341,883 firm-fixed-price, cost-plus-fixed-fee, fixed-price incentive-firm, undefinitized contract modification (P00032) to previously awarded contract FA8634-18-C-2698 for F-15 Advanced Display Core Processor II Full Rate Production 1. The location of performance is St. Louis, Missouri; multiple continental U.S. operating locations; and Lakenheath, United Kingdom, and is expected to be completed by July 30, 2025. This award is the result of a sole source acquisition. Fiscal 2020 Air Force procurement funds in the amount of $22,869,848; and fiscal 2022 working capital funds in the amount of $6,207,675 are being obligated at the time of award. Air Force Life Cycle Management Center, Wright-Patterson Air Force Base, Ohio, is the contracting activity."/>
    <m/>
    <s v="https://www.defense.gov/News/Contracts/Contract/Article/2986932/"/>
  </r>
  <r>
    <x v="0"/>
    <x v="0"/>
    <s v="Navy"/>
    <x v="0"/>
    <x v="0"/>
    <s v="Indigenous"/>
    <x v="5"/>
    <x v="7"/>
    <s v="Integrated C4ISR System"/>
    <s v="BAMS-D"/>
    <s v="BAMS-D"/>
    <s v="Uncrewed"/>
    <x v="4"/>
    <x v="0"/>
    <n v="11"/>
    <s v="Unknown"/>
    <s v="Confirmed"/>
    <n v="65.260000000000005"/>
    <s v="USD$"/>
    <n v="65.260000000000005"/>
    <s v="B2G"/>
    <s v="April"/>
    <n v="2022"/>
    <s v="Northrop Grumman System Corp., San Diego, California, is awarded a $65,256,002 modification (P00002) to a previously awarded cost-plus-fixed-fee contract (N0001921C0054). This modification exercises options to provide continued operation, logistics and sustainment engineering support, to include training, supply chain and spares management for Global Hawk peculiar items, peculiar support equipment, and technical publications in support of ensuring the Broad Area Maritime Surveillance Demonstrator (BAMS-D) aircraft are mission-capable for intelligence, surveillance and reconnaissance missions. Work will be performed in Patuxent River, Maryland (70%); undisclosed locations outside the continental U.S. (25%); and Rancho Bernardo, California (5%), and is expected to be completed in April 2023. Fiscal 2022 operations and maintenance (Navy) funds in the amount of $15,500,000 will be obligated at the time of award, all of which will expire at the end of the current fiscal year. The Naval Air Systems Command, Patuxent River, Maryland, is the contracting activity."/>
    <m/>
    <s v="https://www.defense.gov/News/Contracts/Contract/Article/2988684/"/>
  </r>
  <r>
    <x v="0"/>
    <x v="0"/>
    <s v="Defense Wide"/>
    <x v="0"/>
    <x v="0"/>
    <s v="Indigenous"/>
    <x v="4"/>
    <x v="28"/>
    <s v="Ballistic Missile"/>
    <s v="THAAD"/>
    <s v="THAAD"/>
    <s v="Crewed"/>
    <x v="53"/>
    <x v="1"/>
    <s v="Not Applicable"/>
    <s v="Unknown"/>
    <s v="Confirmed"/>
    <n v="74.09"/>
    <s v="USD$"/>
    <n v="74.09"/>
    <s v="B2G"/>
    <s v="April"/>
    <n v="2022"/>
    <s v="Lockheed Martin Corp. Missiles and Fire Control, Dallas, Texas, is being awarded a $74,085,614 modification (P00050) to a previously-awarded contract (HQ0147-17-C-0032) for the production of Terminal High Altitude Area Defense (THAAD) ground equipment to support the U.S. government.  The total maximum ceiling value of this contract is increased from $7,760,614,995 to $7,834,700,609.  Under this contract modification, Lockheed Martin will provide six launchers, THAAD Fire Control and Communication (TFCC), and associated Peculiar Support Equipment (PSE) under firm-fixed-price and fixed-price incentive (firm target) contract line items.  The work will be performed in Dallas, Texas; Lufkin, Texas; and Camden, Arkansas.  The period of performance is from April 8, 2022, to Sept. 30, 2025. Fiscal 2021 procurement funds in the amount of $74,085,614 are being obligated at time of award.  The Missile Defense Agency, Huntsville, Alabama, is the contracting activity."/>
    <m/>
    <s v="https://www.defense.gov/News/Contracts/Contract/Article/2994560/"/>
  </r>
  <r>
    <x v="0"/>
    <x v="0"/>
    <s v="Army"/>
    <x v="0"/>
    <x v="0"/>
    <s v="Indigenous"/>
    <x v="5"/>
    <x v="6"/>
    <s v="Not Applicable"/>
    <s v="Agile"/>
    <s v="Agile"/>
    <s v="Not Applicable"/>
    <x v="86"/>
    <x v="2"/>
    <n v="59"/>
    <s v="Unknown"/>
    <s v="Confirmed"/>
    <n v="118.2"/>
    <s v="USD$"/>
    <n v="118.2"/>
    <s v="B2G"/>
    <s v="April"/>
    <n v="2022"/>
    <s v="Peraton, Herndon, Virginia, was awarded a $118,209,707 firm-fixed-price contract for the procurement of services to support agile design and development of software used in the Integrated Air and Missile Defense Battle Command Systems for the Army Integrated Air and Missile Defense program. Bids were solicited via the internet with one received. Work locations and funding will be determined with each order, with an estimated completion date of April 13, 2027. U.S. Army Contracting Command, Redstone Arsenal, Alabama, is the contracting activity. (W31P4Q-22-F-0120). "/>
    <m/>
    <s v="https://www.defense.gov/News/Contracts/Contract/Article/3000253/"/>
  </r>
  <r>
    <x v="0"/>
    <x v="0"/>
    <s v="Navy"/>
    <x v="0"/>
    <x v="0"/>
    <s v="Indigenous"/>
    <x v="4"/>
    <x v="28"/>
    <s v="Ballistic Missile"/>
    <s v="Trident II"/>
    <s v="Trident II (D5)"/>
    <s v="Not Applicable"/>
    <x v="71"/>
    <x v="0"/>
    <m/>
    <s v="Unknown"/>
    <s v="Confirmed"/>
    <n v="396.7"/>
    <s v="USD$"/>
    <n v="396.7"/>
    <s v="B2G"/>
    <s v="April"/>
    <n v="2022"/>
    <s v="Lockheed Martin Space, Titusville, Florida, is awarded a $396,732,736 fixed-price-incentive modification (P00011) to exercise options under a previously awarded contract (N0003021C0100) for Trident II (D5) missile production and deployed systems support. Work will be performed in Magna, Utah (33.7%); Denver, Colorado (11%); Titusville, Florida (8.1%); Sunnyvale, California (8.1%); Cape Canaveral, Florida (7.4%); Camden, Arkansas (5.7%); Kingsport, Tennessee (5.2%); Pittsfield, Massachusetts (3.8%); Kings Bay, Georgia (3%); Rockford, Illinois (2.3%); Biddeford, Maine (1.9%); Elkton, Maryland (1.7%); East Aurora, New York (1.5%); Inglewood, California (1.1%); and other various locations (less than 1.0% each, 5.5% total). Work is expected to be completed Sept. 30, 2026. Fiscal 2022 weapon procurement (Navy) funds in the amount of $396,357,392; and fiscal 2021 weapon procurement (Navy) funds in the amount of $375,344 will be obligated at time of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m/>
    <s v="https://www.defense.gov/News/Contracts/Contract/Article/3004057/"/>
  </r>
  <r>
    <x v="0"/>
    <x v="0"/>
    <s v="Army"/>
    <x v="0"/>
    <x v="0"/>
    <s v="Indigenous"/>
    <x v="5"/>
    <x v="21"/>
    <s v="Radios"/>
    <s v="Cooler Liquid Electron Tube"/>
    <s v="Cooler Liquid Electron Tube"/>
    <s v="Not Applicable"/>
    <x v="87"/>
    <x v="1"/>
    <s v="Not Applicable"/>
    <s v="Unknown"/>
    <s v="Confirmed"/>
    <n v="55.9"/>
    <s v="USD$"/>
    <n v="55.9"/>
    <s v="B2G"/>
    <s v="April"/>
    <n v="2022"/>
    <s v="Lektron Inc.,* Hartselle, Alabama, was awarded a $55,896,703 firm-fixed-price contract for the procurement of Cooler Liquid Electron Tube modification kits hardware. Bids were solicited via the internet with one received. Work locations and funding will be determined with each order, with an estimated completion date of Sept. 30, 2025. U.S. Army Contracting Command, Redstone Arsenal, Alabama, is the contracting activity (W31P4Q-22-D-0011)."/>
    <m/>
    <s v="https://www.defense.gov/News/Contracts/Contract/Article/3004057/"/>
  </r>
  <r>
    <x v="0"/>
    <x v="0"/>
    <s v="Navy"/>
    <x v="0"/>
    <x v="0"/>
    <s v="Indigenous"/>
    <x v="0"/>
    <x v="20"/>
    <s v="Destroyers"/>
    <s v="DDG 1000 Class"/>
    <s v="DDG 1000 Class"/>
    <s v="Crewed"/>
    <x v="0"/>
    <x v="0"/>
    <n v="11"/>
    <s v="Unknown"/>
    <s v="Confirmed"/>
    <n v="482.7"/>
    <s v="USD$"/>
    <n v="482.7"/>
    <s v="B2G"/>
    <s v="April"/>
    <n v="2022"/>
    <s v="Raytheon Co., Raytheon Missiles &amp; Defense, Tewksbury, Massachusetts, is awarded a $482,714,279 cost-plus-incentive-fee, cost-plus-fixed-fee, cost-only, and firm-fixed-price contract for DDG 1000 Class Combat System activation, sustainment and modernization support for Mission Systems and Total Ship Computing Environment infrastructure (TSCEi) hardware/equipment, in addition to non-recurring engineering services supporting combat system installation, integration, development, testing, correction, maintenance, and modernization of Zumwalt-class Mission Systems and Mission System equipment. This contract includes options, which if exercised, would bring the cumulative value of this contract to $1,675,745,280. Work will be performed in Tewksbury, Massachusetts (37%); Portsmouth, Rhode Island (37%); San Diego, California (22%); Nashua, New Hampshire (2%); Pascagoula, Mississippi (1%); and Fort Wayne, Indiana (1%), and is expected to be completed by April 2023. If all options are exercised, work will continue through April 2027. Fiscal 2022 other procurement (Navy) funds in the amount of $5,100,000 (34%); fiscal 2022 shipbuilding and conversion (Navy) funds in the amount of $4,000,000 (26%); fiscal 2022 operations and maintenance (Navy) funds in the amount of  $3,209,388 (22%); fiscal 2022 research, development, test and evaluation (Navy) funds in the amount of $2,610,000 (17%); and fiscal 2021 research, development, test and evaluation (Navy) funds in the amount of $216,000 (1%) will be obligated at time of award, of which $3,425,388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5522)."/>
    <m/>
    <s v="https://www.defense.gov/News/Contracts/Contract/Article/3005618/"/>
  </r>
  <r>
    <x v="0"/>
    <x v="0"/>
    <s v="Army"/>
    <x v="0"/>
    <x v="0"/>
    <s v="Indigenous"/>
    <x v="4"/>
    <x v="23"/>
    <s v="Small Arms"/>
    <s v="XM250 NGSW"/>
    <s v="XM250 NGSW"/>
    <s v="Uncrewed"/>
    <x v="88"/>
    <x v="1"/>
    <s v="Not Applicable"/>
    <s v="Unknown"/>
    <s v="Confirmed"/>
    <n v="4500"/>
    <s v="USD$"/>
    <n v="4500"/>
    <s v="B2G"/>
    <s v="April"/>
    <n v="2022"/>
    <s v="Sig Sauer Inc., Newington, New Hampshire, was awarded a $4,500,000,000 firm-fixed-price contract for the manufacture and delivery of the XM5 Next Generation Squad Weapon Rifle, the XM250 NGSW Automatic Rifle and the 6.8 Common Cartridge Family of Ammunition, as well as accessories, spares and contractor support. Bids were solicited via the internet with two received. Work locations and funding will be determined with each order, with an estimated completion date of April 18, 2032. U.S. Army Contracting Command, Newark, New Jersey, is the contracting activity (W15QKN-22-D-0008). (Awarded April 19, 2022)"/>
    <m/>
    <s v="https://www.defense.gov/News/Contracts/Contract/Article/3007036/"/>
  </r>
  <r>
    <x v="0"/>
    <x v="0"/>
    <s v="Air Force"/>
    <x v="0"/>
    <x v="0"/>
    <s v="Indigenous"/>
    <x v="4"/>
    <x v="4"/>
    <s v="Electronic Attack"/>
    <s v="Tactical Electronic Warfare Production"/>
    <s v="Tactical Electronic Warfare Production"/>
    <s v="Not Applicable"/>
    <x v="89"/>
    <x v="0"/>
    <n v="60"/>
    <s v="Unknown"/>
    <s v="Confirmed"/>
    <n v="88.91"/>
    <s v="USD$"/>
    <n v="88.91"/>
    <s v="B2G"/>
    <s v="April"/>
    <n v="2022"/>
    <s v="Northrop Grumman Defense Systems Sector, McLean, Virginia, has been awarded an $88,913,751 indefinite-delivery/indefinite-quantity cost-type contract for Specialized Tactical Electronic Warfare Production Operation Technology Site support. Work will be performed in McLean, Virginia, and is expected to be completed by April 30, 2027. This award is the result of a sole source acquisition. Fiscal 2022 operations and maintenance funds in the amount of $17,094,449 are being obligated at time of award. Air Force Life Cycle Management Center, Robins Air Force Base, Georgia, is the contracting activity (FA8523-22-C-0001)."/>
    <m/>
    <s v="https://www.defense.gov/News/Contracts/Contract/Article/3007036/"/>
  </r>
  <r>
    <x v="0"/>
    <x v="0"/>
    <s v="Navy"/>
    <x v="0"/>
    <x v="0"/>
    <s v="Indigenous"/>
    <x v="5"/>
    <x v="7"/>
    <s v="Integrated C4ISR System"/>
    <s v="LCS, COMBATSS-21"/>
    <s v="LCS, COMBATSS-21"/>
    <s v="Crewed"/>
    <x v="90"/>
    <x v="0"/>
    <n v="11"/>
    <s v="Unknown"/>
    <s v="Confirmed"/>
    <n v="106.4"/>
    <s v="USD$"/>
    <n v="106.4"/>
    <s v="B2G"/>
    <s v="April"/>
    <n v="2022"/>
    <s v="Lockheed Martin, Rotary and Mission Systems, Moorestown, New Jersey, was awarded a $106,403,231 cost-plus-incentive-fee and cost only modification to previously awarded contract N00024-20-C-5601 to exercise options for sustainment of the Littoral Combat Ship (LCS) Component Based Total Ship System – 21st Century (COMBATSS-21) and associated Combat System elements. Work will be performed in Moorestown, New Jersey (84%); Camden, New Jersey (5%); Virginia Beach, Virginia (5%); Deer Creek, Colorado (2%); Manassas, Virginia (1%); Orlando, Florida (1%); and various other locations under 1% (2%), and is expected to be completed by April 2023. Fiscal 2021 research, development, test and evaluation (Navy) funds in the amount of $2,264,999 (80%); and fiscal 2022 operations and maintenance (Navy) funding in the amount of $581,373 (20%) will be obligated at time of award and $2,846,372 will expire at the end of the current fiscal year. The Naval Sea Systems Command, Washington, D.C., is the contracting activity. (Awarded April 20, 2022)"/>
    <m/>
    <s v="https://www.defense.gov/News/Contracts/Contract/Article/3009811/"/>
  </r>
  <r>
    <x v="0"/>
    <x v="0"/>
    <s v="Navy"/>
    <x v="0"/>
    <x v="0"/>
    <s v="Indigenous"/>
    <x v="4"/>
    <x v="28"/>
    <s v="Air-to-Surface"/>
    <s v="AGM-88 HARM"/>
    <s v="AGM-88 HARM"/>
    <s v="Not Applicable"/>
    <x v="24"/>
    <x v="1"/>
    <s v="Not Applicable"/>
    <n v="42"/>
    <s v="Confirmed"/>
    <n v="62.08"/>
    <s v="USD$"/>
    <n v="62.08"/>
    <s v="B2G"/>
    <s v="April"/>
    <n v="2022"/>
    <s v="Alliant Techsystems Operations LLC, a wholly-owned subsidiary of Northrop Grumman Defense Systems Sector, Northridge, California, is awarded a $62,076,093 firm-fixed-price modification (P00004) to a previously awarded contract (N0001921C0044). This modification exercises options for the production and delivery of an additional 42 Air-to-Ground Missile-88G Advanced Anti-Radiation Guided Missile-Extended Range all up rounds, as well as manufacturing supplies and support. Work will be performed in Northridge, California (61%); Rocket Center, West Virginia (32%); and Ridgecrest, California (7%), and is expected to be completed in December 2024. Fiscal 2022 weapons procurement (Navy) funds in the amount of $53,550,520; fiscal 2022 research, development, test and evaluation (Navy) funds in the amount of $6,295,132; and fiscal 2021 weapons procurement (Navy) funds in the amount of $2,230,441 will be obligated at the time of award, none of which will expire at the end of the current fiscal year. The Naval Air Systems Command, Patuxent River, Maryland is the contracting activity."/>
    <m/>
    <s v="https://www.defense.gov/News/Contracts/Contract/Article/3009811/"/>
  </r>
  <r>
    <x v="0"/>
    <x v="0"/>
    <s v="Army"/>
    <x v="0"/>
    <x v="0"/>
    <s v="Indigenous"/>
    <x v="4"/>
    <x v="18"/>
    <s v="Launchers"/>
    <s v="HIMARS"/>
    <s v="HIMARS"/>
    <s v="Not Applicable"/>
    <x v="13"/>
    <x v="0"/>
    <n v="36"/>
    <s v="Unknown"/>
    <s v="Confirmed"/>
    <n v="204.73"/>
    <s v="USD$"/>
    <n v="204.73"/>
    <s v="B2G"/>
    <s v="April"/>
    <n v="2022"/>
    <s v="Lockheed Martin Corporation, Grand Prairie, Texas, was awarded a $204,725,645 fixed-price-incentive contract for production of High Mobility Artillery Rock Systems M142 launchers and support requirements. Bids were solicited via the internet with one received. Work will be performed in Dallas, Texas; Archbald, Pennsylvania; Camden, Arkansas; York, Pennsylvania; Palm Bay, Florida; Brownsboro, Alabama; Boca Raton, Florida; Whippany, New Jersey; Jackson, Mississippi; and Clearwater, Florida, with an estimated completion date of April 29, 2025. Fiscal 2022 missile procurement, Army funds and Department of Defense Public Enterprise funds in the amount of $81,303,650 were obligated at the time of the award. Army Contracting Command, Redstone Arsenal, Alabama, is the contracting activity (W31P4Q-22-C-0047). "/>
    <m/>
    <s v="https://www.defense.gov/News/Contracts/Contract/Article/3015543/"/>
  </r>
  <r>
    <x v="0"/>
    <x v="0"/>
    <s v="Navy"/>
    <x v="0"/>
    <x v="0"/>
    <s v="Indigenous"/>
    <x v="1"/>
    <x v="17"/>
    <s v="Rotary Wing Transport"/>
    <s v="MV-22B"/>
    <s v="MV-22B"/>
    <s v="Crewed"/>
    <x v="27"/>
    <x v="1"/>
    <s v="Not Applicable"/>
    <n v="4"/>
    <s v="Confirmed"/>
    <n v="302.14999999999998"/>
    <s v="USD$"/>
    <n v="302.14999999999998"/>
    <s v="B2G"/>
    <s v="April"/>
    <n v="2022"/>
    <s v="Bell Boeing Joint Project Office, Amarillo, Texas, is awarded a $302,152,612 modification (P00053) to a previously awarded fixed-price incentive (firm target), cost-plus-fixed-fee contract (N0001917C0015) for the production and delivery of four MV-22B variation in quantity aircraft for the Marine Corps.  Work will be performed in Fort Worth, Texas (30.08%); Ridley Park, Pennsylvania (15.22%); Amarillo, Texas (12.73%); Red Oak, Texas (3.33%); East Aurora, New York (2.55%); Park City, Utah (2.20%); McKinney, Texas (1.33%); Endicott, New York (1.15%); various locations within the continental U.S. (27.49%); and various locations outside the continental U.S. (3.92%), and is expected to be completed in November 2025. Fiscal 2022 aircraft procurement (Navy) funds in the amount of $302,152,612 will be obligated at the time of award, none of which will expire at the end of the current fiscal year. The Naval Air Systems Command, Patuxent River, Maryland, is the contracting activity."/>
    <m/>
    <s v="https://www.defense.gov/News/Contracts/Contract/Article/3015543/"/>
  </r>
  <r>
    <x v="0"/>
    <x v="0"/>
    <s v="Army"/>
    <x v="0"/>
    <x v="0"/>
    <s v="Indigenous"/>
    <x v="4"/>
    <x v="25"/>
    <s v="Other"/>
    <s v="Javelin Missile System"/>
    <s v="Javelin Missile System"/>
    <s v="Crewed"/>
    <x v="91"/>
    <x v="1"/>
    <s v="Not Applicable"/>
    <s v="Unknown"/>
    <s v="Confirmed"/>
    <n v="237.9"/>
    <s v="USD$"/>
    <n v="237.9"/>
    <s v="B2G"/>
    <s v="May"/>
    <n v="2022"/>
    <s v="Raytheon/Lockheed Martin Javelin JV, Tucson, Arizona, was awarded a $237,892,096 modification (P00064) to contract W31P4Q-19-C-0076 for the Javelin Missile System. Work will be performed in Tucson, Arizona, with an estimated completion date of Nov. 30, 2025. Fiscal 2022 missile procurement, Army funds in the amount of $237,892,096 were obligated at the time of the award. U.S. Army Contracting Command, Redstone Arsenal, Alabama, is the contracting activity."/>
    <m/>
    <s v="https://www.defense.gov/News/Contracts/Contract/Article/3023476/"/>
  </r>
  <r>
    <x v="0"/>
    <x v="0"/>
    <s v="Defense Wide"/>
    <x v="0"/>
    <x v="0"/>
    <s v="Indigenous"/>
    <x v="6"/>
    <x v="24"/>
    <s v="Amphibious Assault Vehicles"/>
    <s v="Amphibious Combat Vehicles"/>
    <s v="Amphibious Combat Vehicles"/>
    <s v="Crewed"/>
    <x v="8"/>
    <x v="1"/>
    <s v="Not Applicable"/>
    <s v="Unknown"/>
    <s v="Confirmed"/>
    <n v="89.47"/>
    <s v="USD$"/>
    <n v="89.47"/>
    <s v="B2G"/>
    <s v="May"/>
    <n v="2022"/>
    <s v="BAE Systems Land &amp; Armaments L.P., Sterling Heights, Michigan, is awarded an $89,467,675 firm-fixed-price modification (P00148) to previously awarded contract M67854-16-0006 for Amphibious Combat Vehicles (ACV). The total cumulative face value of the contract is $1,825,427,258. This contract modification provides for the exercise of options for the procurement of 14 full-rate production ACV Command variants and associated production, and fielding and support costs. Work will be performed in York, Pennsylvania (60%); Aiken, South Carolina (15%); San Jose, California (15%); Sterling Heights, Michigan (5%); and Stafford, Virginia (5%), with an expected completion date of July 2024. Fiscal 2022 procurement (Marine Corps) funds in the amount of $89,467,675 will be obligated at the time of award, and will not expire at the end of the current fiscal year. Marine Corps Systems Command, Quantico, Virginia, is the contracting activity (M67854-16-C-0006)."/>
    <m/>
    <s v="https://www.defense.gov/News/Contracts/Contract/Article/3025382/"/>
  </r>
  <r>
    <x v="0"/>
    <x v="0"/>
    <s v="Navy"/>
    <x v="0"/>
    <x v="0"/>
    <s v="Indigenous"/>
    <x v="1"/>
    <x v="17"/>
    <s v="Transport Aircraft"/>
    <s v="V-22"/>
    <s v="V-22"/>
    <s v="Crewed"/>
    <x v="92"/>
    <x v="0"/>
    <n v="60"/>
    <s v="Not applicable"/>
    <s v="Confirmed"/>
    <n v="60.7"/>
    <s v="USD$"/>
    <n v="60.7"/>
    <s v="B2G"/>
    <s v="September"/>
    <n v="2021"/>
    <s v="Hamilton Sundstrand Corp., Rockford, Illinois, is awarded a $60,697,125 five-year, long-term, firm-fixed-priced requirements contract for the repair of the constant frequency generator used on the V-22 aircraft in support of the weapon replaceable assemblies and shop replaceable assemblies programs. All work will be performed in Rockford, Illinois, and work is expected to be completed by September 2026. No funds will be obligated at time of award. Working capital funds (Navy) will be obligated as individual task orders are issued, and funds will not expire at the end of the current fiscal year. One source was solicited for this non-competitive requirement under authority 10 U.S. Code 2304 (c)(1), with one offer received. Naval Supply Systems Command Weapon Systems Support, Philadelphia, Pennsylvania, is the contracting activity (N00383-21-D-ZQ01)."/>
    <m/>
    <s v="https://www.defense.gov/News/Contracts/Contract/Article/2762096/"/>
  </r>
  <r>
    <x v="0"/>
    <x v="0"/>
    <s v="Air Force"/>
    <x v="0"/>
    <x v="0"/>
    <s v="Indigenous"/>
    <x v="2"/>
    <x v="2"/>
    <s v="Not Applicable"/>
    <m/>
    <m/>
    <s v="Not Applicable"/>
    <x v="63"/>
    <x v="1"/>
    <s v="Not Applicable"/>
    <s v="Unknown"/>
    <s v="Confirmed"/>
    <n v="121.97"/>
    <s v="USD$"/>
    <n v="121.97"/>
    <s v="B2G"/>
    <s v="September"/>
    <n v="2021"/>
    <s v="Hensel Phelps Construction Co., Thornton, Colorado, was awarded a $121,968,000 firm-fixed-price contract to construct the Consolidated Space Operations Facility at Schriever Air Force Base. Bids were solicited via the internet with five received. Work will be performed in Colorado Springs, Colorado, with an estimated completion date of Jan. 2, 2025. Fiscal 2021 military construction, Air Force funds in the amount of $121,968,000 were obligated at the time of the award. U.S. Army Corps of Engineers, Omaha, Nebraska, is the contracting activity (W9128F-21-C-0041)."/>
    <m/>
    <s v="https://www.defense.gov/News/Contracts/Contract/Article/2762096/"/>
  </r>
  <r>
    <x v="3"/>
    <x v="6"/>
    <s v="Air Force"/>
    <x v="0"/>
    <x v="0"/>
    <s v="Imported"/>
    <x v="5"/>
    <x v="37"/>
    <s v="Other"/>
    <s v="Mode 5 Software"/>
    <s v="Mode 5 Software"/>
    <s v="Not Applicable"/>
    <x v="93"/>
    <x v="2"/>
    <n v="22"/>
    <s v="Not applicable"/>
    <s v="Estimated"/>
    <n v="39.85"/>
    <s v="USD$"/>
    <n v="39.85"/>
    <s v="G2G"/>
    <s v="September"/>
    <n v="2021"/>
    <s v="Northrop Grumman Aerospace Systems, San Diego, California, was awarded a not-to-exceed $39,852,000 cost-plus-incentive-fee and fixed-price (incentive) firm contract modification (P00032) for contract FA8620-18-C-1000 both the Japan and Republic of Korea Global Hawk Program. This is a cofounded joint Foreign Military Sales (FMS) program. The contract provides for the co-development, test and integration of the Mode 5 software for the Republic of Korea and Japan Global Hawk fleets. The location of performance is San Diego, California, with integration efforts completing in both Misawa Air Base, Japan; and Sacheon, Air Base, Republic of Korea. The base award work is expected to be complete by July 31, 2023. This contract is for FMS to Japan and is the result of a sole source acquisition. FMS funds in the amount of $14,053,400 was obligated at the time of award. Air Force Life Cycle Management Center, Global Hawk Division, Wright-Patterson Air Force Base, Ohio, is the contracting activity."/>
    <m/>
    <s v="https://www.defense.gov/News/Contracts/Contract/Article/2762096/"/>
  </r>
  <r>
    <x v="0"/>
    <x v="0"/>
    <s v="Air Force"/>
    <x v="0"/>
    <x v="0"/>
    <s v="Indigenous"/>
    <x v="2"/>
    <x v="30"/>
    <s v="Not Applicable"/>
    <s v="F-35C Hangar"/>
    <s v="F-35C Hangar"/>
    <s v="Not Applicable"/>
    <x v="94"/>
    <x v="1"/>
    <s v="Not Applicable"/>
    <s v="Not applicable"/>
    <s v="Confirmed"/>
    <n v="101.74"/>
    <s v="USD$"/>
    <n v="101.74"/>
    <s v="B2G"/>
    <s v="September"/>
    <n v="2021"/>
    <s v="Harper Construction Co., Inc., San Diego, California, was awarded a $101,741,289 firm-fixed-price construction contract for design and construction of an F-35C hangar addition at Naval Air Station Lemoore, California. The project will include the construction of a two-module addition in support of F-35C operational squadrons. It will construct an aircraft parking apron and marshalling area, access apron and shoulders, taxiway connections and associated lighting, and construct an alternate mission equipment storage facility. The hangar addition will be constructed with reinforced concrete masonry unit, structural steel frames, metal deck and pile foundation. The work to be performed includes design and construction of the F-35C hangar addition to Hangar 6. The contract also contains one unexercised option, which, if exercised, would increase cumulative contract value to $102,104,756. Work will be performed in Lemoore, California, and is expected to be completed by March 2024. Fiscal 2021 military construction, (Navy) contract funds in the amount of $46,428,527 are obligated on this award and will not expire at the end of the current fiscal year. Funds will obligated on individual task orders as they are issued. This contract was competitively procured via Sam.Gov website with five proposals received. The Naval Facilities Engineering Systems Command, Southwest, San Diego, California, is the contracting activity (N62473-21-C-1011). (Awarded Aug. 31, 2021)"/>
    <s v="SGA: What would be the System name in specific and general as he is stating about F-35C hanger, kindly suggest._x000a__x000a_AWN-Defence: Both System name general and specifc would by &quot;F-35C Hanger&quot; as that is all the detail that is given"/>
    <s v="https://www.defense.gov/News/Contracts/Contract/Article/2763413/"/>
  </r>
  <r>
    <x v="0"/>
    <x v="0"/>
    <s v="Air Force"/>
    <x v="0"/>
    <x v="0"/>
    <s v="Indigenous"/>
    <x v="2"/>
    <x v="30"/>
    <s v="Not Applicable"/>
    <m/>
    <m/>
    <s v="Not Applicable"/>
    <x v="95"/>
    <x v="1"/>
    <s v="Not Applicable"/>
    <s v="Not applicable"/>
    <s v="Confirmed"/>
    <n v="54.92"/>
    <s v="USD$"/>
    <n v="54.92"/>
    <s v="B2G"/>
    <s v="September"/>
    <n v="2021"/>
    <s v="R.A. Burch Construction Co., Inc.,* Ramona, California, is awarded a $54,921,192 firm fixed-price task order (N6247321F5334) under a multiple award construction contract for the design and construction of an aerial port squadron materiel warehouse at Travis Air Force Base, California. The task order also contains 12 unexercised options, which if exercised, would increase cumulative task order value to $76,136,657. Work will be performed in Fairfield, California, and is expected to be completed by December 2023. Fiscal 2017, 2019, 2020 military construction, (Air Force); and fiscal 2021 other procurement, (OP) (Air Force) contract funds in the amount of $54,921,192 are obligated on this award and only the OP (Air Force) contract funds will expire at the end of the current fiscal year. Three proposals were received for this task order. The Naval Facilities Engineering Systems Command, Southwest, San Diego, California, is the contracting activity (N62473-18-D-5852)."/>
    <s v="SGA: Kindly suggest the system names for such instances._x000a__x000a_AWN-Defence: The name would be &quot;Aerial Port Squadron Materiel Warehouse&quot; as that is all the detail that is given"/>
    <s v="https://www.defense.gov/News/Contracts/Contract/Article/2763413/"/>
  </r>
  <r>
    <x v="0"/>
    <x v="0"/>
    <s v="Air Force"/>
    <x v="0"/>
    <x v="0"/>
    <s v="Indigenous"/>
    <x v="5"/>
    <x v="7"/>
    <s v="Integrated C4ISR System"/>
    <s v="Agile Combat"/>
    <s v="Agile Combat"/>
    <s v="Crewed"/>
    <x v="11"/>
    <x v="0"/>
    <n v="119"/>
    <s v="Not applicable"/>
    <s v="Confirmed"/>
    <n v="78.8"/>
    <s v="USD$"/>
    <n v="78.8"/>
    <s v="B2G"/>
    <s v="September"/>
    <n v="2021"/>
    <s v="Southwest Research Institute, San Antonio, Texas; and Warner Robins, Georgia, has been awarded a $78,800,000 indefinite-delivery/indefinite-quantity contract to provide research and engineering support to the Air Force Life Cycle Management Center, Agile Combat Support. Work will be performed in Warner Robins, Georgia, and is expected to be completed by Aug. 30, 2031. This contract allows for Foreign Military Sales inclusion, and is the result of a sole source acquisition. Fiscal 2021 operation and maintenance funds in the amount of $280,000 are being obligated at the time of award. Air Force Life Cycle Management Center, Robins Air Force Base, Georgia, is the contracting activity (FA8523-21-D-0007)."/>
    <s v="SGA: Does the Agile Combat fits in the system name in general and specify._x000a__x000a_AWN-Defence: &quot;Agile Combat support&quot; can be left out as &quot;Air Force Life Cycle Management Center&quot; is a sufficient name for the infrastructure."/>
    <s v="https://www.defense.gov/News/Contracts/Contract/Article/2763413/"/>
  </r>
  <r>
    <x v="0"/>
    <x v="0"/>
    <s v="Army"/>
    <x v="0"/>
    <x v="0"/>
    <s v="Indigenous"/>
    <x v="5"/>
    <x v="7"/>
    <s v="Integrated C4ISR System"/>
    <s v="IBCS"/>
    <s v="IBCS"/>
    <s v="Crewed"/>
    <x v="4"/>
    <x v="1"/>
    <s v="Not Applicable"/>
    <s v="Unknown"/>
    <s v="Confirmed"/>
    <n v="50.24"/>
    <s v="USD$"/>
    <n v="50.24"/>
    <s v="B2G"/>
    <s v="September"/>
    <n v="2021"/>
    <s v="Northrop Grumman Systems Corp., Huntsville, Alabama, was awarded a $50,239,927 modification (PZ0018) to contract W31P4Q-19-C-0003 for Integrated Battle Command Systems hardware and software. Work will be performed in Huntsville, Alabama, with an estimated completion date of Dec. 31, 2025. Fiscal 2010 Foreign Military Sales (Poland) funds in the amount of $50,239,927 were obligated at the time of the award. U.S. Army Contracting Command, Redstone Arsenal, Alabama, is the contracting activity."/>
    <m/>
    <s v="https://www.defense.gov/News/Contracts/Contract/Article/2763413/"/>
  </r>
  <r>
    <x v="0"/>
    <x v="0"/>
    <s v="Navy"/>
    <x v="0"/>
    <x v="0"/>
    <s v="Indigenous"/>
    <x v="1"/>
    <x v="1"/>
    <s v="Fighter"/>
    <s v="F-35"/>
    <s v="F-135 Engines"/>
    <s v="Crewed"/>
    <x v="91"/>
    <x v="0"/>
    <n v="38"/>
    <s v="Not applicable"/>
    <s v="Confirmed"/>
    <n v="736.6"/>
    <s v="USD$"/>
    <n v="736.6"/>
    <s v="B2G"/>
    <s v="September"/>
    <n v="2021"/>
    <s v="United Technologies Corp., Pratt and Whitney Military Engines, East Hartford, Connecticut, is awarded a $736,636,842 modification (P00002) to a previously awarded firm-fixed-price indefinite-delivery/indefinite-quantity contract (N0001920D0013). This modification increases the ceiling to procure propulsion system spare parts, modules, support equipment/packaging handling shipping and transportation material, and depot lay-in material in support of the F-135 propulsion system requirements of the Air Force, Marine Corps, Navy, and non-Department of Defense participants. Work will be performed in East Hartford, Connecticut (56%); North Berwick, Maine (13%); Indianapolis, Indiana (10%); Jupiter, Florida (7%); Windsor Locks, Connecticut (5%); Bristol, United Kingdom (4%); Rockford, Illinois (2%); Santa Isabel, Puerto Rico (2%); and Phoenix, Arizona (1%), and is expected to be completed in December 2024. No funds will be obligated at the time of award; funds will be obligated on individual orders as they are issued. The Naval Air Systems Command, Patuxent River, Maryland, is the contracting activity."/>
    <s v="SGA: The following statement “to procure propulsion system spare parts, modules, support equipment/packaging handling shipping and transportation material, and depot lay-in material” this included with multiple component, what must be included in the system name in specific and general?_x000a__x000a_AWN: Spare parts and support are considered to be MRO/Support contracts, and so the system name would be F-35 -&gt; F135 Engines."/>
    <s v="https://www.defense.gov/News/Contracts/Contract/Article/2764928/"/>
  </r>
  <r>
    <x v="0"/>
    <x v="0"/>
    <s v="Navy"/>
    <x v="0"/>
    <x v="0"/>
    <s v="Indigenous"/>
    <x v="5"/>
    <x v="7"/>
    <s v="Integrated C4ISR System"/>
    <m/>
    <m/>
    <s v="Not Applicable"/>
    <x v="91"/>
    <x v="0"/>
    <n v="60"/>
    <s v="Not applicable"/>
    <s v="Confirmed"/>
    <n v="556"/>
    <s v="USD$"/>
    <n v="556"/>
    <s v="B2G"/>
    <s v="September"/>
    <n v="2021"/>
    <s v="Booz Allen Hamilton, McLean, Virginia (N00189-21-D-Z046); CACI Inc. – Federal, Chantilly, Virginia (N00189-21-D-Z047); Science Applications International Corp., Reston, Virginia (N00189-21-D-Z048); Capstone Corp., Alexandria, Virginia (N00189-21-D-Z049); and 22nd Century Technologies Inc., McLean, Virginia (N00189-21-D-Z050), are awarded an estimated $556,014,538 cost-plus-fixed-fee, indefinite-delivery/indefinite-quantity, multiple-award contract that will include terms and conditions for the placement of both cost-plus-fixed-fee and firm-fixed-price task orders to provide technical services that include information technology (IT) enterprise architecture, portfolio management, governance operations, information management/IT requirements management, development and refinement of legacy information systems sustainment and transformation to the optimized MyNavyHR operational construct, and continuum of on-site and off-site support in support of Office of the Chief of Naval Operations (OPNAV) Information Technology Department Command Information Office statutory oversight responsibilities. The contracts will run concurrently and will include a 60-month base ordering period with an additional six-month ordering period option, which if exercised, will bring the estimated cumulative value to $800,000,000. The base ordering period will begin November 2021 and is expected to be completed by October 2026; if the option is exercised, the ordering period will be completed by April 2027. Work will be performed in Pensacola, Florida (40%); Millington, Tennessee (30%); Arlington, Virginia (20%); and various locations throughout the continental U.S. in which those locations cannot be determined at this time (10%). Fiscal 2022 operation and maintenance (Navy) funds in the amount of $50,000 ($10,000 on each of the three contracts) will be obligated to fund the contracts’ minimum amounts, and funds will expire at the end of the fiscal year. Individual task orders will be subsequently funded with appropriate fiscal year appropriations at the time of their issuance. This contract was competitively procured for the award of multiple contracts pursuant to the authority set forth in Federal Acquisition Regulation 16.504 with the solicitation posted on beta.SAM.gov, with 17 offers received. Naval Supply Systems Command Fleet Logistics Center Norfolk, Contracting Department, Philadelphia Office, Philadelphia, Pennsylvania, is the contracting activity. "/>
    <m/>
    <s v="https://www.defense.gov/News/Contracts/Contract/Article/2764928/"/>
  </r>
  <r>
    <x v="3"/>
    <x v="9"/>
    <s v="Navy"/>
    <x v="0"/>
    <x v="0"/>
    <s v="Imported"/>
    <x v="1"/>
    <x v="17"/>
    <s v="Rotary Wing Maritime"/>
    <s v="MH-60R"/>
    <s v="MH-60R"/>
    <s v="Crewed"/>
    <x v="13"/>
    <x v="2"/>
    <n v="71"/>
    <s v="Unknown"/>
    <s v="Estimated"/>
    <n v="208.1"/>
    <s v="USD$"/>
    <n v="208.1"/>
    <s v="B2G"/>
    <s v="September"/>
    <n v="2021"/>
    <s v="Lockheed Martin Corp., Owego, New York, is awarded a not-to-exceed $208,113,847 undefinitized, firm-fixed-price, cost-plus-fixed-fee modification (P00029) to a previously awarded contract (N0001919C0013). This modification adds scope to provide non-recurring engineering for Phase II design and development of unique hardware and software for the government of India in support of the MH-60R development program. Work will be performed in Owego, New York (81%); and Stratford, Connecticut (19%), and is expected to be completed in September 2027. Foreign Military Sales customer funds in the amount of $47,100,000 will be obligated at time of award, none of which will expire at the end of the current fiscal year. The Naval Air Systems Command, Patuxent River, Maryland, is the contracting activity."/>
    <s v="SGA: Unclear about the system type and market segment for software and hardware (in support of MH-60R development program); please suggest._x000a_AWN: It is a contract to develop the capabilities of the MH-60R maritime helicopter, so the market segment is air platforms and the system type is rotary wing maritime"/>
    <s v="https://www.defense.gov/News/Contracts/Contract/Article/2764928/"/>
  </r>
  <r>
    <x v="0"/>
    <x v="0"/>
    <s v="Navy"/>
    <x v="0"/>
    <x v="0"/>
    <s v="Indigenous"/>
    <x v="5"/>
    <x v="7"/>
    <s v="Integrated C4ISR System"/>
    <s v="ICP"/>
    <s v="ICP"/>
    <s v="Not Applicable"/>
    <x v="96"/>
    <x v="1"/>
    <s v="Not Applicable"/>
    <s v="Unknown"/>
    <s v="Confirmed"/>
    <n v="63.63"/>
    <s v="USD$"/>
    <n v="63.63"/>
    <s v="B2G"/>
    <s v="September"/>
    <n v="2021"/>
    <s v="Lockheed Martin – Rotary and Mission Systems, Manassas, Virginia, was awarded a $63,625,766 modification to increase the ceiling of the existing indefinite-delivery/indefinite quantity, cost-plus-fixed-fee, cost-plus-incentive-fee, and firm-fixed price contract (N00039-18-D-0001) for the Integrated Common Processor (ICP) on behalf of the Program Executive Office Submarines’ Maritime Surveillance Systems Program Office. The ICP program provides a common Integrated Undersea Surveillance Systems (IUSS) signal processing and display system software and hardware suite for Surveillance Towed Array Sensor System ships and IUSS shore sites. No funding is being placed on the modification. Contract actions will be issued and funds obligated as individual delivery orders. Funds will be placed on contract with an initial delivery order issued to the contractor at the time of award. Work will be performed in Manassas, Virginia, and is expected to be completed by December 2022. This contract was not competitively procured because it is a sole source acquisition pursuant to the authority of 10 U.S. Code 2304(c)(1) - Only One Responsible Source (Federal Acquisition Regulation Subpart 6.302-1). Naval Information Warfare Systems Command, San Diego, California, is the contracting activity. (Awarded Sept. 2, 2021)"/>
    <m/>
    <s v="https://www.defense.gov/News/Contracts/Contract/Article/2764928/"/>
  </r>
  <r>
    <x v="0"/>
    <x v="0"/>
    <s v="Navy"/>
    <x v="0"/>
    <x v="0"/>
    <s v="Indigenous"/>
    <x v="1"/>
    <x v="17"/>
    <s v="Rotary Wing Maritime"/>
    <s v="MH-60"/>
    <s v="MH-60"/>
    <s v="Crewed"/>
    <x v="96"/>
    <x v="2"/>
    <n v="34"/>
    <s v="Unknown"/>
    <s v="Confirmed"/>
    <n v="25.806999999999999"/>
    <s v="USD$"/>
    <n v="25.806999999999999"/>
    <s v="B2G"/>
    <s v="September"/>
    <n v="2021"/>
    <s v="Lockheed Martin Rotary and Mission Systems, Owego, New York, is awarded a $25,806,713 firm-fixed price, cost-plus-fixed-fee order (N0001921F0042) against a previously issued basic ordering agreement (N0001919G0029). This order provides non-recurring engineering for the development, integration, testing, and deployment of the MH-60 Product Line System Configuration 24 fleet release for all MH-60 air platform variants, to include baseline management integrated management planning, integrated development environment support, support equipment baseline management, software architect, core lab support, problem trouble report legacy support, engineering tools support, and development aircraft support for the Navy and Foreign Military Sales (FMS) customers. Work will be performed in Owego, New York (98%); Nowra, Australia (1%); and Karup, Denmark (1%), and is expected to be completed in August 2024. Fiscal 2021 research, development, test and evaluation (Navy) funds in the amount of $3,500,000; and FMS funds in the amount of $6,497,044 will be obligated at the time of award, none of which will expire at the end of the current fiscal year. The Naval Air Systems Command, Patuxent River, Maryland, is the contracting activity."/>
    <m/>
    <s v="https://www.defense.gov/News/Contracts/Contract/Article/2764928/"/>
  </r>
  <r>
    <x v="0"/>
    <x v="0"/>
    <s v="Air Force"/>
    <x v="0"/>
    <x v="0"/>
    <s v="Indigenous"/>
    <x v="5"/>
    <x v="21"/>
    <s v="Other"/>
    <s v="Unknown"/>
    <s v="Unknown"/>
    <s v="Not Applicable"/>
    <x v="97"/>
    <x v="1"/>
    <s v="Not Applicable"/>
    <s v="Not applicable"/>
    <s v="Estimated"/>
    <n v="600"/>
    <s v="USD$"/>
    <n v="600"/>
    <s v="B2G"/>
    <s v="September"/>
    <n v="2021"/>
    <s v="Trace Systems Inc., Vienna, Virginia, was awarded a competitive, single award, indefinite-delivery/indefinite-quantity contract to provide communications systems acquisition, integration, installation, and operations and maintenance in support of U.S. Air Forces Central Command (USAFCENT) deployed mission requirements. The not-to-exceed/ceiling value of the contract is $600,000,000.  The minimum guarantee will be funded by fiscal 2021 operation and maintenance funds. Primary performance will be at USAFCENT locations throughout Southwest Asia.  The solicitation (HC1028-19-R-0009) was issued as a full and open competitive action via Beta.Sam.Gov, and seven proposals were received.  The ordering period consists of a one-year base period (Sept. 20, 2021, through Sept. 19, 2022) with four one-year option periods for a total contract life cycle of five years (Sept. 20, 2021, through Sept. 19, 2026).  The Defense Information Technology Contracting Organization, Scott Air Force Base, Illinois, is the contracting activity (HC1028-21-D-0002)."/>
    <s v="SGA: This contract is about acquisition of communication system; however, the contract also mentioned “fiscal 2021 operation and maintenance” Unsure about the MRO or procurement, kindly suggest._x000a__x000a_AWN-Defence: “fiscal 2021 operation and maintenance” is stated as covering the minimum guarantee of the award, not the whole thing. Therefore, given that aquisition is listed first, it would be recorded as a procurement contract."/>
    <s v="https://www.defense.gov/News/Contracts/Contract/Article/2764928/"/>
  </r>
  <r>
    <x v="0"/>
    <x v="0"/>
    <s v="Defense Wide"/>
    <x v="0"/>
    <x v="0"/>
    <s v="Indigenous"/>
    <x v="4"/>
    <x v="28"/>
    <s v="Surface-to-Air"/>
    <s v="GBI BVs"/>
    <s v="GBI BVs"/>
    <s v="Not Applicable"/>
    <x v="98"/>
    <x v="1"/>
    <s v="Not Applicable"/>
    <s v="Unknown"/>
    <s v="Confirmed"/>
    <n v="421.6"/>
    <s v="USD$"/>
    <n v="421.6"/>
    <s v="B2G"/>
    <s v="September"/>
    <n v="2021"/>
    <s v="Northrop Grumman Systems Corp., Northrop Grumman Space Systems Sector, Chandler, Arizona, is being awarded a noncompetitive, indefinite-delivery/indefinite-quantity, hybrid contract (cost-plus-award-fee, cost-plus-incentive-fee, cost-plus-fixed-fee, fixed-price incentive fee, firm-fixed-price and cost) with a maximum ceiling value of $421,600,000, including $233,900,000 for the base period; $112,000,000 for Option Period 1; and $75,700,000 for Option Period 2. This contract is for the procurement of a minimum of six additional Boost Vehicles (BVs); spare BV components; and BV sustainment to include but not limited to repair, upgrade, and maintenance of software and hardware to support the Ground Based Interceptor BVs.  Fiscal 2020 and 2021 procurement funds in the amount of $31,436,515 and $150,000,000 respectfully, will be obligated at time of award of Delivery Order 1. Future funding will be determined with each order. The work will be performed in Chandler, Arizona; and Magna, Utah. The ordering period including options is expected to be completed by August 2031. The Missile Defense Agency, Huntsville, Alabama, is the contracting activity (HQ0856-21-D-0001)."/>
    <m/>
    <s v="https://www.defense.gov/News/Contracts/Contract/Article/2764928/"/>
  </r>
  <r>
    <x v="1"/>
    <x v="10"/>
    <s v="Air Force"/>
    <x v="0"/>
    <x v="0"/>
    <s v="Imported"/>
    <x v="1"/>
    <x v="1"/>
    <s v="ISR-Strike"/>
    <s v="MQ-9A (Mid-Life Modernization)"/>
    <s v="MQ-9A (Mid-Life Modernization)"/>
    <s v="Uncrewed"/>
    <x v="51"/>
    <x v="3"/>
    <n v="16"/>
    <s v="Not applicable"/>
    <s v="Confirmed"/>
    <n v="30.55"/>
    <s v="USD$"/>
    <n v="30.55"/>
    <s v="G2G"/>
    <s v="September"/>
    <n v="2021"/>
    <s v="General Atomics Aeronautical Systems Inc., Poway, California, was awarded a firm-fixed-price and fixed-price-incentive-firm $30,547,124 order (FA8689-21-F-2800) to a previously awarded, indefinite-delivery/indefinite-quantity contract (FA8689-20-D-2020) for the Italy Mid-Life Modernization (MLM) Lot 1 MQ-9A Block 5 aircraft and Block 30 Mobile Ground Control Station (MGCS) procurement. Work will be performed in Poway, California, and is expected to be completed by Jan. 31, 2023. This contract involves 100% Foreign Military Sales to Italy. This award is the result of a sole source acquisition. Foreign Military Sales funds in the amount of $30,547,124 are being obligated at the time of award. The Air Force Life Cycle Management Center, Wright Patterson Air Force Base, Ohio, is the contracting activity."/>
    <m/>
    <s v="https://www.defense.gov/News/Contracts/Contract/Article/2766444/"/>
  </r>
  <r>
    <x v="1"/>
    <x v="10"/>
    <s v="Air Force"/>
    <x v="0"/>
    <x v="0"/>
    <s v="Imported"/>
    <x v="1"/>
    <x v="1"/>
    <s v="ISR-Strike"/>
    <s v="MQ-9A (Block 30 Mobile Ground Control Station)"/>
    <s v="MQ-9A (Block 30 Mobile Ground Control Station)"/>
    <s v="Uncrewed"/>
    <x v="51"/>
    <x v="1"/>
    <s v="Not Applicable"/>
    <s v="Unknown"/>
    <s v="Confirmed"/>
    <n v="30.55"/>
    <s v="USD$"/>
    <n v="30.55"/>
    <s v="G2G"/>
    <s v="September"/>
    <n v="2021"/>
    <s v="General Atomics Aeronautical Systems Inc., Poway, California, was awarded a firm-fixed-price and fixed-price-incentive-firm $30,547,124 order (FA8689-21-F-2800) to a previously awarded, indefinite-delivery/indefinite-quantity contract (FA8689-20-D-2020) for the Italy Mid-Life Modernization (MLM) Lot 1 MQ-9A Block 5 aircraft and Block 30 Mobile Ground Control Station (MGCS) procurement. Work will be performed in Poway, California, and is expected to be completed by Jan. 31, 2023. This contract involves 100% Foreign Military Sales to Italy. This award is the result of a sole source acquisition. Foreign Military Sales funds in the amount of $30,547,124 are being obligated at the time of award. The Air Force Life Cycle Management Center, Wright Patterson Air Force Base, Ohio, is the contracting activity."/>
    <m/>
    <s v="https://www.defense.gov/News/Contracts/Contract/Article/2766444/"/>
  </r>
  <r>
    <x v="0"/>
    <x v="0"/>
    <s v="Defense Wide"/>
    <x v="0"/>
    <x v="0"/>
    <s v="Indigenous"/>
    <x v="3"/>
    <x v="3"/>
    <s v="Satellite"/>
    <s v="Blackjack"/>
    <s v="Blackjack"/>
    <s v="Uncrewed"/>
    <x v="13"/>
    <x v="2"/>
    <n v="13"/>
    <s v="Unknown"/>
    <s v="Confirmed"/>
    <n v="25.353000000000002"/>
    <s v="USD$"/>
    <n v="25.353000000000002"/>
    <s v="B2G"/>
    <s v="September"/>
    <n v="2021"/>
    <s v="Lockheed Martin Corp., Sunnyvale, California, has been awarded a $25,353,435 modification (P00011) to cost-plus-fixed-fee contract HR001120C0028 to exercise Phase 3, Option 3 of the Blackjack satellite integration program. The modification brings the total cumulative face value of the contract to $65,809,492 from $40,456,057. Work will be performed in Sunnyvale, California (80%); Denver, Colorado (10%); Cape Canaveral, Florida (8%); and San Luis Obispo, California (2%), with an estimated completion date of November 2022. Fiscal 2021 research and development funds in the amount of $8,000,000 are being obligated at the time of award. The Defense Advanced Research Projects Agency, Arlington, Virginia, is the contracting activity."/>
    <s v="SGA: I have captured the total cumulative value instead of the awarded value, is that correct? Kindly suggest._x000a__x000a_AWN-Defence: This not correct because the inital contract would have been recorded, so recording the cumulative value now would double count the original value."/>
    <s v="https://www.defense.gov/News/Contracts/Contract/Article/2766444/"/>
  </r>
  <r>
    <x v="0"/>
    <x v="0"/>
    <s v="Defense Wide"/>
    <x v="0"/>
    <x v="0"/>
    <s v="Indigenous"/>
    <x v="5"/>
    <x v="32"/>
    <s v="Imaging EO/IR"/>
    <s v="ABS"/>
    <s v="ABS"/>
    <s v="Not Applicable"/>
    <x v="99"/>
    <x v="2"/>
    <n v="59"/>
    <s v="Unknown"/>
    <s v="Confirmed"/>
    <n v="172.72"/>
    <s v="USD$"/>
    <n v="172.72"/>
    <s v="B2G"/>
    <s v="September"/>
    <n v="2021"/>
    <s v="L-3 Communications Integrated Systems L.P., doing business as L3 Aeromet, Tulsa, Oklahoma, is being awarded an indefinite-delivery/indefinite-quantity contract with a maximum amount of $172,719,699. A single initial task order in the amount of $22,878,503 is being issued. Under this contract, the contractor will provide support for the Airborne Sensors (ABS) program. These efforts will continue operations and sustainment of the High Altitude Observatory (HALO) aircraft and sensor equipment, mission planning and flight test execution, and improvement and modernization efforts. The work will be performed in Tulsa, Oklahoma. The ordering period will September 2021 through September 2026. One offeror was solicited and one offer was received. Fiscal 2021 research, development, test and evaluation funds in the amount of $5,000,000 are being obligated on this award. The Missile Defense Agency, Huntsville, Alabama, is the contracting activity (HQ0855-21-D-0001)."/>
    <s v="SGA: Unclear about the program type, kindly suggest._x000a__x000a_AWN-Defence: Program type would come under RDT&amp;E as the funding used is fiscal research and development funds."/>
    <s v="https://www.defense.gov/News/Contracts/Contract/Article/2768102/"/>
  </r>
  <r>
    <x v="0"/>
    <x v="0"/>
    <s v="Army"/>
    <x v="0"/>
    <x v="0"/>
    <s v="Indigenous"/>
    <x v="2"/>
    <x v="38"/>
    <s v="Not Applicable"/>
    <s v="Not Applicable"/>
    <s v="Not Applicable"/>
    <s v="Not Applicable"/>
    <x v="100"/>
    <x v="6"/>
    <n v="116"/>
    <s v="Unknown"/>
    <s v="Confirmed"/>
    <n v="85.01"/>
    <s v="USD$"/>
    <n v="85.01"/>
    <s v="B2G"/>
    <s v="September"/>
    <n v="2021"/>
    <s v="Flint Electric Membership Corp., Reynolds, Georgia, was awarded an $85,005,454 fixed-price-determination contract to support privatized electrical utility infrastructure. Bids were solicited via the internet with one received. Work will be performed at Fort Benning, Georgia, with an estimated completion date of May 31, 2031. Fiscal 2021 operation and maintenance, Army funds in the amount of $2,957,657 were obligated at the time of the award. U.S. Army Field Directorate Office, Fort Sam Houston, Texas, is the contracting activity (W9124J-21-C-0021)."/>
    <m/>
    <s v="https://www.defense.gov/News/Contracts/Contract/Article/2769679/"/>
  </r>
  <r>
    <x v="0"/>
    <x v="0"/>
    <s v="Army"/>
    <x v="0"/>
    <x v="0"/>
    <s v="Indigenous"/>
    <x v="4"/>
    <x v="25"/>
    <s v="Air-to-Surface"/>
    <s v="Hellfire"/>
    <s v="Hellfire"/>
    <s v="Not Applicable"/>
    <x v="53"/>
    <x v="1"/>
    <s v="Not Applicable"/>
    <s v="Not applicable"/>
    <s v="Confirmed"/>
    <n v="101.33"/>
    <s v="USD$"/>
    <n v="101.33"/>
    <s v="B2G"/>
    <s v="September"/>
    <n v="2021"/>
    <s v="Lockheed Martin Missiles and Fire Control, Orlando, Florida, was awarded a $101,332,412 modification (P00073) to contract W31P4Q-18-C-0130 for procurement of Hellfire missiles and containers. Work will be performed in Orlando, Florida, with an estimated completion date of Sept. 30, 2024. Fiscal 2019, 2020 and 2021 procurement, defense-wide funds; and 2010 Foreign Military Sales (Indonesia, Greece, United Arab Emirates and Kuwait) funds in the amount of $101,332,412 were obligated at the time of the award. U.S. Army Contracting Command, Redstone Arsenal, Alabama, is the contracting activity."/>
    <m/>
    <s v="https://www.defense.gov/News/Contracts/Contract/Article/2771255/"/>
  </r>
  <r>
    <x v="0"/>
    <x v="0"/>
    <s v="Navy"/>
    <x v="0"/>
    <x v="0"/>
    <s v="Indigenous"/>
    <x v="1"/>
    <x v="1"/>
    <s v="Fighter"/>
    <s v="F35"/>
    <s v="F135"/>
    <s v="Crewed"/>
    <x v="0"/>
    <x v="2"/>
    <s v="Not Applicable"/>
    <s v="1 STOVL, 1 Conventional Take-Off and Landing Block 4 developmental engines, 1 STOVL nozzle module, 1 STOVL three-bearing swivel module, 2 STOVL initial spare engines, and 1 initial spare power module"/>
    <s v="Confirmed"/>
    <n v="66.48"/>
    <s v="USD$"/>
    <n v="66.48"/>
    <s v="B2G"/>
    <s v="September"/>
    <n v="2021"/>
    <s v="Raytheon Technologies Corp., Pratt and Whitney Engines, East Hartford, Connecticut, is awarded a $66,481,371 fixed-price-incentive-firm-target modification (P00030) to a previously awarded contract (N0001918C1021). This modification provides increment (2) funding for one Short Take-Off/Vertical Landing (STOVL) and one Conventional Take-Off and Landing Block 4 developmental engines, and procures one STOVL nozzle module, one STOVL three-bearing swivel module, two STOVL initial spare engines, and one initial spare power module in support of the F-35 Lightning II aircraft program for the Air Force, Navy, Marine Corps, and non-U.S. Department of Defense (DOD) participants.  Work will be performed in East Hartford, Connecticut (56%); North Berwick, Maine (13%); Indianapolis, Indiana (10%); Jupiter, Florida (7%); Windsor Locks, Connecticut (5%); Bristol, United Kingdom (4%); Rockford, Illinois (2%); Santa Isabel, Puerto Rico (2%); and Phoenix, Arizona (1%), and is expected to be completed in December 2022. Fiscal 2021 aircraft procurement (Navy) funds in the amount of $52,067,173, fiscal 2021 research, development, test and evaluation (Navy) funds in the amount of $5,906,118, fiscal 2021 research, development, test and evaluation (Air Force) funds in the amount of $5,906,118, and non-U.S. DOD participant funds in the amount of $2,601,962 will be obligated at the time of award, none of which will expire at the end of the current fiscal year. The Naval Air Systems Command, Patuxent River, Maryland, is the contracting activity."/>
    <s v="SGA: Kindly explain me about this contract._x000a_AWN-Defence: This is an RDT&amp;E contract for the F135 engines that power F-35 fighter jet mentioned in the contract."/>
    <s v="https://www.defense.gov/News/Contracts/Contract/Article/2771255/"/>
  </r>
  <r>
    <x v="0"/>
    <x v="0"/>
    <s v="Defense Wide"/>
    <x v="0"/>
    <x v="0"/>
    <s v="Indigenous"/>
    <x v="6"/>
    <x v="24"/>
    <s v="Amphibious Assault Vehicles"/>
    <s v="ACV medium caliber cannon mission"/>
    <s v="ACV medium caliber cannon mission"/>
    <s v="Crewed"/>
    <x v="91"/>
    <x v="2"/>
    <n v="9"/>
    <s v="Unknown"/>
    <s v="Confirmed"/>
    <n v="29.783999999999999"/>
    <s v="USD$"/>
    <n v="29.783999999999999"/>
    <s v="B2G"/>
    <s v="September"/>
    <n v="2021"/>
    <s v="BAE Systems Land &amp; Armaments L.P., Sterling Heights, Michigan, is awarded a $29,783,777 cost-plus-fixed-fee modification to previously awarded contract (M67854-16-0006) for Amphibious Combat Vehicles (ACV). This contract modification provides for the exercise of options for the Phase Three design and development of the ACV medium caliber cannon mission role variant. Work will be performed in San Jose, California (45%); York, Pennsylvania (20%); Kongsberg, Norway (20%); Stafford, Virginia (10%); Bolzano, Italy (3.5%); and Aiken, South Carolina (1.5%) with an expected completion date of July 2022. Fiscal 2020 research, development, test and evaluation (Marine Corps) funds in the amount of $910,193 will be obligated at the time of award, and will expire at the end of the current fiscal year.  Fiscal 2021 research, development, test and evaluation (Marine Corps) funds in the amount of $7,690,548 will be obligated at the time of award, and will not expire at the end of the current fiscal year. Marine Corps Systems Command, Quantico, Virginia, is the contracting activity."/>
    <m/>
    <s v="https://www.defense.gov/News/Contracts/Contract/Article/2771255/"/>
  </r>
  <r>
    <x v="0"/>
    <x v="0"/>
    <s v="Air Force"/>
    <x v="0"/>
    <x v="0"/>
    <s v="Indigenous"/>
    <x v="5"/>
    <x v="11"/>
    <s v="Multi-Mission Radar"/>
    <s v="G/ATOR"/>
    <s v="G/ATOR"/>
    <s v="Not Applicable"/>
    <x v="4"/>
    <x v="1"/>
    <s v="Not Applicable"/>
    <n v="1"/>
    <s v="Estimated"/>
    <n v="28.7"/>
    <s v="USD$"/>
    <n v="28.7"/>
    <s v="B2G"/>
    <s v="September"/>
    <n v="2021"/>
    <s v="Northrop Grumman Systems Corp., Linthicum Heights, Maryland, is awarded a not-to-exceed $28,700,000 modification to previously awarded firm-fixed-price contract M67854-19-C-0043 for Ground/Air Task-Oriented Radar (G/ATOR) systems. This modification provides for the procurement of one additional G/ATOR system for the Air Force. The G/ATOR program is managed within the portfolio of Program Executive Officer Land Systems, Quantico, Virginia. Work will be performed in Linthicum, Maryland (37%); East Syracuse, New York (28%); Stafford Springs, Connecticut (7%); Tulsa, Oklahoma (6%); Syracuse, New York (4%); Valencia, California (3%); San Diego, California (3%); Richardson, Texas (3%); Farmingdale, New York (2%); St. Paul, Minnesota (2%); Gilbert, Arizona (1%); Phoenix, Arizona (1%); Lowell, Massachusetts (1%); Littleton, Colorado (1%); and Durham, North Carolina (1%). Work is expected to be complete in January 2025. Fiscal 2021 procurement (Air Force) funds in the amount of $14,350,000 are being obligated at the time of award, none of which will expire at the end of the current fiscal year. This modification was not competitively procured in accordance with Defense Federal Acquisition Regulation 6.302-1 and 10 U.S. Code § 2304(c)(1). Marine Corps Systems Command, Quantico, Virginia, is the contracting activity."/>
    <m/>
    <s v="https://www.defense.gov/News/Contracts/Contract/Article/2771255/"/>
  </r>
  <r>
    <x v="0"/>
    <x v="0"/>
    <s v="Defense Wide"/>
    <x v="0"/>
    <x v="0"/>
    <s v="Indigenous"/>
    <x v="8"/>
    <x v="10"/>
    <m/>
    <s v="F-35 "/>
    <s v="F-35 "/>
    <s v="Crewed"/>
    <x v="13"/>
    <x v="0"/>
    <n v="2"/>
    <s v="Not applicable"/>
    <s v="Confirmed"/>
    <n v="2014"/>
    <s v="USD$"/>
    <n v="2014"/>
    <s v="B2G"/>
    <s v="September"/>
    <n v="2021"/>
    <s v="Lockheed Martin Corp., Lockheed Martin Aeronautics Co., Fort Worth, Texas, is awarded a $2,014,074,283 cost-plus-fixed-fee, cost-plus-incentive-fee, fixed-price-incentive-fee contract definitization. This contract provides logistics support, to include ground maintenance activities, action request resolution, depot activities, automatic logistics information system operations and maintenance, reliability and maintainability, supply chain management, pilot training, maintainer training, and training system sustainment in support of delivered F-35 Lightning II Joint Strike Fighter air systems for the Navy, Marine Corps, Air Force, Foreign Military Sales (FMS) customers and non-U.S. Department of Defense (DOD) participants. Work will be performed in Fort Worth, Texas (57%); Orlando, Florida (26%); Greeneville, South Carolina (11%); Samlesbury, United Kingdom (4%); and El Segundo, California (2%), and is expected to be completed in December 2021. Fiscal 2021 operation and maintenance (Air Force) funds in the amount of $822,014,213; fiscal 2021 operation and maintenance (Marine Corps) funds in the amount of $382,221,083; fiscal 2021 operation and maintenance (Navy) funds in the amount of $176,725,435; fiscal 2021 aircraft procurement (Air Force) funds in the amount of $2,292,773; fiscal 2021 aircraft procurement (Navy) funds in the amount of $1,210,802; FMS funds in the amount of $217,257,071; and non-U.S. DOD participant funds in the amount of $412,352,906 will be obligated at time of award, $1,380,960,731 of which will expire at the end of the current fiscal year. This contract was not competitively procured pursuant to Defense Federal Acquisition Regulation 6.302-1. The Naval Air Systems Command, Patuxent River, Maryland, is the contracting activity (N0001921C0020)."/>
    <s v="SGA: Kindly explain me about this contract as it is involved with multiple customer operators._x000a__x000a_AWN-Defence: As the contract is for multiple branches of the military and the FMS customers are not specified, it would be tracked as one single US defense-wide contract"/>
    <s v="https://www.defense.gov/News/Contracts/Contract/Article/2773130/"/>
  </r>
  <r>
    <x v="0"/>
    <x v="0"/>
    <s v="Defense Wide"/>
    <x v="0"/>
    <x v="0"/>
    <s v="Indigenous"/>
    <x v="1"/>
    <x v="1"/>
    <s v="Fighter"/>
    <s v="F-35"/>
    <s v="F-35"/>
    <s v="Crewed"/>
    <x v="101"/>
    <x v="0"/>
    <s v="Not Applicable"/>
    <s v="Not applicable"/>
    <s v="Estimated"/>
    <n v="411.8"/>
    <s v="USD$"/>
    <n v="411.8"/>
    <s v="B2G"/>
    <s v="September"/>
    <n v="2021"/>
    <s v="Lockheed Martin Aeronautics Co., Fort Worth, Texas, is awarded a not-to-exceed $411,810,561 firm-fixed-price, cost-plus-fixed-fee, indefinite-delivery/indefinite-quantity undefinitized contract. This contract procures initial spares to include global spares packages, base spares packages, deployment spares packages, and afloat spares packages in support of F-35 Lightning II Joint Strike Fighter air vehicle delivery schedules for the Navy Marine Corps, Air Force, non-U.S. Department of Defense participants, and Foreign Military Sales customers. Work will be performed in Fort Worth, Texas, and is expected to be completed in September 2026. No funds will be obligated at the time of award; funds will be obligated on individual orders as they are issued. This contract was not competitively procured pursuant to 10 U.S. Code 2304(c)(1). The Naval Air Systems Command, Patuxent River, Maryland, is the contracting activity (N0001921D0001)."/>
    <s v="SGA: This contract is about procuring various spares packages for F-35 Lightning II Joint Strike Fighter delivery, and not sure if we have captured the data points correctly, please check and confirm._x000a__x000a_AWN-Defence: As the contract is for multiple branches of the military and the FMS customers are not specified, it would be tracked as one single US defense-wide contract. The contract is for spares, and spares are considered to be MRO/support."/>
    <s v="https://www.defense.gov/News/Contracts/Contract/Article/2773130/"/>
  </r>
  <r>
    <x v="0"/>
    <x v="0"/>
    <s v="Defense Wide"/>
    <x v="0"/>
    <x v="0"/>
    <s v="Indigenous"/>
    <x v="4"/>
    <x v="28"/>
    <s v="Ballistic Missile"/>
    <s v="KV HWIL"/>
    <s v="KV HWIL"/>
    <s v="Not Applicable"/>
    <x v="102"/>
    <x v="2"/>
    <n v="59"/>
    <s v="Not applicable"/>
    <s v="Confirmed"/>
    <n v="56.87"/>
    <s v="USD$"/>
    <n v="56.87"/>
    <s v="B2G"/>
    <s v="September"/>
    <n v="2021"/>
    <s v="Gray Analytics,* Huntsville, Alabama, is being awarded a competitive (cost-plus-fixed-fee) indefinite-delivery/indefinite-quantity contract with a maximum amount of $56,869,595.  Under this new contract, the contractor will support the Missile Defense Agency’s (MDA) Innovation, Science, and Technology Kill Vehicle Hardware-in-the-Loop (KV HWIL) program. The KV HWIL effort will span the spectrum of tasking required to plan, define, design, integrate, test, assess, and verify new and innovative approaches to expand HWIL capabilities enabling MDA to evaluate promising concept solutions required to defeat the advancing threat. This contract was competitively procured via publication on the government-wide Point-of-Entry website under MDA broad agency announcement HQ0147-19-S-0002.  A task order in the amount of $8,553,124 is being issued. The work will be performed in Huntsville, Alabama.  The ordering period is from Sept. 14, 2021, through Sept. 13, 2026.  Fiscal 2021 research, development, test and evaluation funds in the amount of $8,553,124 are being obligated on the first task order. The Missile Defense Agency, Redstone Arsenal, Alabama, is the contracting activity (HQ0860-21-D-0001). "/>
    <m/>
    <s v="https://www.defense.gov/News/Contracts/Contract/Article/2774421/"/>
  </r>
  <r>
    <x v="0"/>
    <x v="0"/>
    <s v="Navy"/>
    <x v="0"/>
    <x v="0"/>
    <s v="Indigenous"/>
    <x v="4"/>
    <x v="28"/>
    <s v="Air-to-Surface"/>
    <s v="AGM-88"/>
    <s v="AGM-88G"/>
    <s v="Not Applicable"/>
    <x v="24"/>
    <x v="1"/>
    <s v="Not Applicable"/>
    <s v="Unknown"/>
    <s v="Confirmed"/>
    <n v="41.23"/>
    <s v="USD$"/>
    <n v="41.23"/>
    <s v="B2G"/>
    <s v="September"/>
    <n v="2021"/>
    <s v="Alliant Techsystems Operations LLC, a wholly-owned subsidiary of Northrop Grumman Defense Systems Inc., Northridge, California, is awarded a $41,231,833 firm-fixed-price contract. This contract procures low rate initial production Lot One of the AGM-88G Advanced Anti-Radiation Guided Missile - Extended Range (AARGM-ER). This contract provides for the production and delivery of 16 AGM-88G AARGM-ER All Up Rounds, six AGM-88G AARGM-ER Captive Air Training Missiles, four Common Munitions BIT Reprogramming Equipment Plus interface devices, initial spares, and required supplies and support. Work will be performed in Northridge, California (61%); Rocket Center, West Virginia (21%); China Lake, California (11%); and Ridgecrest, California (7%), and is expected to be completed in March 2024. Fiscal 2021 weapons procurement (Navy) funds in the amount of $41,231,833 will be obligated at time of award, none of which will expire at the end of the current fiscal year. This contract was not competitively procured pursuant to 10 U.S. Code 2304(c)(1). The Naval Air Systems Command, Patuxent River, Maryland, is the contracting activity (N0001921C0044)."/>
    <s v="SGA: Suggest me in writing multiple types of missiles in single system._x000a_AWN-Defence: This contract is only for the AGM-88G. If there are multiple types, they can be listed in the system name."/>
    <s v="https://www.defense.gov/News/Contracts/Contract/Article/2774421/"/>
  </r>
  <r>
    <x v="0"/>
    <x v="0"/>
    <s v="Navy"/>
    <x v="0"/>
    <x v="0"/>
    <s v="Indigenous"/>
    <x v="5"/>
    <x v="37"/>
    <s v="Other"/>
    <s v="ALQ-218"/>
    <s v="ALQ-218"/>
    <s v="Not Applicable"/>
    <x v="4"/>
    <x v="3"/>
    <n v="25"/>
    <s v="Unknown"/>
    <s v="Confirmed"/>
    <n v="12.85"/>
    <s v="USD$"/>
    <n v="12.85"/>
    <s v="B2G"/>
    <s v="September"/>
    <n v="2021"/>
    <s v="Northrop Grumman Systems Corp., Linthicum, Maryland, is awarded a $12,850,000 firm-fixed-price modification (P00007) to a previously awarded contract (N0001920C0007). This modification provides for the retrofit of Airborne Electronic Attack Weapons Replacement Assembly with 100 production kits required for the modification of ALQ-218 avionics in support of EA-18G upgrades, to include 64 kits for the Navy, and 36 kits for the government of Australia. Work will be performed in East Hartford, Connecticut (92%); and Bethpage, New York (8%), and is expected to be completed in November 2023.  Fiscal 2020 aircraft procurement (Navy) funds in the amount of $8,161,881; and Foreign Military Sales funds in the amount of $4,688,119 will be obligated at the time of award, none of which will expire at the end of the current fiscal year. The Naval Air Systems Command, Patuxent River, Maryland, is the contracting activity."/>
    <s v="SGA: Suggest me in writing the System Names both in General and Specific._x000a__x000a_AWN-Defence: The system name for this piece of the equipment is the ALQ-218"/>
    <s v="https://www.defense.gov/News/Contracts/Contract/Article/2774421/"/>
  </r>
  <r>
    <x v="0"/>
    <x v="0"/>
    <s v="Navy"/>
    <x v="0"/>
    <x v="0"/>
    <s v="Indigenous"/>
    <x v="5"/>
    <x v="21"/>
    <s v="Radios"/>
    <s v="AN/ARC-210(v) Radios"/>
    <s v="AN/ARC-210(v) Radios"/>
    <s v="Not Applicable"/>
    <x v="103"/>
    <x v="1"/>
    <s v="Not Applicable"/>
    <s v="Unknown"/>
    <s v="Confirmed"/>
    <n v="294.14"/>
    <s v="USD$"/>
    <n v="294.14"/>
    <s v="B2G"/>
    <s v="September"/>
    <n v="2021"/>
    <s v="Collins Aerospace, Cedar Rapids, Iowa, is awarded a $294,139,940 modification (P00020) to a previously awarded, firm-fixed-price, indefinite-delivery/indefinite-quantity contract (N0042118D0004).  This modification exercises an option for the procurement of 8,085 AN/ARC-210(v) radios for installation in over 400 strategic and tactical airborne, seaborne and land based (mobile and fixed) platforms for the Navy, Marine Corps, Army, Coast Guard, other government agencies, and Foreign Military Sales customers. Work will be performed in Cedar Rapids, Iowa, and is expected to be completed in September 2024. No funds are being obligated at time of award; funds will be obligated on individual delivery orders as they are issued. The Naval Air Warfare Center Aircraft Division, Patuxent River, Maryland, is the contracting activity."/>
    <m/>
    <s v="https://www.defense.gov/News/Contracts/Contract/Article/2776118/"/>
  </r>
  <r>
    <x v="3"/>
    <x v="6"/>
    <s v="Foreign Assistance"/>
    <x v="0"/>
    <x v="0"/>
    <s v="Imported"/>
    <x v="4"/>
    <x v="28"/>
    <s v="Surface-to-Air"/>
    <s v="SM-3 Block IB"/>
    <s v="SM-3 Block IB"/>
    <s v="Uncrewed"/>
    <x v="62"/>
    <x v="0"/>
    <n v="18"/>
    <s v="Not applicable"/>
    <s v="Confirmed"/>
    <n v="12.98"/>
    <s v="USD$"/>
    <n v="12.98"/>
    <s v="G2G"/>
    <s v="September"/>
    <n v="2021"/>
    <s v="Raytheon Missiles and Defense, Tucson, Arizona, is being awarded a fixed-price incentive, sole-source contract modification (P00010) under a Foreign Military Sales (FMS) case with the Japan Ministry of Defense (JMOD).  The total value of this contract is $12,984,445.  Under contract HQ0851-20-C-0002, the contractor will evaluate hardware, inspect all material, repair minor discrepancies, and re-assemble and deliver a Standard Missile-3 Block IB Inert Operating Missile.  The work will be performed in Tucson, Arizona. The performance period is from Sept. 15, 2021, through March 31, 2023. JMOD FMS funds in the amount of $12,984,445 will be used to fund this effort.  The Missile Defense Agency, Dahlgren, Virginia, is the contracting activity."/>
    <m/>
    <s v="https://www.defense.gov/News/Contracts/Contract/Article/2776118/"/>
  </r>
  <r>
    <x v="0"/>
    <x v="0"/>
    <s v="Air Force"/>
    <x v="0"/>
    <x v="0"/>
    <s v="Indigenous"/>
    <x v="3"/>
    <x v="3"/>
    <s v="Satellite"/>
    <s v="NGG SV"/>
    <s v="NGG SV"/>
    <s v="Not Applicable"/>
    <x v="71"/>
    <x v="1"/>
    <s v="Not Applicable"/>
    <n v="3"/>
    <s v="Confirmed"/>
    <n v="4934.3599999999997"/>
    <s v="USD$"/>
    <n v="4934.3599999999997"/>
    <s v="B2G"/>
    <s v="January"/>
    <n v="2021"/>
    <s v="Lockheed Martin Space, Sunnyvale, California, has been awarded a not-to-exceed $4,934,360,150 undefinitized modification (P00034) to contract FA8810-18-C-0005 which consists of all work associated with the manufacturing, assembly, integration, test, and delivery of three Next Generation Geosynchronous (NGG) Earth orbiting space vehicles (SV), and delivery of ground mission unique software and ground sensor processing software.  Additionally, this modification includes engineering support for launch vehicle integration and launch and early on-orbit checkout for all three NGG SVs.  Work will be performed in Sunnyvale, California, and is expected to be completed May 31, 2028.  Fiscal 2021 research, development, test and evaluation funds in the amount of $99,000,000 are being obligated at the time of award.  Space and Missile Systems Center, Los Angeles Air Force Base, California, is the contracting activity (FA8810-18-C-0005)."/>
    <m/>
    <s v="https://www.defense.gov/News/Contracts/Contract/Article/2461951/"/>
  </r>
  <r>
    <x v="4"/>
    <x v="11"/>
    <s v="Air Force"/>
    <x v="0"/>
    <x v="0"/>
    <s v="Imported"/>
    <x v="1"/>
    <x v="1"/>
    <s v="Fighter"/>
    <s v="F-15"/>
    <s v="F-15S"/>
    <s v="Crewed"/>
    <x v="34"/>
    <x v="3"/>
    <s v="Not Applicable"/>
    <s v="Unknown"/>
    <s v="Confirmed"/>
    <n v="21.67"/>
    <s v="USD$"/>
    <n v="21.67"/>
    <s v="G2G"/>
    <s v="January"/>
    <n v="2021"/>
    <s v="The Boeing Co., St. Louis, Missouri, has been awarded a not-to-exceed $21,670,000 fixed-price, cost-plus-fixed-fee and time and materials undefinitized contract action for F-15S to F-15SA conversion support.  This contract provides support for the conversion of the Royal Saudi Air Force F-15S into an F-15SA aircraft, which includes program management, reach-back support for the 48 continental United States and Washington, D.C.; temporary on-site for outside the continental U.S. assistance (if needed); and round robin repairs.  Work will primarily be performed in St. Louis, Missouri, and is expected to be complete by Dec. 30, 2022.  This contract involves Foreign Military Sales (FMS) to the kingdom of Saudi Arabia and is the result of a sole-source acquisition.  FMS funds in the full amount are being obligated at the time of award.  Air Force Life Cycle Management Center, Robins Air Force Base, Georgia, is the contracting activity (FA8575-21-F-0001). (Awarded Dec. 31, 2020)"/>
    <m/>
    <s v="https://www.defense.gov/News/Contracts/Contract/Article/2461951/"/>
  </r>
  <r>
    <x v="0"/>
    <x v="0"/>
    <s v="Navy"/>
    <x v="0"/>
    <x v="0"/>
    <s v="Indigenous"/>
    <x v="2"/>
    <x v="39"/>
    <s v="Not Applicable"/>
    <s v="Apra Harbor"/>
    <s v="Apra Harbor"/>
    <s v="Not Applicable"/>
    <x v="104"/>
    <x v="0"/>
    <n v="33"/>
    <s v="Not applicable"/>
    <s v="Confirmed"/>
    <n v="97.995000000000005"/>
    <s v="USD$"/>
    <n v="97.995000000000005"/>
    <s v="B2G"/>
    <s v="January"/>
    <n v="2021"/>
    <s v="H2O Guam JV, Aiea, Hawaii, is awarded a $97,995,000 firm-fixed-price contract for the repair and modernization of Lima Wharf and appurtenances at Apra Harbor, Naval Base Guam.  The work to be performed provides for the repair and modernization of Lima Wharf and associated facilities, to include comprehensive civil, structural, mechanical, utilities, fire protection, electrical and telecommunication repairs.  Site utility system repairs include potable water, storm sewer, sanitary sewer, steam system connections, bilge and oily waste water system connections, replacement of the electrical power substation and power mounds, ship-to-shore and lighting electrical distribution and installation of telecom duct banks, fiber optic lines and supervisory control and data acquisition system.  Environmental site mitigation and monitoring will be provided as required during dredging and sheet pile work.  Work will be performed in Santa Rita, Guam, and is expected to be completed by November 2023.  Fiscal 2021 operation and maintenance (Navy) contract funds in the amount of $97,995,000 are obligated on this award and will expire at the end of the current fiscal year.  This contract was competitively procured via the beta.SAM.gov website with three proposals received.  Naval Facilities Engineering Systems Command, Marianas, Guam, is the contracting activity (N40192-21-C-1300)."/>
    <m/>
    <s v="https://www.defense.gov/News/Contracts/Contract/Article/2461951/"/>
  </r>
  <r>
    <x v="0"/>
    <x v="0"/>
    <s v="Navy"/>
    <x v="0"/>
    <x v="0"/>
    <s v="Indigenous"/>
    <x v="4"/>
    <x v="16"/>
    <s v="Air and Missile Defense System"/>
    <s v="AEGIS Combat System"/>
    <s v="AEGIS Combat System"/>
    <s v="Not Applicable"/>
    <x v="13"/>
    <x v="0"/>
    <n v="47"/>
    <s v="Not applicable"/>
    <s v="Confirmed"/>
    <n v="617.52"/>
    <s v="USD$"/>
    <n v="617.52"/>
    <s v="B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0"/>
    <x v="12"/>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3"/>
    <x v="6"/>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3"/>
    <x v="13"/>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3"/>
    <x v="14"/>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1"/>
    <x v="15"/>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1"/>
    <x v="16"/>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0"/>
    <x v="0"/>
    <s v="Ukraine (Assistance)"/>
    <x v="0"/>
    <x v="0"/>
    <s v="Indigenous"/>
    <x v="0"/>
    <x v="40"/>
    <s v="Patrol Boat/Craft - Coastal"/>
    <s v="MK VI Patrol Boats"/>
    <s v="MK VI Patrol Boats"/>
    <m/>
    <x v="2"/>
    <x v="5"/>
    <m/>
    <m/>
    <m/>
    <m/>
    <m/>
    <m/>
    <m/>
    <s v="December"/>
    <n v="2020"/>
    <s v="SAFE Boats International LLC, Bremerton, Washington, was awarded a $19,969,119 not-to-exceed, firm-fixed-price, undefinitized contract action for long lead time material and associated pre-production and planning support for two MK VI patrol boats to be delivered to the government of Ukraine.  Work will be performed in Rock Hill, South Carolina (69%); Kent, Washington (21%); Woodinville, Washington (5%); Bellingham, Washington (4%); and Seattle, Washington (1%), and is expected to be completed by December 2022.  Fiscal 2020 Title 10 Ukraine Security Assistance Initiative funding in the amount of $5,463,500 was obligated at award and will not expire at the end of the current fiscal year.  The Naval Sea Systems Command, Washington, D.C., is the contracting activity. (Awarded Dec. 31, 2020)"/>
    <m/>
    <m/>
  </r>
  <r>
    <x v="0"/>
    <x v="0"/>
    <s v="Navy"/>
    <x v="0"/>
    <x v="0"/>
    <s v="Indigenous"/>
    <x v="2"/>
    <x v="15"/>
    <s v="Not Applicable"/>
    <s v="Fleet Readiness Center"/>
    <s v="Fleet Readiness Center"/>
    <s v="Not Applicable"/>
    <x v="105"/>
    <x v="0"/>
    <n v="60"/>
    <s v="Not applicable"/>
    <s v="Confirmed"/>
    <n v="124.083"/>
    <s v="USD$"/>
    <n v="124.083"/>
    <s v="B2G"/>
    <s v="January"/>
    <n v="2021"/>
    <s v="LTM Inc.,* Havelock, North Carolina, is awarded a $124,083,257 indefinite-delivery/indefinite-quantity, cost-plus-fixed-fee, cost contract to assist the Fleet Readiness Center (FRC) East Fleet Support Team with integration of Naval Aviation Enterprise (NAE) maintenance and supply functions, maintenance scheduling in accordance with NAE constructs, as well as provide logistics and technical support services.  Work will be performed in Cherry Point, North Carolina (85.94%); Richmond, Virginia (3.63%); San Diego, California (3.63%); Norfolk, Virginia (1.82%); Yuma, Arizona (1.37%); Patuxent River, Maryland (1.36%); and various locations within the continental U.S. (2.25%), and is expected to be completed in January 2026.  No funds will be obligated at time of award.  Funds will be obligated on individual task orders as they are issued.  The Commander, FRC Procurement Group, Patuxent River, Maryland, is the contracting activity (N68520-21-D-0002)."/>
    <m/>
    <s v="https://www.defense.gov/News/Contracts/Contract/Article/2463012/"/>
  </r>
  <r>
    <x v="4"/>
    <x v="8"/>
    <s v="Air Force"/>
    <x v="0"/>
    <x v="0"/>
    <s v="Imported"/>
    <x v="1"/>
    <x v="1"/>
    <s v="Fighter"/>
    <s v="F/A-18"/>
    <s v="F/A-18E/F"/>
    <s v="Crewed"/>
    <x v="34"/>
    <x v="0"/>
    <n v="35"/>
    <s v="Not applicable"/>
    <s v="Confirmed"/>
    <n v="20.864999999999998"/>
    <s v="USD$"/>
    <n v="20.864999999999998"/>
    <s v="G2G"/>
    <s v="January"/>
    <n v="2021"/>
    <s v="The Boeing Co., St. Louis, Missouri, is awarded a $20,864,609 modification (P00008) to previously awarded firm-fixed-price, cost-plus-fixed-fee contract N00019-19-C-0033.  This modification adds new scope for integrated logistics support for 22 F/A-18E and six F/A-18F Super Hornets in support of the government of Kuwait.  Work will be performed in St. Louis, Missouri (86%); San Diego, California (8%); China Lake, California (5%); and Fort Walton, Florida (1%), and is expected to be completed in December 2023.  Foreign Military Sales funds in the amount of $20,864,609 will be obligated at time of award, none of which will expire at the end of the current fiscal year.  The Naval Air Systems Command, Patuxent River, Maryland, is the contracting activity."/>
    <m/>
    <s v="https://www.defense.gov/News/Contracts/Contract/Article/2463012/"/>
  </r>
  <r>
    <x v="0"/>
    <x v="0"/>
    <s v="Navy"/>
    <x v="0"/>
    <x v="0"/>
    <s v="Indigenous"/>
    <x v="5"/>
    <x v="31"/>
    <s v="Not Applicable"/>
    <s v="ALQ-249"/>
    <s v="ALQ-249"/>
    <s v="Crewed"/>
    <x v="0"/>
    <x v="2"/>
    <n v="47"/>
    <s v="Not applicable"/>
    <s v="Confirmed"/>
    <n v="34.299999999999997"/>
    <s v="USD$"/>
    <n v="34.299999999999997"/>
    <s v="B2G"/>
    <s v="January"/>
    <n v="2021"/>
    <s v="Raytheon Co., El Segundo, California, is awarded a $34,298,657 cost-plus-fixed-fee, indefinite-delivery/indefinite-quantity contract.  This contract provides engineering and test support services for the ALQ-249 Next Generation Jammer (NGJ) currently in development for the Navy EA-18G aircraft.  The scope includes H16/H18/H20/H22 software support for NGJ pod and integration including requirements analysis, design, development, integration, testing, training and tools related to and in support of ALQ-249 and advanced electronic warfare initiatives for Navy and Foreign Military Sales customers.  Work will be performed in El Segundo, California, and is expected to be completed in January 2025.  Fiscal 2021 research, development, test and evaluation (Navy) funds in the amount of $110,000 will be obligated at the time of award, none of which will expire at the end of the current fiscal year.  This contract was not competitively procured pursuant to Federal Acquisition Regulation 6.302-1.  The Naval Air Warfare Center Weapons Division, Point Mugu, California, is the contracting activity (N68936-21-D-0009)."/>
    <m/>
    <s v="https://www.defense.gov/News/Contracts/Contract/Article/2464383/"/>
  </r>
  <r>
    <x v="0"/>
    <x v="0"/>
    <s v="Navy"/>
    <x v="0"/>
    <x v="0"/>
    <s v="Indigenous"/>
    <x v="0"/>
    <x v="22"/>
    <s v="Nuclear-Powered Submarine"/>
    <m/>
    <m/>
    <s v="Crewed"/>
    <x v="55"/>
    <x v="0"/>
    <n v="59"/>
    <s v="Not applicable"/>
    <s v="Confirmed"/>
    <n v="12.29"/>
    <s v="USD$"/>
    <n v="12.29"/>
    <s v="B2G"/>
    <s v="January"/>
    <n v="2021"/>
    <s v="Wartsila Defense Inc., Chesapeake, Virginia, is awarded a $12,287,373 firm-fixed-price, indefinite-delivery/indefinite-quantity contract for Navy submarine propeller and propulsor for on-site repairs.  The contract will have a five year ordering period.  Work under the contract will be completed at various shipyards within and outside of the continental U.S. according to individual task orders and is expected to be completed by January 2026.  Fiscal 2021 operation and maintenance (Navy) funding in the amount of $186,357 will be obligated at time of award and will expire at the end of the current fiscal year.  This contract was competitively procured via beta.Sam.gov with one offer received.  The Naval Surface Warfare Center, Philadelphia Division, Philadelphia, Pennsylvania, is the contracting activity (N64498-21-D-4006)."/>
    <m/>
    <s v="https://www.defense.gov/News/Contracts/Contract/Article/2464383/"/>
  </r>
  <r>
    <x v="1"/>
    <x v="15"/>
    <s v="Air Force"/>
    <x v="0"/>
    <x v="0"/>
    <s v="Imported"/>
    <x v="1"/>
    <x v="1"/>
    <s v="Fighter"/>
    <s v="JSF"/>
    <s v="JSF"/>
    <s v="Crewed"/>
    <x v="13"/>
    <x v="0"/>
    <n v="22"/>
    <s v="Not applicable"/>
    <s v="Confirmed"/>
    <n v="13.13"/>
    <s v="USD$"/>
    <n v="13.13"/>
    <s v="B2G"/>
    <s v="January"/>
    <n v="2021"/>
    <s v="Lockheed Martin Corp., a Lockheed Martin Aeronautics Co., Fort Worth, Texas, is awarded a $13,125,284 cost-plus-fixed-fee modification (P00001) to previously awarded contract N00019-20-C-0052.  This modification exercises an option to procure continued maintenance and sustainment operation support for Norway Italy Reprogramming Laboratory systems and consumables in support of the Joint Strike Fighter aircraft for the governments of Norway and Italy.  Work will be performed at Eglin Air Force Base, Florida, and is expected to be completed in December 2022.  Non-Department of Defense participant funds currently obligated on this contract in the amount of $4,214,678 will be realigned at the time of award to fund this effort, none of which will expire at the end of the current fiscal year.  The Naval Air Systems Command, Patuxent River, Maryland, is the contracting activity."/>
    <m/>
    <s v="https://www.defense.gov/News/Contracts/Contract/Article/2465472/"/>
  </r>
  <r>
    <x v="0"/>
    <x v="0"/>
    <s v="Navy"/>
    <x v="0"/>
    <x v="0"/>
    <s v="Indigenous"/>
    <x v="2"/>
    <x v="39"/>
    <s v="Not Applicable"/>
    <s v="Dry Dock"/>
    <s v="Dry Dock"/>
    <s v="Not Applicable"/>
    <x v="106"/>
    <x v="0"/>
    <n v="20"/>
    <s v="Not applicable"/>
    <s v="Confirmed"/>
    <n v="359.74"/>
    <s v="USD$"/>
    <n v="359.74"/>
    <s v="B2G"/>
    <s v="January"/>
    <n v="2021"/>
    <s v="Alberici-Mortenson JV, St. Louis, Missouri, is awarded a $359,738,706 fixed-price-award-fee modification to exercise the first and second options under previously awarded contract N69450-20-C-0016 for design-bid-build recapitalization of the dry dock at Naval Submarine Base Kings Bay, Georgia.  The work to be performed provides for concrete repairs in various locations throughout the dry dock; overhauling and repairing the steel caisson; and upgrading power distribution, chilled water and fire detection and alarm systems.  The project will also repair corroded steel members of the dry dock superstructure, re-coat the entire superstructure and replace roof and wall panels.  The project will remove one bridge crane and overhaul two other bridge cranes.  The scope also includes rebuilding/replacing sluice gates and actuators, roller gate rails, flap valves and frames and all piping.  This project will also upgrade control systems and electronic components and upgrade the auxiliary seawater system.  This award increases the total cumulative value of the contract to $554,465,051.  Work will be performed in Kings Bay, Georgia, and is expected to be completed by October 2022.  Fiscal 2021 operation and maintenance (Navy) funds in the amount of $359,738,706 will be obligated at time of award and will expire at the end of the current fiscal year.  The Naval Facilities Engineering Systems Command Southeast, Jacksonville, Florida, is the contracting activity."/>
    <s v="SGA: Unsure of maintenance or utilities. AWN-Defence: A dry dock is a maintenance facility. "/>
    <s v="https://www.defense.gov/News/Contracts/Contract/Article/2466843/"/>
  </r>
  <r>
    <x v="0"/>
    <x v="0"/>
    <s v="Navy"/>
    <x v="0"/>
    <x v="0"/>
    <s v="Indigenous"/>
    <x v="5"/>
    <x v="21"/>
    <s v="Radios"/>
    <s v="Not Applicable"/>
    <s v="Not Applicable"/>
    <s v="Not Applicable"/>
    <x v="107"/>
    <x v="1"/>
    <s v="Not Applicable"/>
    <n v="233736"/>
    <s v="Confirmed"/>
    <n v="45.13"/>
    <s v="USD$"/>
    <n v="45.13"/>
    <s v="B2G"/>
    <s v="January"/>
    <n v="2021"/>
    <s v="Atlantic Signal LLC,* Topeka, Kansas, is awarded a $45,128,388 firm-fixed-price, indefinite-delivery/indefinite-quantity contract for the purchase of up to a combined maximum quantity of 233,736 units inclusive of hearing enhancement devices, cables, push-to-talks, hygiene kits and helmet adapters.  Work will be performed in Topeka, Kansas, and is expected to be complete by September 2025.  Fiscal 2020 operation and maintenance (Marine Corps) funds in the amount of $9,999,420 will be obligated on the first delivery order immediately following contract award and funds will expire on March 19, 2021.  This contract was competitively procured via the beta.SAM.gov website, with seven offers received.  The Marine Corps Systems Command, Quantico, Virginia, is the contracting activity (M67854-21-D-1809)."/>
    <m/>
    <s v="https://www.defense.gov/News/Contracts/Contract/Article/2466843/"/>
  </r>
  <r>
    <x v="0"/>
    <x v="0"/>
    <s v="Navy"/>
    <x v="0"/>
    <x v="0"/>
    <s v="Indigenous"/>
    <x v="5"/>
    <x v="11"/>
    <s v="Multi-Mission Radar"/>
    <s v="APY-10"/>
    <s v="APY-10"/>
    <s v="Crewed"/>
    <x v="0"/>
    <x v="0"/>
    <n v="27"/>
    <s v="Not applicable"/>
    <s v="Confirmed"/>
    <n v="7.83"/>
    <s v="USD$"/>
    <n v="7.83"/>
    <s v="B2G"/>
    <s v="January"/>
    <n v="2021"/>
    <s v="Raytheon Co., McKinney, Texas, is awarded $7,825,657 for a firm-fixed-price delivery order (N00383-21-F-PF03) under previously awarded basic ordering agreement N00383-19-G-PF01 for the repair of 10 line items associated with the APY-10 radar system used in support of the P-8A aircraft.  Work will be performed in Jacksonville, Florida (70%); and McKinney, Texas (30%).  Work is expected to be completed by May 2023.  Annual working capital funds (Navy) in the full amount of $7,825,657 will be obligated at time of award and funds will not expire at the end of the current fiscal year.  One firm was solicited for this non-competitive requirement in accordance with 10 U.S. Code 2304 (c)(1), with one offer received.  The Naval Supply Systems Command, Weapon Systems Support, Philadelphia, Pennsylvania, is the contracting activity."/>
    <s v="SGA: As it is a big company I have included the contract even though the deal value is less than 10M, kindly suggest on this. _x000a__x000a_AWN: Raytheon is a big company, but the overall value of the contract is only $7 million for MRO/Support, no multiple companies on one contract that is worth over $50 million, so it would not be included."/>
    <s v="https://www.defense.gov/News/Contracts/Contract/Article/2466843/"/>
  </r>
  <r>
    <x v="0"/>
    <x v="0"/>
    <s v="Defense Wide"/>
    <x v="0"/>
    <x v="0"/>
    <s v="Indigenous"/>
    <x v="4"/>
    <x v="28"/>
    <s v="Ballistic Missile"/>
    <s v="OpFires "/>
    <s v="OpFires "/>
    <s v="Uncrewed"/>
    <x v="13"/>
    <x v="2"/>
    <n v="11"/>
    <s v="Not applicable"/>
    <s v="Confirmed"/>
    <n v="58.91"/>
    <s v="USD$"/>
    <n v="58.91"/>
    <s v="B2G"/>
    <s v="January"/>
    <n v="2021"/>
    <s v="Lockheed Martin Corp., Missiles and Fire Control, Grand Prairie, Texas, is being awarded a $58,905,062 modification (P00006) to previously awarded cost-plus-fixed-fee contract HR0011-20-C-0038 to exercise the contract line item number 0003 option for development of the integrated OpFires system.  This includes risk reduction testing to achieve a system-level critical design maturity.  Fiscal 2020 and 2021 research and development funds in the amount of $18,505,167 will be obligated at the time of award.  Work will be performed in Grand Prairie, Texas (57%); Huntsville, Alabama (11%); and Elkton, Maryland (32%), with an estimated completion date of January 2022.  The Defense Advanced Research Projects Agency, Arlington, Virginia, is the contracting activity."/>
    <m/>
    <s v="https://www.defense.gov/News/Contracts/Contract/Article/2466843/"/>
  </r>
  <r>
    <x v="0"/>
    <x v="0"/>
    <s v="Air Force"/>
    <x v="0"/>
    <x v="0"/>
    <s v="Indigenous"/>
    <x v="5"/>
    <x v="37"/>
    <s v="PNT Systems"/>
    <s v="AN/TMQ-53 "/>
    <s v="AN/TMQ-53 "/>
    <s v="Not Applicable"/>
    <x v="108"/>
    <x v="0"/>
    <n v="71"/>
    <s v="Not applicable"/>
    <s v="Confirmed"/>
    <n v="35.89"/>
    <s v="USD$"/>
    <n v="35.89"/>
    <s v="B2G"/>
    <s v="January"/>
    <n v="2021"/>
    <s v="Haight Bey &amp; Associates, West Haven, Utah, has been awarded a $35,888,778 firm-fixed-price and cost-reimbursable, indefinite-delivery/indefinite-quantity contract for AN/TMQ-53 Tactical Meteorological Observing System contractor logistics support.  This contract provides spares, repairs, obsolescence management, engineering change proposals and special projects in support of the TMQ-53 system.  Work will be performed in West Haven, Utah, and is expected to be completed July 2027.  Fiscal 2021 operation and maintenance funds in the amount of $578,060 are being obligated with the first delivery order at the time of contract award.  The Aerospace Management Systems Division, Hanscom Air Force Base, Massachusetts, is the contracting activity (FA8730-21-D-0003)."/>
    <m/>
    <s v="https://www.defense.gov/News/Contracts/Contract/Article/2468302/"/>
  </r>
  <r>
    <x v="0"/>
    <x v="0"/>
    <s v="Air Force"/>
    <x v="0"/>
    <x v="0"/>
    <s v="Indigenous"/>
    <x v="1"/>
    <x v="1"/>
    <s v="Tanker"/>
    <s v="KC-46"/>
    <s v="KC-46"/>
    <s v="Crewed"/>
    <x v="34"/>
    <x v="1"/>
    <s v="Not Applicable"/>
    <s v="Unknown"/>
    <s v="Confirmed"/>
    <n v="1687.36"/>
    <s v="USD$"/>
    <n v="1687.36"/>
    <s v="B2G"/>
    <s v="January"/>
    <n v="2021"/>
    <s v="The Boeing Co., Seattle, Washington, has been awarded a $1,687,359,008 modification (P00166) to contract FA8625-11-C-6600 for Lot Six production of KC-46 aircraft, subscriptions and licenses, and G081 flat file.  The contract modification provides for the exercise of an option for an additional quantity of 12 KC-46 aircraft, data, subscriptions and licenses, and G081 flat file being produced under the basic contract.  Work will be performed in Seattle, Washington, and is expected to be completed April 30, 2023.  Fiscal 2020 aircraft procurement funds in the full amount are being obligated at the time of award.  The Air Force Life Cycle Management Center, Wright-Patterson Air Force Base, Ohio, is the contracting activity."/>
    <m/>
    <s v="https://www.defense.gov/News/Contracts/Contract/Article/2469624/"/>
  </r>
  <r>
    <x v="0"/>
    <x v="0"/>
    <s v="Navy"/>
    <x v="0"/>
    <x v="0"/>
    <s v="Indigenous"/>
    <x v="1"/>
    <x v="17"/>
    <s v="Rotary Wing Transport"/>
    <s v="V-22"/>
    <s v="V-22"/>
    <s v="Crewed"/>
    <x v="109"/>
    <x v="1"/>
    <s v="Not Applicable"/>
    <n v="275"/>
    <s v="Confirmed"/>
    <n v="11.54"/>
    <s v="USD$"/>
    <n v="11.54"/>
    <s v="B2G"/>
    <s v="January"/>
    <n v="2021"/>
    <s v="Container Research Corp.,* Aston, Pennsylvania, is awarded an $11,539,383 firm-fixed-price, indefinite-delivery/indefinite-quantity contract.  This contract provides for the procurement of up to a maximum quantity of 275 V-22 Mission Auxiliary Tank System storage containers for the Navy, Marines, Air Force and Foreign Military Sales customers.  Work will be performed in Aston, Pennsylvania, and is expected to be completed in January 2026.  No funds will be obligated at the time of award.  Funds will be obligated on individual task orders as they are issued.  This contract was not competitively procured pursuant to Federal Acquisition Regulation 6.302-1.  The Naval Air Systems Command, Patuxent River, Maryland, is the contracting activity (N00019-21-D-0006)."/>
    <m/>
    <s v="https://www.defense.gov/News/Contracts/Contract/Article/2469624/"/>
  </r>
  <r>
    <x v="0"/>
    <x v="0"/>
    <s v="Navy"/>
    <x v="0"/>
    <x v="0"/>
    <s v="Indigenous"/>
    <x v="6"/>
    <x v="41"/>
    <s v="Other"/>
    <s v="120KVA 115 VAC 400 Hz/270VDC/28VDC electric power"/>
    <s v="120KVA 115 VAC 400 Hz/270VDC/28VDC electric power"/>
    <s v="Not Applicable"/>
    <x v="110"/>
    <x v="1"/>
    <s v="Not Applicable"/>
    <n v="545"/>
    <s v="Confirmed"/>
    <n v="46.64"/>
    <s v="USD$"/>
    <n v="46.64"/>
    <s v="B2G"/>
    <s v="January"/>
    <n v="2021"/>
    <s v="Essex Electro Engineers Inc.,* Schaumburg, Illinois, is awarded a $46,638,225 firm-fixed-price indefinite-delivery/indefinite-quantity contract.  This contract provides for the production and delivery of up to a maximum quantity of 575 land-based mobile electric power plant units to provide 120KVA 115 VAC 400 Hz/270VDC/28VDC electric power to support general aircraft maintenance for all Navy aircraft platforms.  Work will be performed in Schaumburg, Illinois, and is expected to be completed in January 2027.  No funds will be obligated at the time of award; funds will be obligated on individual orders as they are issued.  This contract was competitively procured as a small business set-aside and five offers were received.  The Naval Air Warfare Center, Aircraft Division, Lakehurst, New Jersey, is the contracting activity (N68335-21-D-0049)."/>
    <m/>
    <s v="https://www.defense.gov/News/Contracts/Contract/Article/2471330/"/>
  </r>
  <r>
    <x v="0"/>
    <x v="0"/>
    <s v="Navy"/>
    <x v="0"/>
    <x v="0"/>
    <s v="Indigenous"/>
    <x v="2"/>
    <x v="38"/>
    <s v="Not Applicable"/>
    <s v="Not Applicable"/>
    <s v="Not Applicable"/>
    <s v="Not Applicable"/>
    <x v="91"/>
    <x v="1"/>
    <n v="70"/>
    <s v="Not Applicable"/>
    <s v="Confirmed"/>
    <n v="750"/>
    <s v="USD$"/>
    <n v="750"/>
    <s v="B2G"/>
    <s v="January"/>
    <n v="2021"/>
    <s v="DoD Marine Constructors JV, Napa, California (N62473-21-D-1403); The Dutra Group, San Rafael, California (N62473-21-D-1404); Granite-Healy Tibbitts JV, Watsonville, California (N62473-21-D-1405); Manson Construction Co., Seattle, Washington (N62473-21-D-1406); Marathon Construction Corp.,* Lakeside, California (N62473-21-D-1407); R.E. Staite Engineering Inc.,* San Diego, California (N62473-21-D-1408); Reyes Construction Inc., Pomona, California (N62473-21-D-1409); and TNT Constructors, Bremerton, Washington (N62473-21-D-1410), are each awarded a firm-fixed-price, indefinite-delivery/indefinite-quantity multiple-award construction contract for new construction, repair and renovation of waterfront facilities at various government installations located in the Naval Facilities Engineering Systems Command Southwest area of responsibility.  These eight businesses may compete for task orders under the terms and conditions of the awarded contract.  No task orders are being issued at this time.  The maximum dollar value, including the base period and one option year for all eight contracts combined, is $750,000,000.  The work to be performed provides for new construction, repair and renovation of waterfront structures and dredging within the North American Industry Classification System Code 237990 by design-build or design-bid-build.  Types of projects may include, but are not limited to, dredging and disposal, piers, wharves, quay walls, bulkheads, relieving platforms, cellular structures, dry docks/caissons, break waters, fixed moorings, docks and marinas, pile driving, primary and secondary fender systems, sheet piles and sea walls.  The solicitation's requirement for two or more awards to be reserved for highly qualified small businesses was met by the awards to Marathon Construction Corp. and R.E. Staite Engineering Inc.  Future task orders will be primarily funded by operation and maintenance (Navy); Navy working capital; and military construction (Navy) funds.  Work will be performed at various government installations in states including, but not limited to, California (90%); Arizona (6%); Nevada (1%); Utah (1%); Colorado (1%); and New Mexico (1%), and will be completed by December 2026.  Fiscal 2021 operation and maintenance (Navy) funds in the amount of $5,000 will be obligated to each awardee at time of award and will expire at the end of the current fiscal year.  This contract was competitively procured via the beta.SAM.gov contract opportunities website, with 15 proposals received.  The Naval Facilities Engineering Systems Command, Southwest, San Diego, California, is the contracting activity."/>
    <m/>
    <s v="https://www.defense.gov/News/Contracts/Contract/Article/2473002/"/>
  </r>
  <r>
    <x v="0"/>
    <x v="0"/>
    <s v="Navy"/>
    <x v="0"/>
    <x v="0"/>
    <s v="Indigenous"/>
    <x v="2"/>
    <x v="38"/>
    <s v="Not Applicable"/>
    <s v="Not Applicable"/>
    <s v="Not Applicable"/>
    <s v="Not Applicable"/>
    <x v="111"/>
    <x v="0"/>
    <n v="97"/>
    <s v="Not Applicable"/>
    <s v="Confirmed"/>
    <n v="128.97"/>
    <s v="USD$"/>
    <n v="128.97"/>
    <s v="B2G"/>
    <s v="January"/>
    <n v="2021"/>
    <s v="TechFlow Mission Support LLC, doing business as EMI Services, Idaho Falls, Idaho, is awarded a maximum value $128,970,744 indefinite-delivery/indefinite-quantity contract for base operation support services at Naval Air Station Patuxent River, Maryland; Webster Field, St. Inigoes, Maryland; Solomons Annex, Solomons, Maryland; and Point Lookout, St. Mary’s County, Maryland.  Work will be performed in St. Mary’s County, Maryland (92%); and Calvert County, Maryland (8%), and is expected to be complete by March 2029.  Fiscal 2021 operation and maintenance (Navy) funds in the amount of $13,269,831 for recurring work will be obligated under the initial task order at time of award and will expire at the end of the current fiscal year.  The base operation support services to be performed include general information; management and administration; airfield facilities; and facilities support, including facility management, facility investment, integrated solid waste management, swimming pool services, special event support, utilities management, wastewater management, water services and environmental services.  This contract was competitively procured via the Navy Electronic Commerce Online website, with seven proposals received.  The Naval Facilities Engineering Systems Command, Atlantic, Norfolk, Virginia, is the contracting activity (N62470-21-D-0002)."/>
    <m/>
    <s v="https://www.defense.gov/News/Contracts/Contract/Article/2473002/"/>
  </r>
  <r>
    <x v="0"/>
    <x v="0"/>
    <s v="Navy"/>
    <x v="0"/>
    <x v="0"/>
    <s v="Indigenous"/>
    <x v="0"/>
    <x v="22"/>
    <s v="Other"/>
    <s v="MK11 shallow water combat submersibles"/>
    <s v="MK11 shallow water combat submersibles"/>
    <s v="Crewed"/>
    <x v="112"/>
    <x v="1"/>
    <s v="Not Applicable"/>
    <s v="Not Applicable"/>
    <s v="Confirmed"/>
    <n v="39.21"/>
    <s v="USD$"/>
    <n v="39.21"/>
    <s v="B2G"/>
    <s v="January"/>
    <n v="2021"/>
    <s v="Teledyne Brown Engineering Inc., Huntsville, Alabama, is awarded a $39,211,704 firm-fixed-price modification to previously awarded contract N00024-19-C-6402 to exercise options for the production of MK11 shallow water combat submersibles.  Work will be performed in Huntsville, Alabama, and is expected to be completed by September 2024.  Foreign Military Sales (country name withheld per international agreement) funding in the amount of $39,211,704 will be obligated at time of award and will not expire at the end of the current fiscal year.  The Naval Sea Systems Command, Washington, D.C., is the contracting activity."/>
    <m/>
    <s v="https://www.defense.gov/News/Contracts/Contract/Article/2473002/"/>
  </r>
  <r>
    <x v="0"/>
    <x v="0"/>
    <s v="Navy"/>
    <x v="0"/>
    <x v="0"/>
    <s v="Indigenous"/>
    <x v="5"/>
    <x v="35"/>
    <s v="Sonar"/>
    <s v="AN/AQS-20"/>
    <s v="AN/AQS-20"/>
    <s v="Not Applicable"/>
    <x v="0"/>
    <x v="0"/>
    <n v="11"/>
    <s v="Not Applicable"/>
    <s v="Confirmed"/>
    <n v="16.100000000000001"/>
    <s v="USD$"/>
    <n v="16.100000000000001"/>
    <s v="B2G"/>
    <s v="January"/>
    <n v="2021"/>
    <s v="Raytheon Co., Keyport, Washington, is awarded a $16,095,857 modification to previously-awarded indefinite-delivery/indefinite-quantity requirements contract N61331-17-D-0001 to exercise options for maintenance and support for the AN/AQS-20 sonar mine detecting set.  Work will be performed in Portsmouth, Rhode Island (65%); Keyport, Washington (30%); and Panama City, Florida (5%), and is expected to be completed by January 2022.  No funds will be obligated at time of award.  Funds will be obligated on individual task orders as they are issued.  The Naval Surface Warfare Center, Panama City Division, Panama City, Florida, is the contracting activity."/>
    <m/>
    <s v="https://www.defense.gov/News/Contracts/Contract/Article/2473002/"/>
  </r>
  <r>
    <x v="4"/>
    <x v="17"/>
    <s v="Foreign Assistance"/>
    <x v="0"/>
    <x v="0"/>
    <s v="Imported"/>
    <x v="4"/>
    <x v="16"/>
    <s v="Ballistic Missile Defense System"/>
    <s v="THAAD batteries"/>
    <s v="THAAD batteries"/>
    <s v="Uncrewed"/>
    <x v="13"/>
    <x v="0"/>
    <n v="60"/>
    <s v="Not Applicable"/>
    <s v="Confirmed"/>
    <n v="254.71"/>
    <s v="USD$"/>
    <n v="254.71"/>
    <s v="G2G"/>
    <s v="January"/>
    <n v="2021"/>
    <s v="Lockheed Martin Space, Sunnyvale, California, is being awarded a sole-source, cost-plus-incentive-fee, cost-plus-fixed-fee, firm-fixed-price definite contract under a Foreign Military Sales (FMS) case to the United Arab Emirates (UAE).  The total value of this contract is $254,708,912.  Under this follow-on contract, the contractor will provide maintenance and sustainment for two Terminal High Altitude Area Defense batteries for UAE.  The maintenance and sustainment scope of work includes providing logistics management, logistics product database, training, missile and ground repair and return, hardware/software development and sustainment, hardware in the loop, engineering services, missile field surveillance program and country unique specialty engineering for FMS client.  The work will be performed in Sunnyvale, California; Grande Prairie, Texas; Camden, Arkansas; Huntsville, Alabama; Anniston, Alabama; and Troy, Alabama.  The performance period is from Jan. 15, 2021, through Jan. 14, 2026.  One offer was solicited and one offer was received.  UAE FMS funds in the amount of $254,708,912 will be used to fund this effort.  The Missile Defense Agency, Huntsville, Alabama, is the contracting activity (HQ0147-19-C-5001)."/>
    <s v="SGA: This is a missile defensive system, unclear about the System Type, please suggest._x000a_AWN-Defence: this contract would be recorded as weapon system -&gt; integrated weapon system -&gt; ballisitic missile defense system"/>
    <s v="https://www.defense.gov/News/Contracts/Contract/Article/2474326/"/>
  </r>
  <r>
    <x v="0"/>
    <x v="0"/>
    <s v="Navy"/>
    <x v="0"/>
    <x v="0"/>
    <s v="Indigenous"/>
    <x v="0"/>
    <x v="20"/>
    <s v="Aircraft Carrier"/>
    <s v="Gerald R. Ford-Class and Nimitz-Class"/>
    <s v="Gerald R. Ford-Class and Nimitz-Class"/>
    <s v="Crewed"/>
    <x v="10"/>
    <x v="0"/>
    <n v="59"/>
    <s v="Not Applicable"/>
    <s v="Confirmed"/>
    <n v="174.91"/>
    <s v="USD$"/>
    <n v="174.91"/>
    <s v="B2G"/>
    <s v="January"/>
    <n v="2021"/>
    <s v="Huntington Ingalls Industries Fleet Support Group, Newport News, Virginia, is awarded a $174,910,371 cost-plus-fixed-fee, indefinite-delivery/indefinite-quantity contract to provide Navy aircraft carrier Elevator Support Unit maintenance and repair.  Work will be performed aboard Navy CVNs (aircraft carrier nuclear propulsion) within the continental U.S.; outside the continental U.S.; and forward deployed locations according to individual task orders, and is expected to be completed by January 2026.  No funds will be obligated at the time of award.  Funding will be obligated on individual orders as they are issued.  This contract was competitively procured and solicited via the beta.SAM.gov website.  The Naval Sea Systems Command, Washington, D.C., is the contracting activity (N00024-21-D-4103)."/>
    <s v="SGA: The contract is about MRO for elevator aircraft carrier, kindly confirm._x000a_AWN-Defence: the elevators are the parts of the carrier they are doing maintenance on, but the contract would only need to be recorded as aircraft carrier maintenance"/>
    <s v="https://www.defense.gov/News/Contracts/Contract/Article/2474326/"/>
  </r>
  <r>
    <x v="0"/>
    <x v="0"/>
    <s v="Navy"/>
    <x v="0"/>
    <x v="0"/>
    <s v="Indigenous"/>
    <x v="0"/>
    <x v="22"/>
    <s v="Nuclear-Powered Submarine"/>
    <s v="Not Applicable"/>
    <s v="Not Applicable"/>
    <s v="Crewed"/>
    <x v="54"/>
    <x v="2"/>
    <n v="7"/>
    <s v="Not Applicable"/>
    <s v="Confirmed"/>
    <n v="41.55"/>
    <s v="USD$"/>
    <n v="41.55"/>
    <s v="B2G"/>
    <s v="January"/>
    <n v="2021"/>
    <s v="General Dynamics Electric Boat, Groton, Connecticut, is awarded a $41,554,227 cost-plus-fixed-fee contract for engineering and technical design effort to support research and development concept formulation for current and future submarine platforms.  This contract includes options which, if exercised, would bring the cumulative value of this contract to $305,521,179.  Work will be performed in Groton, Connecticut (96.1%); Bremerton, Washington (1.7%); Kings Bay, Georgia (1.7%); and Newport, Rhode Island (0.5%), and is expected to be completed by September 2021.  If all options are exercised, work will continue through September 2025.  Fiscal 2021 research, development, test and engineering (Navy) funds in the amount of $250,000 (80%); and 2020 research, development, test and engineering (Navy) funds in the amount of $63,000 (20%), will be obligated at time of award, of which funding in the amount of $63,000 will expire at the end of the current fiscal year.  This contract was not competitively procured and is a sole-source award pursuant to 10 U.S. Code 2304(c)(3) – Industrial Mobilization.  The Naval Sea Systems Command, Washington, D.C., is the contracting activity."/>
    <s v="SGA: Unclear about the System name, kindly suggest._x000a_AWN-Defence: System name is &quot;Not applicable&quot; as it is not specified"/>
    <s v="https://www.defense.gov/News/Contracts/Contract/Article/2476202/"/>
  </r>
  <r>
    <x v="0"/>
    <x v="0"/>
    <s v="Air Force"/>
    <x v="0"/>
    <x v="0"/>
    <s v="Indigenous"/>
    <x v="1"/>
    <x v="1"/>
    <s v="Tanker"/>
    <s v="KC-46 "/>
    <s v="KC-46 "/>
    <s v="Crewed"/>
    <x v="34"/>
    <x v="1"/>
    <s v="Not Applicable"/>
    <s v="Not Applicable"/>
    <s v="Confirmed"/>
    <n v="2124.5300000000002"/>
    <s v="USD$"/>
    <n v="2124.5300000000002"/>
    <s v="B2G"/>
    <s v="January"/>
    <n v="2021"/>
    <s v="The Boeing Co., Seattle, Washington, has been awarded a $2,124,531,149 modification (P00232) to contract FA8625-11-C-6600 for Lot 7 production KC-46 aircraft, subscriptions and licenses and G081 flat file.  The modification provides for the exercise of an option for an additional quantity of 15 KC-46 aircraft, data, subscriptions and licenses, and G081 flat file being produced under the basic contract.  Work will be performed in Seattle, Washington, and is expected to be completed May 31, 2024.  Fiscal 2021 aircraft procurement funds in the full amount are being obligated at the time of award.  The Air Force Life Cycle Management Center, Wright-Patterson Air Force Base, Ohio, is the contracting activity."/>
    <m/>
    <s v="https://www.defense.gov/News/Contracts/Contract/Article/2477500/"/>
  </r>
  <r>
    <x v="0"/>
    <x v="0"/>
    <s v="Air Force"/>
    <x v="0"/>
    <x v="0"/>
    <s v="Indigenous"/>
    <x v="1"/>
    <x v="1"/>
    <s v="Not Applicable"/>
    <s v="Not Applicable"/>
    <s v="Not Applicable"/>
    <s v="Crewed"/>
    <x v="34"/>
    <x v="0"/>
    <n v="24"/>
    <s v="Not Applicable"/>
    <s v="Confirmed"/>
    <n v="123.11"/>
    <s v="USD$"/>
    <n v="123.11"/>
    <s v="B2G"/>
    <s v="January"/>
    <n v="2021"/>
    <s v="The Boeing Co., Oklahoma City, Oklahoma, has been awarded Option Year Four to its indefinite-delivery/indefinite-quantity contract (FA8106-17-D-0002) via multiple task orders estimated at $123,114,183 for engineering support services (ESS).  ESS Option Year Four exercise provides recurring and non-recurring engineering support services from The Boeing Co. in support of commercial derivative aircraft.  Work will be performed in Oklahoma City, Oklahoma; Offutt Air Force Base, Nebraska; Warner Robins AFB, Georgia; and San Antonio, Texas, and is expected to be completed Jan. 31, 2023.  This contract is the result of a sole-source acquisition.  Fiscal 2021 operation and maintenance funds in the amount of $49,257,428 are obligated at time of award via task order FA8134-21-F-1000.  The Air Force Life Cycle Management Center, Tinker AFB, Oklahoma, is the contracting activity."/>
    <s v="SGA: Unclear about the System name, kindly suggest._x000a_AWN-Defence: System name is &quot;Not applicable&quot; as it is not specified"/>
    <s v="https://www.defense.gov/News/Contracts/Contract/Article/2480599/"/>
  </r>
  <r>
    <x v="0"/>
    <x v="0"/>
    <s v="Navy"/>
    <x v="0"/>
    <x v="0"/>
    <s v="Indigenous"/>
    <x v="4"/>
    <x v="28"/>
    <s v="Ship-to-Ship"/>
    <s v="Refurbished Harpoon capsules; All-Up Round encapsulated harpoon missiles."/>
    <s v="Refurbished Harpoon capsules; All-Up Round encapsulated harpoon missiles."/>
    <s v="Uncrewed"/>
    <x v="34"/>
    <x v="1"/>
    <s v="Not Applicable"/>
    <n v="20"/>
    <s v="Confirmed"/>
    <n v="10.95"/>
    <s v="USD$"/>
    <n v="10.95"/>
    <s v="B2G"/>
    <s v="January"/>
    <n v="2021"/>
    <s v="The Boeing Co., St. Louis, Missouri, is awarded a $10,953,284 firm-fixed-price order (N00019-21-F-0207) against previously issued basic ordering agreement N00019-16-G-0001.  This order procures 16 refurbished harpoon capsules and four All-Up Round encapsulated harpoon missiles for the Navy.  Work will be performed in Burnley, United Kingdom (70.84%); St. Charles, Missouri (27.9%); Seattle, Washington (1.16%); and various locations within the continental U.S. (0.1%), and is expected to be completed in December 2022.  Fiscal 2021 operation and maintenance (Navy) funds in the amount of $10,953,284 will be obligated at time of award, all of which will expire at the end of the current fiscal year.  The Naval Air Systems Command, Patuxent River, Maryland, is the contracting activity."/>
    <m/>
    <s v="https://www.defense.gov/News/Contracts/Contract/Article/2480599/"/>
  </r>
  <r>
    <x v="0"/>
    <x v="0"/>
    <s v="Air Force"/>
    <x v="0"/>
    <x v="0"/>
    <s v="Indigenous"/>
    <x v="2"/>
    <x v="26"/>
    <s v="Not Applicable"/>
    <s v="Ascension Island Auxiliary Airfield"/>
    <s v="Ascension Island Auxiliary Airfield"/>
    <s v="Not Applicable"/>
    <x v="113"/>
    <x v="0"/>
    <n v="56"/>
    <s v="Not Applicable"/>
    <s v="Confirmed"/>
    <n v="112.99"/>
    <s v="USD$"/>
    <n v="112.99"/>
    <s v="B2G"/>
    <s v="January"/>
    <n v="2021"/>
    <s v="Chugach Range and Facilities Services JV LLC, Anchorage, Alaska, has been awarded a $112,991,156 firm-fixed-price, cost-plus-fixed-fee and cost-reimbursable contract for Ascension Island Mission Services.  This contract provides for radar tracking, space surveillance tracking, telemetry, timing and sequencing, communications, airfield operations, operations, maintenance and engineering support for facilities, systems, equipment, utilities and base operating support responsibilities.  Work will be performed on Ascension Island Auxiliary Airfield and is expected to be completed Sept. 30, 2025.  This award is the result of a competitive acquisition and five offers were received.  Fiscal 2020 operation and maintenance funds in the amount of $104,367 are being obligated at the time of award.  The 45th Contracting Squadron, Patrick Air Force Base, Florida, is the contracting activity (FA2521-21-C-0015)."/>
    <s v="SGA: Unclear about the System name, kindly suggest._x000a_AWN-Defence: System type is Infrastructure -&gt; Other because it is too non-specific. System name is &quot;Ascension Island Auxiliary Airfield&quot; as it is listed"/>
    <s v="https://www.defense.gov/News/Contracts/Contract/Article/2482200/"/>
  </r>
  <r>
    <x v="0"/>
    <x v="0"/>
    <s v="Air Force"/>
    <x v="0"/>
    <x v="0"/>
    <s v="Indigenous"/>
    <x v="1"/>
    <x v="1"/>
    <s v="Fighter"/>
    <s v="F-35"/>
    <s v="F-35"/>
    <s v="Crewed"/>
    <x v="13"/>
    <x v="1"/>
    <s v="Not Applicable"/>
    <s v="Not Applicable"/>
    <s v="Confirmed"/>
    <n v="64.12"/>
    <s v="USD$"/>
    <n v="64.12"/>
    <s v="B2G"/>
    <s v="January"/>
    <n v="2021"/>
    <s v="Lockheed Martin Corp., Lockheed Martin Aeronautics Co., Fort Worth, Texas, is awarded a $64,121,341 modification (P00013) to firm-fixed-price order N00019-20-F-0571 against previously issued basic ordering agreement N00019-19-G-0008.  This modification exercises options for the procurement of Digital Channelized Receiver/Techniques Generator and Tuner Insertion program technology to upgrade F-35 Joint Strike Fighter aircraft with Digital Tuner Insertion Program electronic warfare racks and high efficiency low voltage power supply.  These upgrades will enable for future upgrades to Lot 15 Block 4 configuration, including Technical Refresh Three for the Air Force and non-Department of Defense (DOD) participants.  Work will be performed in Fort Worth, Texas, and is expected to be completed in June 2025.  Fiscal 2020 aircraft procurement (Air Force) funds in the amount of $57,865,601; and non-DOD participant funds in the amount of $6,255,740 will be obligated at the time of award, none of which will expire at the end of the current fiscal year.  The Naval Air Systems Command, Patuxent River, Maryland, is the contracting activity."/>
    <m/>
    <s v="https://www.defense.gov/News/Contracts/Contract/Article/2483503/"/>
  </r>
  <r>
    <x v="0"/>
    <x v="0"/>
    <s v="Navy"/>
    <x v="0"/>
    <x v="0"/>
    <s v="Indigenous"/>
    <x v="5"/>
    <x v="21"/>
    <s v="Satellite Communications"/>
    <s v="Navy Multiband Terminals"/>
    <s v="Navy Multiband Terminals"/>
    <s v="Not Applicable"/>
    <x v="114"/>
    <x v="2"/>
    <n v="15"/>
    <s v="Not Applicable"/>
    <s v="Confirmed"/>
    <n v="19.95"/>
    <s v="USD$"/>
    <n v="19.95"/>
    <s v="B2G"/>
    <s v="January"/>
    <n v="2021"/>
    <s v="Raytheon Space and Airborne Systems, Marlborough, Massachusetts, is awarded a $19,950,844 modification to previously awarded firm-fixed-price contract N00039-16-C-0050 to produce, test and deliver fully integrated Navy Multiband Terminals (NMT).  NMT is a multiband capable satellite communications terminal that provides protected and wideband communications.  The total cumulative face value of the contract is $557,882,121.  Work will be performed at Largo, Florida (54%); South Deerfield, Massachusetts (25%); Stow, Massachusetts (13%); and Marlborough, Massachusetts (8%), with an expected completion date of May 2022.  Fiscal 2021 shipbuilding and conversion (Navy) funds in the amount of $19,950,844 will be obligated at the time of award and will not expire at the end of the fiscal year.  This sole-source contract was not competitively procured in accordance with 10 U.S. Code 2304(c)(1).  The Naval Information Warfare Systems Command, San Diego, California, is the contracting activity."/>
    <m/>
    <s v="https://www.defense.gov/News/Contracts/Contract/Article/2483503/"/>
  </r>
  <r>
    <x v="0"/>
    <x v="0"/>
    <s v="Air Force"/>
    <x v="0"/>
    <x v="0"/>
    <s v="Indigenous"/>
    <x v="5"/>
    <x v="10"/>
    <m/>
    <s v="AN/TYQ-23"/>
    <s v="AN/TYQ-23A Tactical Air Operations "/>
    <s v="Crewed"/>
    <x v="115"/>
    <x v="0"/>
    <n v="59"/>
    <s v="Not Applicable"/>
    <s v="Confirmed"/>
    <n v="70.62"/>
    <s v="USD$"/>
    <n v="70.62"/>
    <s v="B2G"/>
    <s v="January"/>
    <n v="2021"/>
    <s v="Filius Corp., Centreville, Virginia, has been awarded a $70,617,597 indefinite-delivery/indefinite-quantity contract for AN/TYQ-23A Tactical Air Operations Modules contractor logistics support.  The contractor will provide all labor, tools, equipment, technical data/manuals, materials, supplies, parts, original equipment manufacturer service bulletins and the service necessary to provide contractor logistics support.  Work will be performed in Centreville, Virginia, and is expected to be completed by January 2026.  Fiscal 2020 operation and maintenance funds in the amount of $400,000 are being obligated at the time of award.  Air Force Life Cycle Management Center, Hill Air Force Base, Utah, is the contracting activity (FA8217-21-D-0001)."/>
    <s v="SGA: Unsure of the System Types._x000a_AWN-Defense: "/>
    <s v="https://www.defense.gov/News/Contracts/Contract/Article/2486177/"/>
  </r>
  <r>
    <x v="0"/>
    <x v="0"/>
    <s v="Navy"/>
    <x v="0"/>
    <x v="0"/>
    <s v="Indigenous"/>
    <x v="2"/>
    <x v="15"/>
    <s v="Not Applicable"/>
    <m/>
    <m/>
    <s v="Not Applicable"/>
    <x v="116"/>
    <x v="0"/>
    <n v="61"/>
    <s v="Not Applicable"/>
    <s v="Confirmed"/>
    <n v="90.18"/>
    <s v="USD$"/>
    <n v="90.18"/>
    <s v="B2G"/>
    <s v="January"/>
    <n v="2021"/>
    <s v="ACE Maintenance &amp; Services Inc.,* Austin, Texas, is awarded a maximum value $90,175,044 firm-fixed-price, indefinite-delivery/indefinite-quantity contract for janitorial services at Naval Support Activity Bethesda, Maryland.  The work to be performed provides for all labor, management supervision, tools, materials and equipment required to perform base janitorial services.  Future task orders will be primarily funded by operation and maintenance (Navy); operation and maintenance (Army); Navy working capital funds; and Defense Health Program funds.  Work will be performed in Bethesda, Maryland, and is expected to be completed by March 2026.  Fiscal 2021 operation and maintenance (Navy); fiscal 2021 operation and maintenance (Army); Navy working capital funds; and fiscal 2021 Defense Health Program funds in the amount of $17,855,592 will be obligated under the initial task order at time of award and will expire at the end of the current fiscal year.  Work under the initial task order is expected to be completed by February 2022.  This contract was competitively procured via the Federal Business Opportunities website with three proposals received.  The Naval Facilities Engineering Systems Command, Washington, D.C., is the contracting activity (N40080-21-D-0004)."/>
    <s v="SGA: Unsure of the System names._x000a_AWN-Defense: "/>
    <s v="https://www.defense.gov/News/Contracts/Contract/Article/2486177/"/>
  </r>
  <r>
    <x v="0"/>
    <x v="0"/>
    <s v="Navy"/>
    <x v="0"/>
    <x v="0"/>
    <s v="Indigenous"/>
    <x v="6"/>
    <x v="24"/>
    <s v="Amphibious Assault Vehicles"/>
    <s v="ACV"/>
    <s v="ACV"/>
    <s v="Crewed"/>
    <x v="8"/>
    <x v="2"/>
    <n v="59"/>
    <s v="Not Applicable"/>
    <s v="Confirmed"/>
    <n v="77.48"/>
    <s v="USD$"/>
    <n v="77.48"/>
    <s v="B2G"/>
    <s v="January"/>
    <n v="2021"/>
    <s v="BAE Systems Land &amp; Armaments L.P., Sterling Heights, Michigan, is awarded a $77,475,197 five-year, firm-fixed-price, indefinite-delivery/indefinite-quantity contract for interim contractor support for Amphibious Combat Vehicle replacement parts, support and test equipment and the repair of repairables/repairable parts.  Work will be performed in York, Pennsylvania (70%); Aiken, South Carolina (20%); Sterling Heights, Michigan (5%); and Stafford, Virginia (5%), and is expected to be completed in January 2026.  No funds will be obligated at time of award.  Funds will be obligated on individual delivery orders as they are issued.  This contract was not competitively procured pursuant to Federal Acquisition Regulation 6.302-1(a)(ii).  The Marine Corps Systems Command, Quantico, Virginia, is the contracting activity (M67854-21-D-0001)."/>
    <m/>
    <s v="https://www.defense.gov/News/Contracts/Contract/Article/2486177/"/>
  </r>
  <r>
    <x v="0"/>
    <x v="0"/>
    <s v="Navy"/>
    <x v="0"/>
    <x v="0"/>
    <s v="Local Assembly"/>
    <x v="5"/>
    <x v="7"/>
    <s v="Integrated C4ISR System"/>
    <s v="C/KC-130J"/>
    <s v="LAIRCM"/>
    <s v="Crewed"/>
    <x v="13"/>
    <x v="1"/>
    <s v="Not Applicable"/>
    <s v="38 LAIRCM A-kits, up to 38 supplemental kits, 5 bench stock kits"/>
    <s v="Confirmed"/>
    <n v="33.229999999999997"/>
    <s v="USD$"/>
    <n v="33.229999999999997"/>
    <s v="B2G"/>
    <s v="January"/>
    <n v="2021"/>
    <s v="Lockheed Martin Corp., Lockheed Martin Aeronautics Co., Marietta, Georgia, is awarded a $33,229,494 firm-fixed-price, indefinite-delivery/indefinite-quantity contract.  This contract provides for the procurement of up to a maximum quantity of 38 large aircraft infrared countermeasures (LAIRCM) A-kits, up to 38 supplemental kits, five bench stock kits and LAIRCM-advanced threat warning a-kit replacement parts in support of the C/KC-130J aircraft.  Work will be performed in Marietta, Georgia, and is expected to be completed in December 2025.  No funds will be obligated at the time of award.  Funds will be obligated on individual task orders as they are issued.  This contract was not competitively procured pursuant to Federal Acquisition Regulation 6.302-1.  The Naval Air Systems Command, Patuxent River, Maryland, is the contracting activity (N00019-21-D-0011)."/>
    <m/>
    <s v="https://www.defense.gov/News/Contracts/Contract/Article/2486177/"/>
  </r>
  <r>
    <x v="5"/>
    <x v="7"/>
    <s v="Air Force"/>
    <x v="0"/>
    <x v="0"/>
    <s v="Imported"/>
    <x v="8"/>
    <x v="10"/>
    <m/>
    <m/>
    <m/>
    <s v="Uncrewed"/>
    <x v="13"/>
    <x v="2"/>
    <n v="95"/>
    <s v="Not Applicable"/>
    <s v="Confirmed"/>
    <n v="64.27"/>
    <s v="USD$"/>
    <n v="64.27"/>
    <s v="B2G"/>
    <s v="January"/>
    <n v="2021"/>
    <s v="Lockheed Martin, Owego, New York, has been awarded a $64,266,809 supply contract for F-16 Foreign Military Sales (FMS) mission planning.  This contract provides for the development, integration, test and delivery of the Joint Mission Planning System Unique Planning Component/Mission Planning Environment software updates.  Work will be performed in Owego, New York, and is expected to be completed by January 2029.  This contract involves FMS to Slovakia, Bulgaria, Taiwan, Morocco, Greece, United Arab Emirates, Bahrain, Chile, Colombia, Croatia, Egypt, India, Indonesia, Jordan, Korea, Oman, Pakistan, Philippines, Poland, Romania, Singapore, Slovenia and Thailand.  This award is the result of a directed-source acquisition.  FMS funds in the amount of $17,172,548 are being obligated at the time of award.  Air Force Life Cycle Management Center, Hanscom Air Force Base, Massachusetts, is the contracting activity (FA8730-21-C-0001)."/>
    <s v="SGA: Unsure of the Market Segment, System Types, and names._x000a_AWN-Defense: "/>
    <s v="https://www.defense.gov/News/Contracts/Contract/Article/2487798/"/>
  </r>
  <r>
    <x v="0"/>
    <x v="0"/>
    <s v="Air Force"/>
    <x v="0"/>
    <x v="0"/>
    <s v="Indigenous"/>
    <x v="5"/>
    <x v="7"/>
    <s v="Integrated C4ISR System"/>
    <m/>
    <m/>
    <s v="Uncrewed"/>
    <x v="117"/>
    <x v="1"/>
    <s v="Not Applicable"/>
    <s v="Not Applicable"/>
    <s v="Confirmed"/>
    <n v="78.23"/>
    <s v="USD$"/>
    <n v="78.23"/>
    <s v="B2G"/>
    <s v="January"/>
    <n v="2021"/>
    <s v="Teradyne Inc., North Reading, Massachusetts, has been awarded a $78,232,776 firm-fixed-price requirements contract for the purchase of Versatile Diagnostic Automatic Test Station (VDATS) kits.  The VDATS is an organically designed test station with open architecture and virtual modular equipment extensions for instrumentation technology.  The VDATS consists of standardized, commercially available test equipment, components and software.  There are two configurations of VDATS, the Digital Analog (DA)-1 and DA-2.  Currently, these configurations support the A-10, B-1, B-2, B-52, C-5, C-17, C-130, E-3, E-8C, F-15, F16, F-22, H-53, H-60, KC-135 MC-4, MQ-9, Navy ships and UH-1 weapon systems.  This contract will consist of five ordering periods with a period of performance of Feb. 1 2021, through Dec. 31, 2025, and work will be performed in North Reading, Massachusetts.  No funds are being obligated at the time of award.  Air Force Sustainment Center, Robins Air Force Base, Georgia, is the contracting activity (FA8571-21-D-0001)."/>
    <m/>
    <s v="https://www.defense.gov/News/Contracts/Contract/Article/2487798/"/>
  </r>
  <r>
    <x v="0"/>
    <x v="0"/>
    <s v="Navy"/>
    <x v="0"/>
    <x v="0"/>
    <s v="Indigenous"/>
    <x v="0"/>
    <x v="0"/>
    <s v="Research/Survey Vessels"/>
    <s v="USNS Victorious class, USNS Impeccable class, USNS Invincible Stalwart-class, USNS Howard Lorenzen class"/>
    <s v="T-AGOS 19, T-AGOS 20, T-AGOS 21, T-AGOS 22, T-AGOS 23; T-AGM 24 and T-AGM 25"/>
    <s v="Crewed"/>
    <x v="118"/>
    <x v="0"/>
    <n v="5"/>
    <n v="5"/>
    <s v="Confirmed"/>
    <n v="25.484000000000002"/>
    <s v="USD$"/>
    <n v="25.484000000000002"/>
    <s v="B2G"/>
    <s v="February"/>
    <n v="2021"/>
    <s v="Crowley Government Services Inc., Jacksonville, Florida (N62387-15-C-2505) is awarded a $25,484,291 modification under a previously awarded firm-fixed-price contract to exercise a six month option period (P00128) for the operation and maintenance of five Navy ocean surveillance ships USNS Victorious (T-AGOS 19); USNS Able (T-AGOS 20); USNS Effective (T-AGOS 21); USNS Loyal (T-AGOS 22); and USNS Impeccable (T-AGOS 23), and  missile range instrumentation ships USNS Invincible (T-AGM 24); and USNS Howard Lorenzen (T-AGM 25).  This modification provides for the exercises of a six-month option period to the bridge contract that was awarded on July 22, 2020.  Work will be performed at sea, world-wide beginning Feb. 1, 2021, and is expected to be completed by July 31, 2021.  Working capital funds (Navy) in the amount of $25,484,291 are obligated for fiscal 2021 and will not expire at the end of the fiscal year.  This bridge was not competitively procured and was prepared in accordance with Federal Acquisition Regulation 6.302-1 and 10 U.S. Code § 2304(c)(1).  The Military Sealift Command, Norfolk, Virginia, is the contracting activity."/>
    <m/>
    <s v="https://www.defense.gov/News/Contracts/Contract/Article/2489417/"/>
  </r>
  <r>
    <x v="0"/>
    <x v="0"/>
    <s v="Navy"/>
    <x v="0"/>
    <x v="0"/>
    <s v="Indigenous"/>
    <x v="0"/>
    <x v="20"/>
    <s v="Other Surface Combatants"/>
    <s v="LCS"/>
    <s v="LCS-21"/>
    <s v="Crewed"/>
    <x v="13"/>
    <x v="0"/>
    <n v="17"/>
    <s v="Not Applicable"/>
    <s v="Confirmed"/>
    <n v="14.185"/>
    <s v="USD$"/>
    <n v="14.185"/>
    <s v="B2G"/>
    <s v="February"/>
    <n v="2021"/>
    <s v="Lockheed Martin, Mission Systems and Training, Baltimore, Maryland, is awarded a $14,184,813 cost-plus award-fee order N62786-21-F-0004, against previously awarded basic ordering agreement N00024-19-G-2313 to provide engineering and management services for LCS-21 post shakedown availability.  Work will be performed in Mayport, Florida (37%); Moorestown, New Jersey (29%); Virginia Beach, Virginia (18%); Washington, D.C. (15%); and Baltimore, Maryland (1%), and is expected to be completed by July 2022.  Fiscal 2015 shipbuilding and conversion (Navy) $5,339,694 funding will be obligated at time of award and will not expire at the end of the current fiscal year.  The Supervisor of Shipbuilding, Conversion, and Repair, Bath, Maine, is the contracting activity."/>
    <m/>
    <s v="https://www.defense.gov/News/Contracts/Contract/Article/2489417/"/>
  </r>
  <r>
    <x v="0"/>
    <x v="0"/>
    <s v="Air Force"/>
    <x v="0"/>
    <x v="0"/>
    <s v="Indigenous"/>
    <x v="1"/>
    <x v="1"/>
    <s v="Fixed Wing Other"/>
    <s v="TSSC"/>
    <s v="TSSC"/>
    <s v="Crewed"/>
    <x v="119"/>
    <x v="2"/>
    <n v="84"/>
    <s v="Not Applicable"/>
    <s v="Estimated"/>
    <n v="44.195999999999998"/>
    <s v="USD$"/>
    <n v="44.195999999999998"/>
    <s v="B2G"/>
    <s v="February"/>
    <n v="2021"/>
    <s v="Innovative Scientific Solutions Inc., Dayton, Ohio, has been awarded a not-to-exceed $44,195,532 indefinite-delivery/indefinite-quantity contract for Technology for Sustained Supersonic Combustion (TSSC). This is for the Technical Area 2 portion of TSSC. The mission of this TSSC effort focuses on development and evaluation of advanced aero propulsion systems and components, airframe structures, internal/external aerodynamics including integration into air vehicles, weapons and launch components with an emphasis on decreasing weigh and evaluating the effect of engine scale to determine operability, durability and performance. Work will be performed at Wright-Patterson Air Force Base, Ohio, and is expected to be completed February 2028. This award is the result of a competitive acquisition and four offers were received. The first task order will be incrementally funded with fiscal 2020 research, development, test and evaluation funds in the amount of $20,000 at time of award. Air Force Research Laboratory, Wright-Patterson AFB, Ohio, is the contracting activity (FA8650-21-D-2401)."/>
    <m/>
    <s v="https://www.defense.gov/News/Contracts/Contract/Article/2489417/"/>
  </r>
  <r>
    <x v="0"/>
    <x v="0"/>
    <s v="Air Force"/>
    <x v="0"/>
    <x v="0"/>
    <s v="Indigenous"/>
    <x v="4"/>
    <x v="28"/>
    <s v="Ballistic Missile"/>
    <s v="LGM-30"/>
    <s v="Minuteman III"/>
    <s v="Uncrewed"/>
    <x v="4"/>
    <x v="3"/>
    <n v="18"/>
    <s v="Not Applicable"/>
    <s v="Confirmed"/>
    <n v="7.7629999999999999"/>
    <s v="USD$"/>
    <n v="7.7629999999999999"/>
    <s v="B2G"/>
    <s v="February"/>
    <n v="2021"/>
    <s v="Northrop Grumman Systems Corp., Herndon, Virginia, has been awarded a $7,763,422 firm-fixed-price task order under the ground subsystems sustainment contract (FA8214-15-D-0001) for the Minuteman III Launch Control Center Block Upgrade production for the exercise of Option Year One of Malmstrom Wing I.  Work will be performed in Ogden, Utah, and is expected to be completed Aug. 15, 2022.  Fiscal 2021 missile procurement funds in the full amount are being obligated at the time of award.  Total value of the task order after exercise of the previously mentioned option is $26,428,083.  Air Force Nuclear Weapons Center, Hill Air Force Base, Utah, is the contracting activity (FA8204-20-F-0071)."/>
    <m/>
    <s v="https://www.defense.gov/News/Contracts/Contract/Article/2489417/"/>
  </r>
  <r>
    <x v="0"/>
    <x v="0"/>
    <s v="Navy"/>
    <x v="0"/>
    <x v="0"/>
    <s v="Indigenous"/>
    <x v="0"/>
    <x v="22"/>
    <s v="Nuclear-Powered Submarine"/>
    <s v="USS Helena (SSN 725)"/>
    <s v="USS Helena (SSN 725)"/>
    <s v="Crewed"/>
    <x v="10"/>
    <x v="3"/>
    <n v="1"/>
    <s v="Not Applicable"/>
    <s v="Confirmed"/>
    <n v="12.5"/>
    <s v="USD$"/>
    <n v="12.5"/>
    <s v="B2G"/>
    <s v="February"/>
    <n v="2021"/>
    <s v="Huntington Ingalls Industries, Newport News Shipbuilding division, Newport News, Virginia, is awarded a $12,500,000 cost-plus-fixed-fee modification to previously awarded contract N00024-16-C-4316 to continue performance of the repair, maintenance and upgrade efforts on the USS Helena (SSN 725) Dry-Docking Selected Restricted Availability.  Work will be performed in Newport News, Virginia, and is expected to be completed by April 2021.  Fiscal 2021 operation and maintenance (Navy) funding in the amount of $12,500,000 will be obligated at time of award and will expire at the end of the current fiscal year.  The Supervisor of Shipbuilding, Conversion and Repair, Newport News, Virginia, is the contracting activity."/>
    <m/>
    <s v="https://www.defense.gov/News/Contracts/Contract/Article/2490862/"/>
  </r>
  <r>
    <x v="0"/>
    <x v="0"/>
    <s v="Defense Wide"/>
    <x v="0"/>
    <x v="0"/>
    <s v="Indigenous"/>
    <x v="1"/>
    <x v="17"/>
    <s v="Rotary Wing Other"/>
    <s v="T700 aircraft engine"/>
    <s v="T700 aircraft engine fuel injector"/>
    <s v="Crewed"/>
    <x v="120"/>
    <x v="0"/>
    <n v="60"/>
    <s v="Not Applicable"/>
    <s v="Confirmed"/>
    <n v="10"/>
    <s v="USD$"/>
    <n v="10"/>
    <s v="B2G"/>
    <s v="February"/>
    <n v="2021"/>
    <s v="Delavan Inc., West Des Moines, Iowa, doing business as Collins Aerospace, has been awarded a maximum $9,999,999 firm-fixed-price, indefinite-quantity contract for T700 aircraft engine fuel injector assemblies.  This was a competitive acquisition with one response received.  This is a five-year contract with no option periods.  Location of performance is Iowa, with a Feb. 2, 2026, performance completion date.  Using military services are Army, Navy and Air Force.  Type of appropriation is fiscal 2021 through 2026 defense working capital funds.  The contracting activity is the Defense Logistics Agency Aviation, Richmond, Virginia (SPE4A721D0099)."/>
    <s v="SGA: Unclear about the system type _x000a_AWN-Defense:"/>
    <s v="https://www.defense.gov/News/Contracts/Contract/Article/2490862/"/>
  </r>
  <r>
    <x v="0"/>
    <x v="0"/>
    <s v="Navy"/>
    <x v="0"/>
    <x v="0"/>
    <s v="Indigenous"/>
    <x v="5"/>
    <x v="31"/>
    <s v="Defensive Aid Suite"/>
    <s v="AN/ALQ-165, AN/ALQ-214"/>
    <s v="AN/ALQ-165, AN/ALQ-214"/>
    <s v="Uncrewed"/>
    <x v="17"/>
    <x v="0"/>
    <n v="59"/>
    <s v="Not Applicable"/>
    <s v="Confirmed"/>
    <n v="45.89"/>
    <s v="USD$"/>
    <n v="45.89"/>
    <s v="B2G"/>
    <s v="February"/>
    <n v="2021"/>
    <s v="L3Harris Technologies Inc., Clifton, New Jersey, is awarded a $45,888,334 cost-plus-fixed-fee, cost reimbursement, indefinite-delivery/indefinite-quantity contract.  This contract provides engineering maintenance and repair support services for Advanced Self-Protection Jammer AN/ALQ-165, Integrated Defensive Electronic Countermeasures AN/ALQ-214, and aircraft self-protection optimization software in support of F/A-18 series aircraft for the Navy and Foreign Military Sales customers.  Work will be performed in Clifton, New Jersey, and is expected to be completed in February 2026.  No funds will be obligated at the time of award; funds will be obligated on individual orders as they are issued.  This contract was not competitively procured pursuant to 10 U.S. Code 2304(c)(1).  The Naval Air Warfare Center, Weapons Division, Point Mugu, California, is the contracting activity (N68936-21-D-0006)."/>
    <m/>
    <s v="https://www.defense.gov/News/Contracts/Contract/Article/2493842/"/>
  </r>
  <r>
    <x v="0"/>
    <x v="0"/>
    <s v="Navy"/>
    <x v="0"/>
    <x v="0"/>
    <s v="Indigenous"/>
    <x v="1"/>
    <x v="17"/>
    <s v="Rotary Wing Transport"/>
    <s v="VH-92A"/>
    <s v="VH-92A"/>
    <s v="Crewed"/>
    <x v="19"/>
    <x v="1"/>
    <s v="Not Applicable"/>
    <n v="5"/>
    <s v="Confirmed"/>
    <n v="478.61"/>
    <s v="USD$"/>
    <n v="478.61"/>
    <s v="B2G"/>
    <s v="February"/>
    <n v="2021"/>
    <s v="Sikorsky Aircraft Corp., a Lockheed Martin Co., Stratford, Connecticut, is awarded a $478,605,019 firm-fixed-price modification (P00102) to a previously awarded contract (N0001914C0050). This modification exercises options for the procurement of five Lot Three low rate initial production Presidential Helicopters Replacement Program (VH-92A) aircraft, and associated interim contractor support, two cabin interior reconfiguration kits, support equipment, initial spares, and system parts replenishment. Work will be performed in Stratford, Connecticut (50%); Coatesville, Pennsylvania (36%); Owego, New York (10%); Patuxent River, Maryland (2%); Phoenix, Arizona (1%); and Quantico, Virginia (1%), and is expected to be completed in December 2023. Fiscal 2021 aircraft procurement (Navy) funds in the amount $478,605,019 will be obligated at time of award, none of which will expire at the end of the current fiscal year. The Naval Air Systems Command, Patuxent River, Maryland, is the contracting activity."/>
    <m/>
    <s v="https://www.defense.gov/News/Contracts/Contract/Article/2495622/"/>
  </r>
  <r>
    <x v="0"/>
    <x v="0"/>
    <s v="Army"/>
    <x v="0"/>
    <x v="0"/>
    <s v="Indigenous"/>
    <x v="1"/>
    <x v="6"/>
    <s v="Not Applicable"/>
    <s v="Aviation Maintenance Services"/>
    <s v="Aviation Maintenance Services"/>
    <s v="Not Applicable"/>
    <x v="121"/>
    <x v="0"/>
    <n v="6"/>
    <s v="Not Applicable"/>
    <s v="Confirmed"/>
    <n v="42"/>
    <s v="USD$"/>
    <n v="42"/>
    <s v="B2G"/>
    <s v="February"/>
    <n v="2021"/>
    <s v="Dyncorp International LLC, Fort Worth, Texas, was awarded a $42,000,000 modification (P00121) to contract W58RGZ-19-C-0025 for aviation maintenance services.  Work will be performed in Afghanistan and Iraq, with an estimated completion date of Aug. 31, 2021.  Fiscal 2021 operation and maintenance (Army) funds in the amount of $42,000,000 were obligated at the time of the award.  U.S. Army Contracting Command, Redstone Arsenal, Alabama, is the contracting activity"/>
    <m/>
    <s v="https://www.defense.gov/News/Contracts/Contract/Article/2495622/"/>
  </r>
  <r>
    <x v="0"/>
    <x v="0"/>
    <s v="Army"/>
    <x v="0"/>
    <x v="0"/>
    <s v="Indigenous"/>
    <x v="6"/>
    <x v="8"/>
    <s v="Trucks"/>
    <s v="FMTV"/>
    <s v="Underbody Armor Kit"/>
    <s v="Crewed"/>
    <x v="7"/>
    <x v="3"/>
    <n v="16"/>
    <n v="1081"/>
    <s v="Confirmed"/>
    <n v="61.003"/>
    <s v="USD$"/>
    <n v="61.003"/>
    <s v="B2G"/>
    <s v="February"/>
    <n v="2021"/>
    <s v="Oshkosh Defense LLC, Oshkosh, Wisconsin, was awarded a $61,002,554 firm-fixed-price contract for 1,081 Underbody Armor Kit upgrade kits for the Family of Medium Tactical Vehicles.  Bids were solicited via the internet with one received.  Work will be performed in Oshkosh, Wisconsin, with an estimated completion date of June 30, 2022.  Fiscal 2019, 2020 and 2021 European reassurance initiative funds in the amount of $61,002,554 were obligated at the time of the award.  U.S. Army Contracting Command, Detroit Arsenal, Michigan, is the contracting activity (W56HZV-21-C-0084)."/>
    <m/>
    <s v="https://www.defense.gov/News/Contracts/Contract/Article/2495622/"/>
  </r>
  <r>
    <x v="0"/>
    <x v="0"/>
    <s v="Navy"/>
    <x v="0"/>
    <x v="0"/>
    <s v="Indigenous"/>
    <x v="1"/>
    <x v="17"/>
    <s v="Rotary Wing Transport"/>
    <s v="MV-22 and CV-22 proprotor"/>
    <s v="MV-22 and CV-22 proprotor"/>
    <s v="Crewed"/>
    <x v="27"/>
    <x v="1"/>
    <s v="Not Applicable"/>
    <s v="6 and 10"/>
    <s v="Confirmed"/>
    <n v="14.68"/>
    <s v="USD$"/>
    <n v="14.68"/>
    <s v="B2G"/>
    <s v="February"/>
    <n v="2021"/>
    <s v="Bell Boeing Joint Project Office, Amarillo, Texas, is awarded a $17,852,939 modification (P00012) to a firm-fixed-priced order (N0001919F0305) against a previously issued basic ordering agreement (N0001917G0002). This modification exercises an option to procure 60 MV-22 and 10 CV-22 proprotor hub spring and drive link retrofit kits; and six CV-22 modification spares kits, in support of the Marine Corps MV-22 aircraft and Air Force CV-22 aircraft. Work will be performed in Fort Worth, Texas, and is expected to be completed in February 2023. Fiscal 2021 aircraft procurement (Navy) funds in the amount of $14,675,618; and fiscal 2021 aircraft procurement (Air Force) funds in the amount of $3,177,321, will be obligated at time of award, none of which will expire at the end of the current fiscal year. The Naval Air Systems Command, Patuxent River, Maryland, is the contracting activity. (Awarded Feb. 5, 2021)"/>
    <m/>
    <s v="https://www.defense.gov/News/Contracts/Contract/Article/2497472/"/>
  </r>
  <r>
    <x v="0"/>
    <x v="0"/>
    <s v="Air Force"/>
    <x v="0"/>
    <x v="0"/>
    <s v="Indigenous"/>
    <x v="1"/>
    <x v="17"/>
    <s v="Rotary Wing Transport"/>
    <s v="MV-22 and CV-22 proprotor"/>
    <s v="MV-22 and CV-22 proprotor"/>
    <s v="Crewed"/>
    <x v="27"/>
    <x v="1"/>
    <s v="Not Applicable"/>
    <s v="6 and 10"/>
    <s v="Confirmed"/>
    <n v="3.18"/>
    <s v="USD$"/>
    <n v="3.18"/>
    <s v="B2G"/>
    <s v="February"/>
    <n v="2021"/>
    <s v="Bell Boeing Joint Project Office, Amarillo, Texas, is awarded a $17,852,939 modification (P00012) to a firm-fixed-priced order (N0001919F0305) against a previously issued basic ordering agreement (N0001917G0002). This modification exercises an option to procure 60 MV-22 and 10 CV-22 proprotor hub spring and drive link retrofit kits; and six CV-22 modification spares kits, in support of the Marine Corps MV-22 aircraft and Air Force CV-22 aircraft. Work will be performed in Fort Worth, Texas, and is expected to be completed in February 2023. Fiscal 2021 aircraft procurement (Navy) funds in the amount of $14,675,618; and fiscal 2021 aircraft procurement (Air Force) funds in the amount of $3,177,321, will be obligated at time of award, none of which will expire at the end of the current fiscal year. The Naval Air Systems Command, Patuxent River, Maryland, is the contracting activity. (Awarded Feb. 5, 2021)"/>
    <m/>
    <s v="https://www.defense.gov/News/Contracts/Contract/Article/2497472/"/>
  </r>
  <r>
    <x v="0"/>
    <x v="0"/>
    <s v="Air Force"/>
    <x v="0"/>
    <x v="0"/>
    <s v="Indigenous"/>
    <x v="1"/>
    <x v="1"/>
    <s v="Fighter"/>
    <s v="F35 Lightning II Block"/>
    <s v="F135 Engines"/>
    <s v="Crewed"/>
    <x v="0"/>
    <x v="2"/>
    <n v="22"/>
    <s v="1 CTOL and 2 STOVL"/>
    <s v="Confirmed"/>
    <n v="49.195999999999998"/>
    <s v="USD$"/>
    <n v="49.195999999999998"/>
    <s v="B2G"/>
    <s v="February"/>
    <n v="2021"/>
    <s v="Raytheon Technologies Corp., Pratt and Whitney, Pratt and Whitney Engines, East Hartford, Connecticut, is awarded a $49,195,531 fixed-price-incentive-firm-target modification (P00025) to a previously awarded contract (N0001918C1021). This contract provides for one conventional take-off and landing and two short take-off/vertical landing F135 engines to support F-35 Lightning II Block Four developmental testing program for the Air Force, Navy, Marine Corps, and non-U.S. Department of Defense (DOD) participants. Work will be performed in East Hartford, Connecticut (33%); Kent, Washington (15%); El Cajon, California (15%); Whitehall, Michigan (8%); West Palm Beach, Florida (6%); Dover, New Jersey (5%); East Lake, Ohio (3%); Rockford, Illinois (3%); Houston, Texas (3%); Portland, Oregon (3%); North Berwick, Maine (3%); and Milford, New Hampshire (3%), and is expected to be completed in January 2023. Fiscal 2020 research, development, test and evaluation (Air Force) funds in the amount of $3,690,000; fiscal 2020 research, development, test and evaluation (Navy) funds in the amount of $2,500,000; and non-U.S. DOD participant funds in the amount of $1,083,021 will be obligated at the time of award, $6,190,000 of which will expire at the end of the current fiscal year. The Naval Air Systems Command, Patuxent River, Maryland, is the contracting activity. (Awarded Feb. 5, 2021)"/>
    <m/>
    <s v="https://www.defense.gov/News/Contracts/Contract/Article/2497472/"/>
  </r>
  <r>
    <x v="0"/>
    <x v="0"/>
    <s v="Navy"/>
    <x v="0"/>
    <x v="0"/>
    <s v="Indigenous"/>
    <x v="0"/>
    <x v="22"/>
    <s v="Nuclear-Powered Submarine"/>
    <s v="Virginia class"/>
    <s v="Submarine Propulsors"/>
    <s v="Crewed"/>
    <x v="8"/>
    <x v="1"/>
    <s v="Not Applicable"/>
    <s v="Not Applicable"/>
    <s v="Confirmed"/>
    <n v="17.577000000000002"/>
    <s v="USD$"/>
    <n v="17.577000000000002"/>
    <s v="B2G"/>
    <s v="February"/>
    <n v="2021"/>
    <s v="BAE Systems Platforms &amp; Services, Minneapolis, Minnesota, is awarded a $17,576,524 fixed-price incentive (firm target) contract for Virginia-class submarine propulsors (delivery order N00024-21-F-2100 under basic ordering agreement N00024-20-G-4107). Work will be performed in Louisville, Kentucky (90%); and Minneapolis, Minnesota (10%), and is expected to be completed by October 2024. Fiscal 2020 advanced procurement shipbuilding and conversion (Navy) funding in the amount of $17,576,524 will be obligated at time of award and will not expire at the end of the fiscal year. This contract was not competitively procured in accordance with 10 U.S. Code 2304(c)(1) (only one responsible source and no other supplies or services will satisfy agency requirements). The Naval Sea Systems Command, Washington, D.C., is the contracting activity. (Awarded Feb. 5, 2021)"/>
    <m/>
    <s v="https://www.defense.gov/News/Contracts/Contract/Article/2497472/"/>
  </r>
  <r>
    <x v="0"/>
    <x v="0"/>
    <s v="Army"/>
    <x v="0"/>
    <x v="0"/>
    <s v="Indigenous"/>
    <x v="7"/>
    <x v="29"/>
    <s v="Not Applicable"/>
    <s v="Longbow Crew Trainer"/>
    <s v="Generation Four and Generation Five fleets"/>
    <s v="Crewed"/>
    <x v="34"/>
    <x v="3"/>
    <n v="25"/>
    <s v="Not Applicable"/>
    <s v="Confirmed"/>
    <n v="10.58"/>
    <s v="USD$"/>
    <n v="10.58"/>
    <s v="B2G"/>
    <s v="February"/>
    <n v="2021"/>
    <s v="The Boeing Co., St. Louis, Missouri, was awarded a $10,579,798 modification (P00004) to contract W58RGZ19F0045 to integrate, test, upgrade and field functional hardware and software technology improvements and cybersecurity controls, to the Longbow Crew Trainer Generation Four and Generation Five fleets.  Work will be performed in St. Louis, Missouri, with an estimated completion date of April 2, 2022.  Fiscal 2019 aircraft procurement (Army) funds in the amount of $10,579,798 were obligated at the time of the award.  U.S. Army Contracting Command, Redstone Arsenal, Alabama, is the contracting activity."/>
    <m/>
    <s v="https://www.defense.gov/News/Contracts/Contract/Article/2497472/"/>
  </r>
  <r>
    <x v="0"/>
    <x v="0"/>
    <s v="Army"/>
    <x v="0"/>
    <x v="0"/>
    <s v="Indigenous"/>
    <x v="2"/>
    <x v="38"/>
    <s v="Not Applicable"/>
    <s v="Military Healthcare Construction/Renewal"/>
    <s v="Military Healthcare Construction/Renewal"/>
    <s v="Not Applicable"/>
    <x v="122"/>
    <x v="0"/>
    <n v="59"/>
    <s v="Not Applicable"/>
    <s v="Confirmed"/>
    <n v="495"/>
    <s v="USD$"/>
    <n v="495"/>
    <s v="B2G"/>
    <s v="February"/>
    <n v="2021"/>
    <s v="Covalus LLC,* Dallas, Texas (W912DY-21-D-0006); Holitna Construction LLC,* Anchorage, Alaska (W912DY-21-D-0007); Martek Global Solutions LLC,* Bethesda, Maryland (W912DY-21-D-0008); and Workplace Solutions Inc.,* Jacksonville, Florida (W912DY-21-D-0009), will compete for each order of the $495,000,000 firm-fixed-price contract to support military healthcare construction/renewal projects.  Bids were solicited via the internet with 19 received.  Work locations and funding will be determined with each order, with an estimated completion date of Feb. 3, 2026.  U.S. Army Corps of Engineers, Huntsville, Alabama, is the contracting activity."/>
    <m/>
    <s v="https://www.defense.gov/News/Contracts/Contract/Article/2498742/"/>
  </r>
  <r>
    <x v="0"/>
    <x v="0"/>
    <s v="Army"/>
    <x v="0"/>
    <x v="0"/>
    <s v="Indigenous"/>
    <x v="4"/>
    <x v="23"/>
    <s v="Bombs"/>
    <s v="Mark 80 series"/>
    <s v="MK82-1, MK82-6, MK82-8, MK83-4, MK84-6, and BDU-56/B"/>
    <s v="Uncrewed"/>
    <x v="9"/>
    <x v="1"/>
    <n v="19"/>
    <s v="Not Applicable"/>
    <s v="Confirmed"/>
    <n v="12.722"/>
    <s v="USD$"/>
    <n v="12.722"/>
    <s v="B2G"/>
    <s v="February"/>
    <n v="2021"/>
    <s v="General Dynamics Ordnance and Tactical Systems, Garland, Texas, was awarded a $12,722,355 modification (P00004) to contract W52P1J-18-C-0052 for MK82-1, MK82-6, MK82-8, MK83-4, MK84-6 and BDU-56/B bomb bodies.  Work will be performed in Garland, Texas, with an estimated completion date of Sept. 30, 2022.  Fiscal 2019 and 2020 aircraft procurement (Army) funds in the amount of $12,722,355 were obligated at the time of the award.  U.S. Army Contracting Command, Rock Island Arsenal, Illinois, is the contracting activity."/>
    <m/>
    <s v="https://www.defense.gov/News/Contracts/Contract/Article/2498742/"/>
  </r>
  <r>
    <x v="0"/>
    <x v="0"/>
    <s v="Navy"/>
    <x v="0"/>
    <x v="0"/>
    <s v="Indigenous"/>
    <x v="1"/>
    <x v="17"/>
    <s v="Rotary Wing Transport"/>
    <s v="CH-53K"/>
    <s v="T408-GE-400"/>
    <s v="Crewed"/>
    <x v="54"/>
    <x v="1"/>
    <n v="45"/>
    <n v="4"/>
    <s v="Confirmed"/>
    <n v="21.094999999999999"/>
    <s v="USD$"/>
    <n v="21.094999999999999"/>
    <s v="B2G"/>
    <s v="February"/>
    <n v="2021"/>
    <s v="General Electric Aviation, Lynn, Massachusetts, is awarded a $21,095,294 firm-fixed-price modification (P00016) to previously awarded contract N00019-18-C-1007.  This modification procures 4 T408-GE-400 turboshaft spare engines and various spare engine parts in support of CH-53K Lot 5 low rate initial production aircraft.  Work will be performed in Lynn, Massachusetts, and is expected to be completed in December 2024.  Fiscal 2021 aircraft procurement (Navy) funds in the amount of $20,390,291; and fiscal 2020 aircraft procurement (Navy) funds in the amount of $705,003 will be obligated at time of award, none of which will expire at the end of the current fiscal year.  The Naval Air Systems Command, Patuxent River, Maryland, is the contracting activity."/>
    <m/>
    <s v="https://www.defense.gov/News/Contracts/Contract/Article/2498742/"/>
  </r>
  <r>
    <x v="0"/>
    <x v="0"/>
    <s v="Air Force"/>
    <x v="0"/>
    <x v="0"/>
    <s v="Indigenous"/>
    <x v="1"/>
    <x v="1"/>
    <s v="Fighter"/>
    <s v="CFM56-2A (Franco-American Family)"/>
    <s v="F108 Module"/>
    <s v="Crewed"/>
    <x v="123"/>
    <x v="0"/>
    <n v="59"/>
    <s v="Not Applicable"/>
    <s v="Confirmed"/>
    <n v="74.632000000000005"/>
    <s v="USD$"/>
    <n v="74.632000000000005"/>
    <s v="B2G"/>
    <s v="February"/>
    <n v="2021"/>
    <s v="Chromalloy Component Services, San Antonio, Texas, has been awarded a $74,632,104 firm-fixed-price, indefinite-delivery/indefinite-quantity contract for the remanufacture of the F108 Module 14 low pressure turbine assembly.  This contract provides for the remanufacturing of the F108-200 (CFM56-2A) low pressure turbine assembly (Module 14) to like-new condition.  Work will be performed in San Antonio, Texas, and is expected to be completed Feb. 8, 2026.  This award is the result of a competitive acquisition and two offers were received.  Defense agencies working capital funds will be used, but no funds are being obligated at the time of award.  The Air Force Sustainment Center, Tinker Air Force Base, Oklahoma, is the contracting activity (FA8122-21-D-0002)."/>
    <m/>
    <s v="https://www.defense.gov/News/Contracts/Contract/Article/2498742/"/>
  </r>
  <r>
    <x v="0"/>
    <x v="0"/>
    <s v="Navy"/>
    <x v="0"/>
    <x v="0"/>
    <s v="Indigenous"/>
    <x v="2"/>
    <x v="38"/>
    <s v="Not Applicable"/>
    <s v="NAVFAC"/>
    <s v="NAVFAC"/>
    <s v="Not Applicable"/>
    <x v="124"/>
    <x v="0"/>
    <n v="59"/>
    <s v="Not Applicable"/>
    <s v="Estimated"/>
    <n v="70"/>
    <s v="USD$"/>
    <n v="70"/>
    <s v="B2G"/>
    <s v="February"/>
    <n v="2021"/>
    <s v="Utility Works JV, Virginia Beach, Virginia, is awarded a not-to-exceed $70,000,000 indefinite-delivery/indefinite-quantity contract for architect-engineer services for utilities engineering and management support for Naval Facilities Engineering Systems Command (NAVFAC) worldwide.  The work to be performed includes, but is not limited to, utility engineering, infrastructure management, operation and maintenance and utility management services, which will support electrical generation, transmission and distribution systems; water supply, transmission, treatment and distribution systems; wastewater collection and treatment systems; steam generation, transmission and distribution systems; compressed air generation and distribution systems; and natural gas transmission and distribution systems.  No task orders are being awarded at this time.  All work will be performed at various Navy and Marine Corps facilities and other government facilities within the NAVFAC Atlantic and Pacific areas of operations, and worldwide including, but not limited to California (20 %); Virginia (20%); Florida (15%); North Carolina (5%); South Carolina (5%); Maryland (5%); Washington state (5%); Georgia (5%); Hawaii (5%); Texas (5%); Europe, Africa, Central (5%); and Far East (5%).  The term of the contract is not to exceed 60 months with an expected completion date of February 2026.  Fiscal 2021 operation and maintenance (Navy) (O&amp;M,N) contract funds in the amount of $10,000 are obligated on this award and will expire at the end of the current fiscal year.  Future task orders will be primarily funded by (O&amp;M,N) funds.  This contract was competitively procured via the beta.SAM.gov website with two proposals received.  NAVFAC Atlantic, Norfolk, Virginia, is the contracting activity (N62470-21-D-0005)."/>
    <m/>
    <s v="https://www.defense.gov/News/Contracts/Contract/Article/2500379/"/>
  </r>
  <r>
    <x v="0"/>
    <x v="0"/>
    <s v="Army"/>
    <x v="0"/>
    <x v="0"/>
    <s v="Indigenous"/>
    <x v="4"/>
    <x v="23"/>
    <s v="Explosives"/>
    <s v="M17A1 and Nonexplosive M85A1"/>
    <s v="M17A1 and Nonexplosive M85A1"/>
    <s v="Uncrewed"/>
    <x v="125"/>
    <x v="1"/>
    <s v="Not Applicable"/>
    <s v="Not Applicable"/>
    <s v="Confirmed"/>
    <n v="48.95"/>
    <s v="USD$"/>
    <n v="48.95"/>
    <s v="B2G"/>
    <s v="February"/>
    <n v="2021"/>
    <s v="Mnemonics Inc.,* Melbourne, Florida, was awarded a $48,954,000 firm-fixed-price contract for the production and delivery of the Receiver Radio Firing Device, Nonelectric Blasting Cap Actuating M17A1 and the Trainer, Receiver, Radio Firing Device, Nonexplosive M85A1.  Bids were solicited via the internet with one received.  Work locations and funding will be determined with each order, with an estimated completion date of Feb. 9, 2026.  U.S. Army Contracting Command, Newark, New Jersey, is the contracting activity (W15QKN-21-D-0012)."/>
    <m/>
    <s v="https://www.defense.gov/News/Contracts/Contract/Article/2500379/"/>
  </r>
  <r>
    <x v="0"/>
    <x v="0"/>
    <s v="Air Force"/>
    <x v="0"/>
    <x v="0"/>
    <s v="Indigenous"/>
    <x v="6"/>
    <x v="8"/>
    <s v="Trucks"/>
    <s v="Payload Transporter"/>
    <s v="Minuteman III Payload Transporter"/>
    <s v="Crewed"/>
    <x v="126"/>
    <x v="1"/>
    <s v="Not Applicable"/>
    <s v="Not Applicable"/>
    <m/>
    <n v="14.488"/>
    <s v="USD$"/>
    <n v="14.488"/>
    <s v="B2G"/>
    <s v="February"/>
    <n v="2021"/>
    <s v="Armorworks Enterprises Inc., Chandler, Arizona, has been awarded a $14,488,133 firm-fixed-price contract modification for the Minuteman III Payload Transporter Replacement (PTR) program for the exercise of Option Two, which provides the purchase of two production PTR vehicles.  Work will be performed in Chandler, Arizona, and is expected to be completed Oct. 10, 2022.  Fiscal 2021 missile procurement funds in the full amount are being obligated at the time of award.  Air Force Nuclear Weapons Center, Hill Air Force Base, Utah, is the contracting activity (FA8204-19-C-0005)."/>
    <m/>
    <s v="https://www.defense.gov/News/Contracts/Contract/Article/2500379/"/>
  </r>
  <r>
    <x v="0"/>
    <x v="0"/>
    <s v="Army"/>
    <x v="0"/>
    <x v="0"/>
    <s v="Indigenous"/>
    <x v="5"/>
    <x v="31"/>
    <s v="Defensive Aid Suite"/>
    <s v="M206 and MJU-7A/B"/>
    <s v="M206 and MJU-7A/B"/>
    <s v="Crewed"/>
    <x v="127"/>
    <x v="1"/>
    <s v="Not Applicable"/>
    <s v="Unknown"/>
    <s v="Confirmed"/>
    <n v="29.09"/>
    <s v="USD$"/>
    <n v="29.09"/>
    <s v="B2G"/>
    <s v="February"/>
    <n v="2021"/>
    <s v="Kilgore Flares Co. LLC, Toone, Tennessee, was awarded a $29,089,992 firm-fixed-price contract for Flare Aircraft Countermeasure M206 and Flare Aircraft Countermeasure MJU-7A/B.  Bids were solicited via the internet with three received.  Work will be performed in Toone, Tennessee, with an estimated completion date of Dec. 31, 2026.  Fiscal 2019 and 2020 aircraft procurement appropriations funds in the amount of $29,089,992 were obligated at the time of the award.  U.S. Army Contracting Command, Rock Island Arsenal, Illinois, is the contracting activity (W52P1J-21-F-0103)."/>
    <s v="SGA: Unsure of the System Types._x000a_AWN-Defense: "/>
    <s v="https://www.defense.gov/News/Contracts/Contract/Article/2500379/"/>
  </r>
  <r>
    <x v="0"/>
    <x v="0"/>
    <s v="Army"/>
    <x v="0"/>
    <x v="0"/>
    <s v="Indigenous"/>
    <x v="2"/>
    <x v="42"/>
    <s v="Not Applicable"/>
    <s v="916-car parking structure and of a new spinal cord injury/community living center"/>
    <s v="916-car parking structure and of a new spinal cord injury/community living center"/>
    <s v="Not Applicable"/>
    <x v="128"/>
    <x v="1"/>
    <s v="Not Applicable"/>
    <s v="Not Applicable"/>
    <s v="Confirmed"/>
    <n v="205.44"/>
    <s v="USD$"/>
    <n v="205.44"/>
    <s v="B2G"/>
    <s v="February"/>
    <n v="2021"/>
    <s v="Archer Western Federal JV, Chicago, Illinois, was awarded a $205,442,643 firm-fixed-price contract for construction of a new 916-car parking structure and of a new spinal cord injury/community living center.  Bids were solicited via the internet with two received.  Work will be performed in San Diego, California, with an estimated completion date of March 11, 2024.  Fiscal 2021 civil construction funds in the amount of $205,442,643 were obligated at the time of the award.  U.S. Army Corps of Engineers, Los Angeles, California, is the contracting activity (W912PL-21-C-0004)."/>
    <s v="SGA: Can we track this kind of contracts, kindly suggest."/>
    <s v="https://www.defense.gov/News/Contracts/Contract/Article/2501750/"/>
  </r>
  <r>
    <x v="0"/>
    <x v="0"/>
    <s v="Navy"/>
    <x v="0"/>
    <x v="0"/>
    <s v="Indigenous"/>
    <x v="0"/>
    <x v="22"/>
    <m/>
    <m/>
    <m/>
    <s v="Crewed"/>
    <x v="10"/>
    <x v="2"/>
    <n v="6"/>
    <s v="Not Applicable"/>
    <s v="Confirmed"/>
    <n v="13.44"/>
    <s v="USD$"/>
    <n v="13.44"/>
    <s v="B2G"/>
    <s v="February"/>
    <n v="2021"/>
    <s v="Huntington Ingalls Industries’ Newport News Shipbuilding division, Newport News, Virginia, is awarded a $13,435,247 cost-plus-fixed-fee contract for engineering and technical design effort to support research and development concept formulation for current and future submarine platforms.  This contract procures advanced submarine research and development (R&amp;D) including studies to support assessments, development, design studies and tests; provide on-site engineering, logistics and technical services; and integrate/incorporate technologies for land-based or at-sea tests/demonstrations.  Development and design of advanced submarine R&amp;D technologies include integration/incorporation of developing technologies as well as advanced development models into the designated R&amp;D test platform(s) and current and future submarine platforms.  This contract includes options which, if exercised, would bring the cumulative value of this contract to $117,332,071.  Work will be performed in Newport News, Virginia, and is expected to be completed by September 2021.  If all options are exercised, work will continue through September 2025.  Fiscal 2021 research, development, test and evaluation (Navy) funding in the amount of $250,000 will be obligated at time of award and will not expire at the end of the current fiscal year.  Fiscal 2020 research, development, test and evaluation (Navy) funding in the amount of $35,000 will be obligated at time of award and will expire at the end of the current fiscal year.  This contract was not competitively procured and is a sole-source award pursuant to 10 U.S. Code 2304(c)(3) – Industrial Mobilization.  The Naval Sea Systems Command, Washington, D.C., is the contracting activity (N00024-21-C-2104)."/>
    <m/>
    <s v="https://www.defense.gov/News/Contracts/Contract/Article/2501750/"/>
  </r>
  <r>
    <x v="0"/>
    <x v="0"/>
    <m/>
    <x v="0"/>
    <x v="0"/>
    <s v="Indigenous"/>
    <x v="2"/>
    <x v="15"/>
    <s v="Not Applicable"/>
    <m/>
    <m/>
    <s v="Not Applicable"/>
    <x v="91"/>
    <x v="0"/>
    <n v="59"/>
    <s v="Not Applicable"/>
    <s v="Confirmed"/>
    <n v="2000"/>
    <s v="USD$"/>
    <n v="2000"/>
    <s v="B2G"/>
    <s v="February"/>
    <n v="2021"/>
    <s v="AECOM Technical Services Inc., Los Angeles, California (FA8903-21-D-0002); APTIM Federal Services LLC, Alexandria, Virginia (FA8903-21-D-0001); Atkins Black &amp; Veatch FSB JV, Denver, Colorado (FA8903-21-D-0003); Benham – Mead &amp; Hunt, Oklahoma City, Oklahoma (FA8903-21-D-0005); Burns &amp; McDonnell Inc., Kansas City, Missouri (FA8903-21-D-0006); HDR Environmental, Operations and Construction Inc. Spring Branch, Texas (FA8903-21-D-007); Jacobs Government Services Co., San Antonio, Texas (FA8903-21-D-0008); OTIE-Merrick JV, Milwaukee, Wisconsin (FA8903-21-D-0010); Michael Baker International Inc., Moon Township, Pennsylvania (FA8903-21-D-0004); Parsons Government Services Inc., Pasadena, California (FA8903-21-D-0011); Leo A Daly Co., Minneapolis, Minnesota (FA8903-21-D-0009); Pond-CDM Smith JV LP, Peachtree Corners, Georgia (FA8903-21-D-0012); Tetra Tech Inc., Marlborough, Massachusetts (FA8903-21-D-0013); TransSystems GHD JV, Berkeley, California (FA8903-21-D-0014); Wood Environment &amp; Infrastructure Solutions Inc., Blue Bell, Pennsylvania (FA8903-21-D-015); Woolpert RS&amp;H LLC, Dayton, Ohio (FA8903-21-D-0016); and WSP Mason Hanger JV, Washington, D.C. (FA8903-21-D-0017), have collectively been awarded a $2,000,000,000 indefinite-delivery/indefinite-quantity, multiple award task order contract for architect and engineering services.  This contract supports the Air Force worldwide infrastructure design and construction missions, specifically for the Air Force Civil Engineer Center, Air Force Installation Contracting Center, Air Force Life Cycle Management Center and Army Installation Management Command directorates.  Work is expected to be completed by February 2026.  Fiscal 2021 operation and maintenance funds in the amount of $51,000 are being obligated at the time of award.  The 772nd Enterprise Sourcing Squadron, San Antonio, Texas, is the contracting activity."/>
    <m/>
    <s v="https://www.defense.gov/News/Contracts/Contract/Article/2503055/"/>
  </r>
  <r>
    <x v="0"/>
    <x v="0"/>
    <s v="Air Force"/>
    <x v="0"/>
    <x v="0"/>
    <s v="Indigenous"/>
    <x v="2"/>
    <x v="15"/>
    <s v="Not Applicable"/>
    <m/>
    <m/>
    <s v="Not Applicable"/>
    <x v="91"/>
    <x v="0"/>
    <n v="95"/>
    <s v="Not Applicable"/>
    <s v="Confirmed"/>
    <n v="9.1999999999999993"/>
    <s v="USD$"/>
    <n v="9.1999999999999993"/>
    <s v="B2G"/>
    <s v="February"/>
    <n v="2021"/>
    <s v="Acierto LLC, Farr West, Utah (FA4686-21-D-0001); Amplified Industrial Inc., Sacramento, California (FA4686-21-D-0002); Polu Kai Tidewater JV, Falls Church, Virginia (FA4686-21-D-0003); Trinity Builders LLC, Plumas Lake, California (FA4686-21-D-0004); and V Lopez Jr &amp; Sons, Santa Maria, California (FA4686-21-D-0005), will compete for each order of a $9,200,000 firm-fixed-price, indefinite-delivery/indefinite-quantity contract for infrastructure repair requirements.  Work will consist of multiple disciplines in general construction categories for the military base facilities of Beale Air Force Base, California.  Bids were solicited via the government-wide point of entry via solicitation and 10 bids were received.  Exact work location and funding will be determined with each order, with an estimated contract completion date of Feb. 11, 2029.  Fiscal 2021 operation and maintenance funds will be used with no funds being obligated at the time of award.  Air Force Installation Contracting Center, Beale Air Force Base, California, is the contracting activity."/>
    <s v="SGA: Unsure of the System names._x000a_AWN-Defense: "/>
    <s v="https://www.defense.gov/News/Contracts/Contract/Article/2503055/"/>
  </r>
  <r>
    <x v="0"/>
    <x v="0"/>
    <s v="Army"/>
    <x v="0"/>
    <x v="0"/>
    <s v="Indigenous"/>
    <x v="5"/>
    <x v="31"/>
    <s v="Defensive Aid Suite"/>
    <s v="M206 and MJU-7A/B"/>
    <s v="M206 and MJU-7A/B"/>
    <s v="Crewed"/>
    <x v="129"/>
    <x v="1"/>
    <s v="Not Applicable"/>
    <s v="Not Applicable"/>
    <s v="Confirmed"/>
    <n v="24.95"/>
    <s v="USD$"/>
    <n v="24.95"/>
    <s v="B2G"/>
    <s v="February"/>
    <n v="2021"/>
    <s v="Armtec Countermeasures Co., Coachella, California, was awarded a $24,953,504 firm-fixed-price contract for Flare Aircraft Countermeasure M206 and Flare Aircraft Countermeasure MJU-7A/B.  Bids were solicited via the internet with three received.  Work will be performed in Camden, Arkansas, with an estimated completion date of Dec. 31, 2026.  Fiscal 2019 and 2020 aircraft procurement appropriations funds in the amount of $24,953,504 were obligated at the time of the award.  U.S. Army Contracting Command, Rock Island Arsenal, Illinois, is the contracting activity (W52P1J-21-F-0101)."/>
    <s v="SGA: Kindly suggest whether the entries are correct._x000a_AWN-Defense:"/>
    <s v="https://www.defense.gov/News/Contracts/Contract/Article/2503055/"/>
  </r>
  <r>
    <x v="0"/>
    <x v="0"/>
    <s v="Navy"/>
    <x v="0"/>
    <x v="0"/>
    <s v="Indigenous"/>
    <x v="2"/>
    <x v="43"/>
    <s v="Not Applicable"/>
    <m/>
    <m/>
    <s v="Not Applicable"/>
    <x v="94"/>
    <x v="1"/>
    <s v="Not Applicable"/>
    <s v="Not Applicable"/>
    <s v="Confirmed"/>
    <n v="42.66"/>
    <s v="USD$"/>
    <n v="42.66"/>
    <s v="B2G"/>
    <s v="February"/>
    <n v="2021"/>
    <s v="Harper Construction Co. Inc., San Diego, California, is awarded a $42,661,879 firm-fixed-price task order (N62473-21-F-4378) under a multiple award construction contract for the construction of a division operations complex at Marine Corps Base, Camp Pendleton.  The work to be performed provides for the design and construction of multiple buildings with concrete masonry unit walls, reinforced concrete foundations and floors and standing seam metal roofs; the construction of a parade field; and the demolition of nine single story concrete buildings, nine temporary facilities and four multi-story wood buildings.  Work will be performed in Camp Pendleton, California, and is expected to be completed by May 2023.  Fiscal 2021 military construction (Navy) contract funds in the amount of $42,661,879 are obligated on this award and will not expire at the end of the current fiscal year.  Fourteen proposals were received for this task order.  The Naval Facilities Engineering Systems Command, Southwest, San Diego, California, is the contracting activity (N62473-21-D-1206)."/>
    <s v="SGA: Unsure of the System names._x000a_AWN-Defense: "/>
    <s v="https://www.defense.gov/News/Contracts/Contract/Article/2507866/"/>
  </r>
  <r>
    <x v="0"/>
    <x v="0"/>
    <s v="Navy"/>
    <x v="0"/>
    <x v="0"/>
    <s v="Indigenous"/>
    <x v="5"/>
    <x v="7"/>
    <s v="Integrated C4ISR System"/>
    <s v="UAS"/>
    <s v="UAS"/>
    <s v="Uncrewed"/>
    <x v="51"/>
    <x v="0"/>
    <n v="2"/>
    <s v="Not Applicable"/>
    <s v="Confirmed"/>
    <n v="11.16"/>
    <s v="USD$"/>
    <n v="11.16"/>
    <s v="B2G"/>
    <s v="February"/>
    <n v="2021"/>
    <s v="General Atomics, Aeronautical Systems Inc., Poway, California, is awarded an $11,155,719 firm-fixed-price modification (P00012) to previously awarded contract N00019-18-C-1063.  This modification exercises options to procure Group 5 Unmanned Air System (UAS) Intelligence, Surveillance and Reconnaissance support for outside the continental U.S. (OCONUS) Task Force Southwest and Marine Corps operations using contractor-owned/contractor-operated MQ-9 Reaper UAS.  Work will be performed in Yuma, Arizona (45%); various locations OCONUS (40%); and Poway, California (15%), and is expected to be completed in May 2021.  Fiscal 2021 operation and maintenance (Navy) funds in the amount of $11,155,719 will be obligated at time of award and will expire at the end of the current fiscal year.  The Naval Air Systems Command, Patuxent River, Maryland, is the contracting activity."/>
    <s v="SGA: Unsure whether it is procurement or MRO. Kindly suggest._x000a_AWN-Defense:"/>
    <s v="https://www.defense.gov/News/Contracts/Contract/Article/2507866/"/>
  </r>
  <r>
    <x v="0"/>
    <x v="0"/>
    <s v="Navy"/>
    <x v="0"/>
    <x v="0"/>
    <s v="Indigenous"/>
    <x v="6"/>
    <x v="24"/>
    <s v="Amphibious Assault Vehicles"/>
    <s v="ACV"/>
    <s v="ACV"/>
    <s v="Crewed"/>
    <x v="52"/>
    <x v="1"/>
    <s v="Not Applicable"/>
    <s v="Not Applicable"/>
    <s v="Confirmed"/>
    <n v="9.57"/>
    <s v="USD$"/>
    <n v="9.57"/>
    <s v="B2G"/>
    <s v="February"/>
    <n v="2021"/>
    <s v="BAE Systems Land &amp; Armaments L.P., Sterling Heights, Michigan, is awarded a $9,571,279 fixed-price-incentive (firm target) modification to previously awarded contract M67854-16-0006 for amphibious combat vehicles (ACV).  The total cumulative face value of the contract is $3,313,454,961.  This modification provides for integration of ACV engineering change proposal for air cooling provisions in 72 full-rate production Lots 1A and 1B ACV personnel variants, ACV command and control variant engineering support in production, non-recurring engineering changes, production costs and fielding and support costs.  Work will be performed in York, Pennsylvania (60%); Aiken, South Carolina (15%); San Jose, California (15%); Sterling Heights, Michigan (5%); and Stafford, Virginia (5%).  Work is expected to be completed in January 2023.  Fiscal 2021 procurement (Marine Corps) funds in the amount of $8,834,159; fiscal 2019 procurement (Marine Corps) funds in the amount of $651,756; and fiscal 2020 research, development, test and evaluation (Marine Corps) funds in the amount of $85,364, will be obligated at the time of award.  Total funding in the amount of $737,120 ($651,756 fiscal 2019 procurement; and $85,364 fiscal 2020 research, development, test and evaluation) will expire at the end of the current fiscal year.  Marine Corps Systems Command, Quantico, Virginia, is the contracting activity (M67854-16-C-0006)."/>
    <m/>
    <s v="https://www.defense.gov/News/Contracts/Contract/Article/2507866/"/>
  </r>
  <r>
    <x v="0"/>
    <x v="0"/>
    <s v="Navy"/>
    <x v="0"/>
    <x v="0"/>
    <s v="Indigenous"/>
    <x v="0"/>
    <x v="0"/>
    <s v="Repair Ships"/>
    <s v="Aircraft carrier ship repair"/>
    <s v="Aircraft carrier ship repair"/>
    <s v="Crewed"/>
    <x v="130"/>
    <x v="0"/>
    <n v="8"/>
    <s v="Not Applicable"/>
    <s v="Confirmed"/>
    <n v="13.151"/>
    <s v="USD$"/>
    <n v="13.151"/>
    <s v="B2G"/>
    <s v="February"/>
    <n v="2021"/>
    <s v="Metro Machine Corp., Bremerton, Washington, is awarded a $13,150,635 cost-plus-incentive fee/cost-plus-award fee undefinitized delivery order (N4523A-21-F-0303) against base contract award N00024-19-D-4310 at a not-to-exceed value of $13,150,635 for aircraft carrier ship repair.  Work will be performed in Bremerton, Washington, and is expected to be completed by November 2021.  Fiscal 2021 other procurement (Navy) funds in the amount of $13,150,635 will be obligated at time of award and will not expire at the end of the current fiscal year.  The base contract award for this undefinitized contract action delivery order was competitively procured via the FedBizOpps.gov website with three offers received.  The Puget Sound Naval Shipyard and Intermediate Maintenance Facility, Bremerton, Washington, is the contracting activity."/>
    <m/>
    <s v="https://www.defense.gov/News/Contracts/Contract/Article/2509592/"/>
  </r>
  <r>
    <x v="0"/>
    <x v="0"/>
    <s v="Navy"/>
    <x v="0"/>
    <x v="0"/>
    <s v="Indigenous"/>
    <x v="8"/>
    <x v="10"/>
    <m/>
    <s v="AN/BLQ-10"/>
    <s v="TI-20/TI-22"/>
    <s v="Crewed"/>
    <x v="96"/>
    <x v="2"/>
    <n v="11"/>
    <s v="Not Applicable"/>
    <s v="Confirmed"/>
    <n v="10"/>
    <s v="USD$"/>
    <n v="10"/>
    <s v="B2G"/>
    <s v="February"/>
    <n v="2021"/>
    <s v="Lockheed Martin Rotary and Mission Systems, Syracuse, New York, is awarded a $10,000,000 cost-plus incentive-fee and cost-only modification to previously awarded delivery order N00024-19-F-6201 under indefinite-delivery/indefinite-quantity contract N00024-19-D-6200 for the design, prototyping and qualification testing for the TI-20/TI-22 AN/BLQ-10.  Work will be performed in Syracuse, New York, and is expected to be completed by February 2022.  Fiscal 2021 research, development, testing and evaluation (Navy) funding in the amount of $10,000,000 will be obligated at time of award and will not expire at the end of the current fiscal year.  The Naval Sea Systems Command, Washington, D.C., is the contracting activity."/>
    <s v="SGA: Unsure about the market segment and system types"/>
    <s v="https://www.defense.gov/News/Contracts/Contract/Article/2509592/"/>
  </r>
  <r>
    <x v="0"/>
    <x v="0"/>
    <s v="Air Force"/>
    <x v="0"/>
    <x v="0"/>
    <s v="Indigenous"/>
    <x v="1"/>
    <x v="1"/>
    <s v="Light Combat Aircraft"/>
    <s v="J-85"/>
    <s v="J-85 engine main spraybars"/>
    <s v="Crewed"/>
    <x v="120"/>
    <x v="1"/>
    <n v="35"/>
    <s v="Not Applicable"/>
    <s v="Confirmed"/>
    <n v="23.843"/>
    <s v="USD$"/>
    <n v="23.843"/>
    <s v="B2G"/>
    <s v="February"/>
    <n v="2021"/>
    <s v="Delavan Inc., West Des Moines, Iowa, has been awarded a maximum $23,843,460 firm-fixed-price, indefinite-delivery/indefinite-quantity contract for J-85 engine main spraybars.  This was a sole-source acquisition using justification 10 U.S. Code 2304 (c)(1), as stated in Federal Acquisition Regulation 6.302-1.  This is a three-year contract with no option periods.  Location of performance is Iowa, with a Jan. 31, 2024, ordering period end date.  Type of appropriation is fiscal 2021 through 2024 defense working capital funds.  The contracting activity is the Defense Logistics Agency Aviation, Tinker Air Force Base, Oklahoma (SPRTA1-21-D-0002)."/>
    <m/>
    <s v="https://www.defense.gov/News/Contracts/Contract/Article/2509592/"/>
  </r>
  <r>
    <x v="0"/>
    <x v="0"/>
    <s v="Navy"/>
    <x v="0"/>
    <x v="0"/>
    <s v="Indigenous"/>
    <x v="5"/>
    <x v="37"/>
    <s v="Other"/>
    <s v="Intrusion detection system supplies and ancillary services"/>
    <s v="Intrusion detection system supplies and ancillary services"/>
    <s v="Not Applicable"/>
    <x v="131"/>
    <x v="1"/>
    <s v="Not Applicable"/>
    <s v="Not Applicable"/>
    <s v="Confirmed"/>
    <n v="45.2"/>
    <s v="USD$"/>
    <n v="45.2"/>
    <s v="B2G"/>
    <s v="February"/>
    <n v="2021"/>
    <s v="Safran Data Systems, Norcross, Georgia, has been awarded a $45,200,000 firm-fixed-price, indefinite-delivery/indefinite-quantity contract for intrusion detection system supplies and ancillary services.  The contractor will furnish all personnel, equipment, labor, tools, materials and other items necessary to provide recorders, parts, technical engineering support, upgrades and the ability to refurbish or repair for the sustainment of airborne data recorders and ground data recorders for the Air Force Test Center at Edwards Air Force Base, California; Eglin AFB, Florida; and other Department of Defense and National Aeronautics and Space Administration activities in the continental U.S.  Work is expected to be completed Feb. 11, 2026.  Fiscal 2021 research, development, test and evaluation funds in the amount of $350,239 are being obligated at the time of award.  Air Force Test Center, Edwards AFB, California, is the contracting activity (FA9302-21-D-0005)."/>
    <s v="SGA: Doubt with content"/>
    <s v="https://www.defense.gov/News/Contracts/Contract/Article/2511328/"/>
  </r>
  <r>
    <x v="0"/>
    <x v="0"/>
    <s v="Army"/>
    <x v="0"/>
    <x v="0"/>
    <s v="Indigenous"/>
    <x v="6"/>
    <x v="24"/>
    <s v="Main Battle Tank"/>
    <s v="M1A2K, M1A2S "/>
    <s v="M1A2K, M1A2S "/>
    <s v="Crewed"/>
    <x v="132"/>
    <x v="2"/>
    <n v="16"/>
    <n v="2"/>
    <s v="Confirmed"/>
    <n v="16.579999999999998"/>
    <s v="USD$"/>
    <n v="16.579999999999998"/>
    <s v="B2G"/>
    <s v="February"/>
    <n v="2021"/>
    <s v="General Dynamics Land Systems Inc., Sterling Heights, Michigan, was awarded a $16,582,968 modification (P00128) to contract W56HZV-17-C-0067 for engineering efforts to develop a conversion approach for one M1A2S tank and one M1A2K tank provided by the government to be converted into two M1A2T tanks.  Work will be performed in Sterling Heights, Michigan, with an estimated completion date of June 30, 2022.  Fiscal 2020 Foreign Military Sales funds in the amount of $16,582,968 were obligated at the time of the award.  U.S. Army Contracting Command, Detroit Arsenal, Michigan, is the contracting activity."/>
    <m/>
    <s v="https://www.defense.gov/News/Contracts/Contract/Article/2511328/"/>
  </r>
  <r>
    <x v="0"/>
    <x v="0"/>
    <s v="Navy"/>
    <x v="0"/>
    <x v="0"/>
    <s v="Indigenous"/>
    <x v="0"/>
    <x v="0"/>
    <s v="Logistics and Support Other (Maritime)"/>
    <s v="H-53"/>
    <s v="H-53 retractable landing gear"/>
    <s v="Crewed"/>
    <x v="19"/>
    <x v="1"/>
    <n v="27"/>
    <s v="Not Applicable"/>
    <s v="Confirmed"/>
    <n v="8.5920000000000005"/>
    <s v="USD$"/>
    <n v="8.5920000000000005"/>
    <s v="B2G"/>
    <s v="February"/>
    <n v="2021"/>
    <s v="Sikorsky, Stratford, Connecticut, has been awarded a maximum $8,591,645 firm-fixed-price delivery order (SPRPA1-21-F-C10U) against five-year basic ordering agreement SPRPA1-17-G-C101 for H-53 retractable landing gear.  This was a sole-source acquisition using justification 10 U.S. Code 2304 (c)(1), as stated in Federal Acquisition Regulation 6.302-1.  This is a three-year contract with no option periods.  Location of performance is Connecticut, with a June 11, 2023, performance completion date.  Using military service is Navy.  Type of appropriation is fiscal 2021 Navy working capital funds.  The contracting activity is the Defense Logistics Agency Aviation, Philadelphia, Pennsylvania."/>
    <m/>
    <s v="https://www.defense.gov/News/Contracts/Contract/Article/2511328/"/>
  </r>
  <r>
    <x v="0"/>
    <x v="0"/>
    <s v="Navy"/>
    <x v="0"/>
    <x v="0"/>
    <s v="Indigenous"/>
    <x v="5"/>
    <x v="7"/>
    <s v="Integrated C4ISR System"/>
    <s v="GPS receivers"/>
    <s v="GPS receivers"/>
    <s v="Not Applicable"/>
    <x v="62"/>
    <x v="2"/>
    <n v="29"/>
    <s v="Not Applicable"/>
    <s v="Confirmed"/>
    <n v="29.498000000000001"/>
    <s v="USD$"/>
    <n v="29.498000000000001"/>
    <s v="B2G"/>
    <s v="February"/>
    <n v="2021"/>
    <s v="Raytheon Missiles and Defense, Tucson, Arizona, is awarded a $29,498,008 cost-plus-fixed-fee modification (P00004) to previously awarded contract N00019-19-C-0083.  This modification adds scope for the development, test, delivery and integration of military code capable Global Positioning System receivers to be integrated into the recertified Tomahawk All-Up-Round for the Navy.  Work will be performed in El Segundo, California (50%); Tucson, Arizona (45%); and Nashville, Tennessee (5%), and is expected to be completed in August 2023.  Fiscal 2021 research, development, test and evaluation (Navy) funds in the amount of $9,654,124; and fiscal 2020 research, development, test and evaluation (Navy) funds in the amount of $1,758,642, will be obligated at the time of award, none of which will expire at the end of the current fiscal year.  The Naval Air Systems Command, Patuxent River, Maryland, is the contracting activity."/>
    <s v="SGA: Unsure whether it belongs to C4ISR or weapon system, kindly confirm._x000a_AWN-Defense-"/>
    <s v="https://www.defense.gov/News/Contracts/Contract/Article/2511328/"/>
  </r>
  <r>
    <x v="0"/>
    <x v="0"/>
    <s v="Air Force"/>
    <x v="0"/>
    <x v="0"/>
    <s v="Indigenous"/>
    <x v="2"/>
    <x v="15"/>
    <s v="Not Applicable"/>
    <s v="Not Applicable"/>
    <s v="Not Applicable"/>
    <s v="Not Applicable"/>
    <x v="133"/>
    <x v="0"/>
    <n v="24"/>
    <s v="Not Applicable"/>
    <s v="Confirmed"/>
    <n v="41.94"/>
    <s v="USD$"/>
    <n v="41.94"/>
    <s v="B2G"/>
    <s v="February"/>
    <n v="2021"/>
    <s v="Granite-Obayashi JV, Watsonville, California, is awarded a $41,944,700 firm-fixed-price contract for the construction of a standoff weapons complex, Joint Region Marianas-Andersen, Guam.  The work to be performed provides for construction of an adequately sized and configured missile maintenance and assembly complex for loading, unloading, transferring, storing, testing and preparing missiles for operational use.  Work includes alterations and construction of an addition to Building 51109 to support preload capability of rotary launchers; improve the weight bearing capacity of existing roadways to support the weight of loaded munition handling unit (MHU)-196/MHU-204 munitions trailers from the missile maintenance facility to the airfield and storage earth covered magazines (ECMs); construction of a powered munitions trailer maintenance facility to support specialized maintenance activities for MHU-196/MHU-204 munitions trailers; and construction of two new 7-bar ECMs, Hayman Igloos, to support the storage of standoff weapons and pre-loaded common strategic rotary launchers.  Work will be performed in Yigo, Guam, and is expected to be completed by March 2023.  Fiscal 2021 military construction (Air Force) contract funds in the amount of $41,944,700 are obligated at time of this award and will not expire at the end of the current fiscal year.  This contract was competitively procured via the beta.SAM.gov website with three proposals received.  The Naval Facilities Engineering Systems Command, Pacific, Joint Base Pearl Harbor-Hickam, Hawaii, is the contracting activity (N62742-21-C-1338)."/>
    <m/>
    <s v="https://www.defense.gov/News/Contracts/Contract/Article/2516375/"/>
  </r>
  <r>
    <x v="0"/>
    <x v="0"/>
    <s v="Navy"/>
    <x v="0"/>
    <x v="0"/>
    <s v="Indigenous"/>
    <x v="0"/>
    <x v="20"/>
    <s v="Aircraft Carrier"/>
    <s v="CVN 73"/>
    <s v="CVN 73"/>
    <s v="Crewed"/>
    <x v="10"/>
    <x v="0"/>
    <n v="14"/>
    <s v="Not Applicable"/>
    <s v="Confirmed"/>
    <n v="31"/>
    <s v="USD$"/>
    <n v="31"/>
    <s v="B2G"/>
    <s v="February"/>
    <n v="2021"/>
    <s v="Huntington Ingalls Industries’ Newport News Shipbuilding Division, Newport News, Virginia, is awarded a $31,000,000 cost-plus-incentive-fee modification to previously awarded contract N00024-16-C-4316 for supplemental overhaul, modernization, repair and maintenance work for the refueling complex overhaul of the USS George Washington (CVN 73).  Work will be performed in Newport News, Virginia, and is expected to complete by May 2022.  Fiscal 2021 shipbuilding and conversion (Navy) funding in the amount of $31,000,000 will be obligated at time of award and will not expire at the end of the current fiscal year.  The Naval Sea Systems Command, Washington, D.C., is the contracting activity."/>
    <m/>
    <s v="https://www.defense.gov/News/Contracts/Contract/Article/2516375/"/>
  </r>
  <r>
    <x v="0"/>
    <x v="0"/>
    <s v="Navy"/>
    <x v="0"/>
    <x v="0"/>
    <s v="Indigenous"/>
    <x v="5"/>
    <x v="11"/>
    <s v="Other"/>
    <s v="Relocatable over-the-horizon radar system"/>
    <s v="Relocatable over-the-horizon radar system"/>
    <s v="Not Applicable"/>
    <x v="134"/>
    <x v="0"/>
    <n v="61"/>
    <s v="Not Applicable"/>
    <s v="Confirmed"/>
    <n v="28.95"/>
    <s v="USD$"/>
    <n v="28.95"/>
    <s v="B2G"/>
    <s v="February"/>
    <n v="2021"/>
    <s v="Raytheon Intelligence &amp; Space, Sterling, Virginia, is awarded a $28,954,179 non-commercial, cost-plus-award-fee contract for operation and maintenance services for the relocatable over-the-horizon radar system in support of the Forces Surveillance Support Center, Chesapeake, Virginia.  This contract includes a one-year base and four one-year option periods, which if all exercised, will bring the contract value to $146,255,516.  Work will be performed in Chesapeake, Virginia (48%); Freer, Texas (10%); Premont, Texas (10%); New Kent, Virginia (9%); Juana Diaz, Puerto Rico (9%); Vieques, Puerto Rico (9%); Dallas, Texas (3%); and Fairfax, Virginia (2%).  Work will begin May 2021 and is expected to be completed by April 2022; if all options are exercised, work will be completed in April 2026.  Fiscal 2021 operation and maintenance (Navy) funds in the amount of $14,477,090 will be incrementally funded under the contract’s base period at time of award and funds will expire at the end of the current fiscal year.  This contract was competitively procured in accordance with Federal Acquisition Regulation 15.  The solicitation was posted on Navy Electronic Commerce Online and the beta.SAM.gov website with one offer received.  Naval Supply Systems Command, Fleet Logistics Center, Norfolk, Contracting Department, Philadelphia Office, Philadelphia, Pennsylvania, is the contracting activity (N00189-21-C-Z028)."/>
    <m/>
    <s v="https://www.defense.gov/News/Contracts/Contract/Article/2516375/"/>
  </r>
  <r>
    <x v="0"/>
    <x v="0"/>
    <s v="Navy"/>
    <x v="0"/>
    <x v="0"/>
    <s v="Indigenous"/>
    <x v="5"/>
    <x v="21"/>
    <s v="Satellite Communications"/>
    <s v="CBSP ULV"/>
    <s v="CBSP ULV"/>
    <s v="Not Applicable"/>
    <x v="17"/>
    <x v="1"/>
    <s v="Not Applicable"/>
    <s v="Not Applicable"/>
    <s v="Confirmed"/>
    <n v="18.48"/>
    <s v="USD$"/>
    <n v="18.48"/>
    <s v="B2G"/>
    <s v="February"/>
    <n v="2021"/>
    <s v="L3Harris Technologies Inc., Palm Bay, Florida, is awarded an $18,480,237 modification to exercise priced options to previously awarded firm-fixed-price contract N00039-14-C-0041 issued by the Naval Information Warfare Systems Command.  This modification increases the value of the basic contract by $18,480,237; the new total value is $79,446,404.  This modification provides for the exercise of firm-fixed-price options for Commercial Broadband Satellite Program Unit Level Variant (ULV) hardware production units.  ULV provides terminal-to-shore, space and terrestrial connectivity to significantly increase throughput for commercial satellite communications and provide redundancy for military satellite communications.  Work will be performed at Palm Bay, Florida, and is expected to be completed by August 2021.  Fiscal 2020 and fiscal 2021 shipbuilding and conversion funds (Navy) (36%); and other procurement, funds (Navy) (64%), in the amount of $18,480,237 will be obligated at the time of award.  Funding will not expire at the end of the fiscal year.  The Naval Information Warfare Systems Command, San Diego, California, is the contracting activity."/>
    <m/>
    <s v="https://www.defense.gov/News/Contracts/Contract/Article/2516375/"/>
  </r>
  <r>
    <x v="0"/>
    <x v="0"/>
    <s v="Navy"/>
    <x v="0"/>
    <x v="0"/>
    <s v="Indigenous"/>
    <x v="7"/>
    <x v="14"/>
    <s v="Not Applicable"/>
    <s v="BDU-59B/B laser guided"/>
    <s v="BDU-59B/B laser guided"/>
    <s v="Not Applicable"/>
    <x v="13"/>
    <x v="1"/>
    <s v="Not Applicable"/>
    <n v="4002"/>
    <s v="Confirmed"/>
    <n v="14.91"/>
    <s v="USD$"/>
    <n v="14.91"/>
    <s v="B2G"/>
    <s v="February"/>
    <n v="2021"/>
    <s v="Lockheed Martin Corp., Archbald, Pennsylvania, is awarded a $14,908,784 firm-fixed-priced modification (P00014) to previously awarded contract N00019-17-C-0022.  This modification exercises an option to provide 4,002 BDU-59B/B laser guided training rounds.  Work will be performed in Archbald, Pennsylvania (45%); Marlton, New Jersey (10%); Vaudreuil-Dorion, Canada (6.5%); Rochester, New York (5.5%); Westford, Massachusetts (3%); Plainville, Connecticut (2.75%); Joplin, Missouri (2.75%); Hauppauge, New York (1.5%); Quakertown, Pennsylvania (1.5%); San Jose, California (1.5 %); Laconia, New Hampshire (1.5%); Dunedin, Florida (1%); Clifton, New Jersey (1%); Londonderry, New Hampshire (1%); Canton, Pennsylvania (1%); Honesdale, Pennsylvania (1%); Mount Laurel, New Jersey (1%); Medford, New Jersey (1%); and various locations within the continental U.S. (11.5%), and is expected to be completed in April 2023.  Fiscal 2021 procurement of ammunition (Navy/Marine Corps) funds in the amount of $14,908,784 will be obligated at the time of award, none of which will expire at the end of the current fiscal year.  The Naval Air Warfare Center, Aircraft Division, Lakehurst, New Jersey, is the contracting activity."/>
    <m/>
    <s v="https://www.defense.gov/News/Contracts/Contract/Article/2516375/"/>
  </r>
  <r>
    <x v="0"/>
    <x v="0"/>
    <s v="Army"/>
    <x v="0"/>
    <x v="0"/>
    <s v="Indigenous"/>
    <x v="4"/>
    <x v="23"/>
    <s v="Explosives"/>
    <s v="M19, M21 and M23"/>
    <s v="M19, M21 and M23"/>
    <s v="Not Applicable"/>
    <x v="135"/>
    <x v="1"/>
    <s v="Not Applicable"/>
    <s v="Unknown"/>
    <s v="Confirmed"/>
    <n v="47.62"/>
    <s v="USD$"/>
    <n v="47.62"/>
    <s v="B2G"/>
    <s v="February"/>
    <n v="2021"/>
    <s v="Ensign-Bickford Aerospace &amp; Defense Co., Simsbury, Connecticut, was awarded a $47,621,124 firm-fixed-price contract for the production, testing, packaging and delivery of M19, M21 and M23 blasting cap assemblies.  Bids were solicited via the internet with two received.  Work locations and funding will be determined with each order, with an estimated completion date of Feb. 24, 2026.  U.S. Army Contracting Command, Newark, New Jersey, is the contracting activity (W15QKN-21-D-0013)."/>
    <m/>
    <s v="https://www.defense.gov/News/Contracts/Contract/Article/2516375/"/>
  </r>
  <r>
    <x v="0"/>
    <x v="0"/>
    <s v="Army"/>
    <x v="0"/>
    <x v="0"/>
    <s v="Indigenous"/>
    <x v="4"/>
    <x v="23"/>
    <s v="Ammunition"/>
    <s v="5.56 mm, 7.62 mm and .50 caliber ammunition"/>
    <s v="5.56 mm, 7.62 mm and .50 caliber ammunition"/>
    <s v="Not Applicable"/>
    <x v="85"/>
    <x v="1"/>
    <s v="Not Applicable"/>
    <s v="Unknown"/>
    <s v="Confirmed"/>
    <n v="37.14"/>
    <s v="USD$"/>
    <n v="37.14"/>
    <s v="B2G"/>
    <s v="February"/>
    <n v="2021"/>
    <s v="Olin Winchester LLC, Oxford, Mississippi, was awarded a $37,141,981 firm-fixed-price with economic price adjustment contract for 5.56mm, 7.62mm and .50 caliber ammunition.  Bids were solicited via the internet with one received.  Work will be performed in Oxford, Mississippi, with an estimated completion date of March 14, 2026.  Fiscal 2019, 2020 and 2021 procurement of ammunition (Army) funds in the amount of $37,141,981 were obligated at the time of the award.  U.S. Army Contracting Command, Rock Island Arsenal, Illinois, is the contracting activity (W52P1J-21-C-0016)."/>
    <m/>
    <s v="https://www.defense.gov/News/Contracts/Contract/Article/2516375/"/>
  </r>
  <r>
    <x v="0"/>
    <x v="0"/>
    <s v="Air Force"/>
    <x v="0"/>
    <x v="0"/>
    <s v="Indigenous"/>
    <x v="2"/>
    <x v="15"/>
    <s v="Not Applicable"/>
    <s v="Fuel hydrant systems"/>
    <s v="Fuel hydrant systems"/>
    <s v="Not Applicable"/>
    <x v="136"/>
    <x v="0"/>
    <n v="25"/>
    <s v="Not Applicable"/>
    <s v="Confirmed"/>
    <n v="15.98"/>
    <s v="USD$"/>
    <n v="15.98"/>
    <s v="B2G"/>
    <s v="February"/>
    <n v="2021"/>
    <s v="Garco Construction Inc., Spokane, Washington, was awarded a $15,976,000 firm-fixed-price contract to repair fuel hydrant systems at Fairchild Air Force Base, Washington.  Bids were solicited via the internet with three received.  Work will be performed in Fairchild AFB, Washington, with an estimated completion date of March 31, 2023.  Fiscal 2021 military construction (defense-wide) funds in the amount of $15,976,000 were obligated at the time of the award.  U.S. Army Corps of Engineers, Seattle, Washington, is the contracting activity (W912DW-21-C-0007)."/>
    <m/>
    <s v="https://www.defense.gov/News/Contracts/Contract/Article/2516375/"/>
  </r>
  <r>
    <x v="0"/>
    <x v="0"/>
    <s v="Air Force"/>
    <x v="0"/>
    <x v="0"/>
    <s v="Indigenous"/>
    <x v="5"/>
    <x v="21"/>
    <s v="Other"/>
    <s v="Communications network"/>
    <s v="Communications network"/>
    <s v="Not Applicable"/>
    <x v="34"/>
    <x v="3"/>
    <n v="39"/>
    <n v="31"/>
    <s v="Confirmed"/>
    <n v="1.01"/>
    <s v="USD$"/>
    <n v="1.01"/>
    <s v="B2G"/>
    <s v="February"/>
    <n v="2021"/>
    <s v="The Boeing Co., Oklahoma City, Oklahoma, has been awarded a $10,129,437 cost-plus-fixed-fee contract for the installation of the communications network upgrade modification on 31 E-3 airborne warning and control system aircraft.  Work will be performed at Tinker Air Force Base, Oklahoma, and is expected to be completed May 31, 2024.  This award is the result of a sole-source acquisition.  Fiscal 2021 research, development, test and evaluation funds in the amount of $1,171,163; and fiscal 2021 aircraft procurement funds in the amount of $4,180,529, are obligated at the time of award.  Air Force Life Cycle Management Center, Hanscom AFB, Massachusetts, is the contracting activity (FA8730-21-C-0004)."/>
    <m/>
    <s v="https://www.defense.gov/News/Contracts/Contract/Article/2518088/"/>
  </r>
  <r>
    <x v="0"/>
    <x v="0"/>
    <s v="Air Force"/>
    <x v="0"/>
    <x v="0"/>
    <s v="Indigenous"/>
    <x v="2"/>
    <x v="15"/>
    <s v="Not Applicable"/>
    <s v="Hangar"/>
    <s v="Hangar"/>
    <s v="Not Applicable"/>
    <x v="63"/>
    <x v="0"/>
    <n v="31"/>
    <s v="Not Applicable"/>
    <s v="Confirmed"/>
    <n v="66.58"/>
    <s v="USD$"/>
    <n v="66.58"/>
    <s v="B2G"/>
    <s v="February"/>
    <n v="2021"/>
    <s v="Hensel Phelps Construction Co, Orlando, Florida, was awarded a $66,581,000 firm-fixed-price contract for the construction of a new 105,041 square-foot maintenance hangar. Bids were solicited via the internet with five received. Work will be performed at Hurlburt Field, Florida, with an estimated completion date of Oct. 13, 2023. Fiscal 2020 military construction, defense-wide funds in the amount of $66,581,000 were obligated at the time of the award. U.S. Army Corps of Engineers, Mobile, Alabama, is the contracting activity (W91278-21-C-0008)."/>
    <m/>
    <s v="https://www.defense.gov/News/Contracts/Contract/Article/2518088/"/>
  </r>
  <r>
    <x v="0"/>
    <x v="0"/>
    <s v="Army"/>
    <x v="0"/>
    <x v="0"/>
    <s v="Indigenous"/>
    <x v="4"/>
    <x v="23"/>
    <s v="Ammunition"/>
    <s v="M734A1 and M783"/>
    <s v="M734A1 and M783"/>
    <s v="Not Applicable"/>
    <x v="137"/>
    <x v="1"/>
    <s v="Not Applicable"/>
    <s v="Not Applicable"/>
    <s v="Confirmed"/>
    <n v="25.15"/>
    <s v="USD$"/>
    <n v="25.15"/>
    <s v="B2G"/>
    <s v="February"/>
    <n v="2021"/>
    <s v="L-3 Fuzing and Ordnance Systems Inc., Cincinnati, Ohio, was awarded a $25,153,211 modification (P00020) to contract W15QKN-17-C-0024 to purchase M734A1 multi-option fuze for mortars and Option VI M783 point detonating/delay fuzes. Work will be performed in Cincinnati, Ohio, with an estimated completion date of March 31, 2023. Fiscal 2020 Afghan Security Forces funds; fiscal 2020 special defense acquisition funds; and fiscal 2021 procurement of ammunition, Army funds in the amount of $25,153,211 were obligated at the time of the award. U.S. Army Contracting Command, Newark, New Jersey, is the contracting activity."/>
    <m/>
    <s v="https://www.defense.gov/News/Contracts/Contract/Article/2518088/"/>
  </r>
  <r>
    <x v="0"/>
    <x v="0"/>
    <s v="Navy"/>
    <x v="0"/>
    <x v="0"/>
    <s v="Indigenous"/>
    <x v="1"/>
    <x v="17"/>
    <s v="Rotary Wing Transport"/>
    <s v="CMV-22B"/>
    <s v="CMV-22B"/>
    <s v="Crewed"/>
    <x v="27"/>
    <x v="1"/>
    <s v="Not Applicable"/>
    <n v="4"/>
    <s v="Confirmed"/>
    <n v="309.58"/>
    <s v="USD$"/>
    <n v="309.58"/>
    <s v="B2G"/>
    <s v="February"/>
    <n v="2021"/>
    <s v="Bell-Boeing Joint Project Office, Amarillo, Texas, is awarded a $309,584,074 modification (P00038) to previously awarded fixed-price-incentive-firm-target, cost-plus-fixed-fee contract N00019-17-C-0015 for the production and delivery of four CMV-22B variation in quantity aircraft for the Navy.  Work will be performed in Fort Worth, Texas (30%); Ridley Park, Pennsylvania (15%); Amarillo, Texas (13%); Red Oak, Texas (3%); East Aurora, New York (3%); Park City, Utah (2%); McKinney, Texas (1%); Endicott, New York (1%); various locations within the continental U.S. (28%); and various locations outside the continental U.S. (4%), and is expected to be completed in March 2025.  Fiscal 2021 aircraft procurement (Navy) funds in the amount of $309,584,074 will be obligated at the time of award, none of which will expire at the end of the current fiscal year.  The Naval Air Systems Command, Patuxent River, Maryland, is the contracting activity."/>
    <m/>
    <s v="https://www.defense.gov/News/Contracts/Contract/Article/2518088/"/>
  </r>
  <r>
    <x v="0"/>
    <x v="0"/>
    <s v="Navy"/>
    <x v="0"/>
    <x v="0"/>
    <s v="Indigenous"/>
    <x v="0"/>
    <x v="12"/>
    <s v="Other Maritime"/>
    <s v="EPF 15"/>
    <s v="EPF 15"/>
    <s v="Not Applicable"/>
    <x v="138"/>
    <x v="0"/>
    <n v="36"/>
    <s v="Not Applicable"/>
    <s v="Confirmed"/>
    <n v="235"/>
    <s v="USD$"/>
    <n v="235"/>
    <s v="B2G"/>
    <s v="February"/>
    <n v="2021"/>
    <s v="Austal USA, Mobile, Alabama, is awarded a $235,000,000 fixed-priced-incentive firm-target undefinitized contract modification to previously awarded contract N00024-19-C-2227 for the detail design and construction of Expeditionary Fast Transport (EPF) 15.  Work performed is for the detail design and construction of EPF 15.  The EPF class provides high speed, shallow draft transportation capability to support the intra-theater maneuver of personnel, supplies and equipment for the Navy, Marine Corps, and Army.  Work will be performed in Mobile, Alabama (63%); Fairfax, Virginia (10%); Novi, Michigan (10%); Houston, Texas (3%); Slidell, Louisiana (2%); Franklin, Massachusetts (2%); Rhinelander, Wisconsin (2%); Chesapeake, Virginia (1%); with other efforts performed at various locations throughout the U.S. (4%); and various locations outside the U.S. (3%).  Work is expected to complete by March 2024.  Fiscal 2021 shipbuilding and conversion (Navy) funds in the amount of $60,000,000 will be obligated at time of award and will not expire at the end of the current fiscal year.  The Naval Sea Systems Command, Washington, D.C., is the contracting activity."/>
    <s v="SGA: Unsure about the system names"/>
    <s v="https://www.defense.gov/News/Contracts/Contract/Article/2518088/"/>
  </r>
  <r>
    <x v="0"/>
    <x v="0"/>
    <s v="Navy"/>
    <x v="0"/>
    <x v="0"/>
    <s v="Indigenous"/>
    <x v="0"/>
    <x v="22"/>
    <s v="Other"/>
    <s v="Submarine modernization kits, equipment and installation"/>
    <s v="Submarine modernization kits, equipment and installation"/>
    <s v="Not Applicable"/>
    <x v="13"/>
    <x v="1"/>
    <s v="Not Applicable"/>
    <s v="Unknown"/>
    <s v="Confirmed"/>
    <n v="46.99"/>
    <s v="USD$"/>
    <n v="46.99"/>
    <s v="B2G"/>
    <s v="February"/>
    <n v="2021"/>
    <s v="Lockheed Martin Corp., Syracuse, New York, is awarded a $46,988,174 cost-plus, incentive-fee delivery order to previously awarded indefinite-delivery/indefinite-quantity contract N00024-19-D-6200 for the procurement of submarine modernization kits, equipment and installation.  This delivery order includes options which, if exercised, would bring the cumulative value of this delivery order to $174,181,916.  Work will be performed in Syracuse, New York, and is expected to be completed by July 2024.  If all options are exercised, work will continue through August 2025.  Fiscal 2021 other procurement (Navy) funding in the amount of $46,988,174 will be obligated at time of award and will not expire at the end of the current fiscal year.  The Naval Sea Systems Command, Washington, D.C., is the contracting activity."/>
    <m/>
    <s v="https://www.defense.gov/News/Contracts/Contract/Article/2518088/"/>
  </r>
  <r>
    <x v="0"/>
    <x v="0"/>
    <s v="Navy"/>
    <x v="0"/>
    <x v="0"/>
    <s v="Indigenous"/>
    <x v="5"/>
    <x v="11"/>
    <s v="Multi-Mission Radar"/>
    <s v="APY-10"/>
    <s v="APY-10"/>
    <s v="Not Applicable"/>
    <x v="0"/>
    <x v="1"/>
    <s v="Not Applicable"/>
    <n v="11"/>
    <s v="Confirmed"/>
    <n v="32.799999999999997"/>
    <s v="USD$"/>
    <n v="32.799999999999997"/>
    <s v="B2G"/>
    <s v="February"/>
    <n v="2021"/>
    <s v="The Raytheon Co., McKinney, Texas, is awarded a $32,799,030 modification (P00001) to previously awarded firm-fixed-price contract N00019-21-C-0004.  This modification exercises an option to procure 11 APY-10 radar system production kits for the P-8A Poseidon aircraft for the Navy and the government of Australia.  Work will be performed in McKinney, Texas (72%); Andover, Massachusetts (7%); Dallas, Texas (6%); Torrance, California (5%); Woodland Park, New Jersey (4%); Black Mountain, North Carolina (2%); Etobicoke, Ontario (2%); Clearwater, Florida (1%); and Simsbury, Connecticut (1%), and is expected to be completed in August 2025.  Fiscal 2020 aircraft procurement (Navy) funds in the amount of $26,835,570; and foreign cooperative project funds in the amount of $5,963,460 will be obligated at time of award, none of which will expire at the end of the current fiscal year.  The Naval Air Systems Command, Patuxent River, Maryland, is the contracting activity."/>
    <m/>
    <s v="https://www.defense.gov/News/Contracts/Contract/Article/2518088/"/>
  </r>
  <r>
    <x v="0"/>
    <x v="0"/>
    <s v="Navy"/>
    <x v="0"/>
    <x v="0"/>
    <s v="Indigenous"/>
    <x v="0"/>
    <x v="6"/>
    <s v="Not Applicable"/>
    <s v="LM2500 Single Shank Turbine High Pressure Turbine kits and three complete LM2500 Paired Blade Turbine HPT kits"/>
    <s v="LM2500 Single Shank Turbine High Pressure Turbine kits and three complete LM2500 Paired Blade Turbine HPT kits"/>
    <s v="Crewed"/>
    <x v="54"/>
    <x v="1"/>
    <s v="Not Applicable"/>
    <n v="5"/>
    <s v="Confirmed"/>
    <n v="15.06"/>
    <s v="USD$"/>
    <n v="15.06"/>
    <s v="B2G"/>
    <s v="February"/>
    <n v="2021"/>
    <s v="General Electric Co., Cincinnati, Ohio, is awarded a $15,055,043 firm-fixed-price, basic ordering agreement order for the procurement of two complete LM2500 Single Shank Turbine High Pressure Turbine kits and three complete LM2500 Paired Blade Turbine HPT kits.  Work will be performed in Cincinnati, Ohio, and is expected to be completed by April 2022.  Fiscal 2021 operation and maintenance (Navy) funding in the total amount of $15,055,043 will be obligated at time of award and will expire at the end of the current fiscal year.  This order was not competitively procured via beta.SAM.gov in accordance with 10 U.S. Code 2304(c)(1); only one responsible source and no other supplies or services will satisfy agency requirements.  The Naval Surface Warfare Center, Philadelphia Division, Philadelphia, Pennsylvania, is the contracting activity (N64498-21-F-4070)."/>
    <m/>
    <s v="https://www.defense.gov/News/Contracts/Contract/Article/2518088/"/>
  </r>
  <r>
    <x v="0"/>
    <x v="0"/>
    <s v="Navy"/>
    <x v="0"/>
    <x v="0"/>
    <s v="Indigenous"/>
    <x v="5"/>
    <x v="11"/>
    <s v="Surface Surveillance Radar "/>
    <s v="AN/SPQ-9B radar systems"/>
    <s v="AN/SPQ-9B radar systems"/>
    <s v="Crewed"/>
    <x v="139"/>
    <x v="1"/>
    <s v="Not Applicable"/>
    <s v="Not Applicable"/>
    <s v="Confirmed"/>
    <n v="13.96"/>
    <s v="USD$"/>
    <n v="13.96"/>
    <s v="B2G"/>
    <s v="February"/>
    <n v="2021"/>
    <s v="DRS Laurel Technologies, Johnstown, Pennsylvania, is awarded a $13,957,338 firm-fixed-price modification to previously awarded contract N00024-18-C-5395 to exercise options for production of the AN/SPQ-9B radar systems and associated equipment.  Work will be performed in Largo, Florida, and is expected to be completed by October 2023.  Fiscal 2021 other procurement (Navy) funds in the amount of $9,634,104 (69%); and 2020 shipbuilding and conversion (Navy) funds in the amount of $4,323,234 (31%) will be obligated at time of award and will not expire at the end of the current fiscal year.  The Naval Sea Systems Command, Washington, D.C., is the contracting activity."/>
    <m/>
    <s v="https://www.defense.gov/News/Contracts/Contract/Article/2518088/"/>
  </r>
  <r>
    <x v="0"/>
    <x v="0"/>
    <s v="Navy"/>
    <x v="0"/>
    <x v="0"/>
    <s v="Indigenous"/>
    <x v="0"/>
    <x v="22"/>
    <s v="Nuclear-Powered Submarine"/>
    <s v="Reentry Subsystems into the CMC"/>
    <s v="Reentry Subsystems into the CMC"/>
    <s v="Crewed"/>
    <x v="13"/>
    <x v="2"/>
    <n v="71"/>
    <s v="Not Applicable"/>
    <s v="Confirmed"/>
    <n v="114.1"/>
    <s v="USD$"/>
    <n v="114.1"/>
    <s v="B2G"/>
    <s v="February"/>
    <n v="2021"/>
    <s v="Lockheed Martin Space, Titusville, Florida, is awarded a $128,677,600, cost-plus-fixed-fee contract (N00030-21-C-2017) to support the integration of the Trident II (D5) Missile and Reentry Subsystems into the Common Missile Compartment (CMC) for the U.S./United Kingdom Columbia/Dreadnought Submarine construction programs.  Work will be performed in Cape Canaveral, Florida (37.02%); Denver, Colorado (24.22%); Sunnyvale, California (15.62%); Magna, Utah (13.72%); Titusville, Florida (1.69%); Oak Ridge, Tennessee (1.06%); and other various locations of less than 1.0% each (6.67% total).  Work is expected to be completed Feb. 28, 2027.  Fiscal 2021 shipbuilding and conversion (Navy) ($114,095,039); and foreign funds – non Foreign Military Sales ($6,827,555), in the amount of $120,922,594 will be obligated on this award.  No funds will expire at the end of the current fiscal year.  This contract is being awarded to the contractor on a sole-source basis under 10 U.S. Code 2304(c)(1) and was previously synopsized on the System for Award Management (beta) website.  The Strategic Systems Programs, Washington, D.C., is the contracting activity."/>
    <m/>
    <s v="https://www.defense.gov/News/Contracts/Contract/Article/2520104/"/>
  </r>
  <r>
    <x v="0"/>
    <x v="0"/>
    <s v="Navy"/>
    <x v="0"/>
    <x v="0"/>
    <s v="Indigenous"/>
    <x v="4"/>
    <x v="28"/>
    <s v="Ballistic Missile"/>
    <s v="Trident II (D5)"/>
    <s v="Trident II (D5)"/>
    <s v="Uncrewed"/>
    <x v="13"/>
    <x v="2"/>
    <n v="71"/>
    <s v="Not Applicable"/>
    <s v="Confirmed"/>
    <n v="6.83"/>
    <s v="USD$"/>
    <n v="6.83"/>
    <s v="B2G"/>
    <s v="February"/>
    <n v="2021"/>
    <s v="Lockheed Martin Space, Titusville, Florida, is awarded a $128,677,600, cost-plus-fixed-fee contract (N00030-21-C-2017) to support the integration of the Trident II (D5) Missile and Reentry Subsystems into the Common Missile Compartment (CMC) for the U.S./United Kingdom Columbia/Dreadnought Submarine construction programs.  Work will be performed in Cape Canaveral, Florida (37.02%); Denver, Colorado (24.22%); Sunnyvale, California (15.62%); Magna, Utah (13.72%); Titusville, Florida (1.69%); Oak Ridge, Tennessee (1.06%); and other various locations of less than 1.0% each (6.67% total).  Work is expected to be completed Feb. 28, 2027.  Fiscal 2021 shipbuilding and conversion (Navy) ($114,095,039); and foreign funds – non Foreign Military Sales ($6,827,555), in the amount of $120,922,594 will be obligated on this award.  No funds will expire at the end of the current fiscal year.  This contract is being awarded to the contractor on a sole-source basis under 10 U.S. Code 2304(c)(1) and was previously synopsized on the System for Award Management (beta) website.  The Strategic Systems Programs, Washington, D.C., is the contracting activity."/>
    <m/>
    <s v="https://www.defense.gov/News/Contracts/Contract/Article/2520104/"/>
  </r>
  <r>
    <x v="0"/>
    <x v="0"/>
    <s v="Air Force"/>
    <x v="0"/>
    <x v="0"/>
    <s v="Indigenous"/>
    <x v="3"/>
    <x v="44"/>
    <s v="Anti-Space"/>
    <s v="PARCS Radar"/>
    <s v="PARCS Radar"/>
    <s v="Uncrewed"/>
    <x v="140"/>
    <x v="0"/>
    <n v="13"/>
    <s v="Not Applicable"/>
    <s v="Confirmed"/>
    <n v="7.96"/>
    <s v="USD$"/>
    <n v="7.96"/>
    <s v="B2G"/>
    <s v="February"/>
    <n v="2021"/>
    <s v="Summit Technical Solutions LLC, Colorado Springs, Colorado, has been awarded a $7,963,432 firm-fixed-price modification (P00043) to contract FA2517-17-C-8000 for the Perimeter Acquisition Radar Attack Characterization System (PARCS) Radar.  This modification provides for the exercise of Option Four and the management, operation, maintenance and logistical support to the PARCS.  Work will be performed at Cavalier Air Force Station, North Dakota, and is expected to be completed April 30, 2022.  Fiscal 2021 operation and maintenance funds in the full amount are being obligated at the time of award.  The total cumulative face value of the contract is $52,506,079.  U.S. Space Force, Space Operations Command, Peterson Air Force Base, Colorado, is the contracting activity"/>
    <m/>
    <s v="https://www.defense.gov/News/Contracts/Contract/Article/2520104/"/>
  </r>
  <r>
    <x v="4"/>
    <x v="11"/>
    <s v="Air Force"/>
    <x v="0"/>
    <x v="0"/>
    <s v="Imported"/>
    <x v="1"/>
    <x v="1"/>
    <s v="Fighter"/>
    <s v="F-15SA"/>
    <s v="F-15SA"/>
    <s v="Crewed"/>
    <x v="34"/>
    <x v="3"/>
    <n v="23"/>
    <s v="Not Applicable"/>
    <s v="Estimated"/>
    <n v="21.67"/>
    <s v="USD$"/>
    <n v="21.67"/>
    <s v="B2G"/>
    <s v="January"/>
    <n v="2021"/>
    <s v="The Boeing Co., St. Louis, Missouri, has been awarded a not-to-exceed $21,670,000 fixed-price, cost-plus-fixed-fee and time and materials undefinitized contract action for F-15S to F-15SA conversion support.  This contract provides support for the conversion of the Royal Saudi Air Force F-15S into an F-15SA aircraft, which includes program management, reach-back support for the 48 continental United States and Washington, D.C.; temporary on-site for outside the continental U.S. assistance (if needed); and round robin repairs.  Work will primarily be performed in St. Louis, Missouri, and is expected to be complete by Dec. 30, 2022.  This contract involves Foreign Military Sales (FMS) to the kingdom of Saudi Arabia and is the result of a sole-source acquisition.  FMS funds in the full amount are being obligated at the time of award.  Air Force Life Cycle Management Center, Robins Air Force Base, Georgia, is the contracting activity (FA8575-21-F-0001). (Awarded Dec. 31, 2020)"/>
    <m/>
    <s v="https://www.defense.gov/News/Contracts/Contract/Article/2461951/"/>
  </r>
  <r>
    <x v="0"/>
    <x v="0"/>
    <s v="Army"/>
    <x v="0"/>
    <x v="0"/>
    <s v="Indigenous"/>
    <x v="7"/>
    <x v="14"/>
    <s v="Not Applicable"/>
    <s v="Flight training, simulator flight training and flight academics"/>
    <s v="Flight training, simulator flight training and flight academics"/>
    <s v="Crewed"/>
    <x v="43"/>
    <x v="4"/>
    <n v="12"/>
    <s v="Not Applicable"/>
    <s v="Confirmed"/>
    <n v="68.290000000000006"/>
    <s v="USD$"/>
    <n v="68.290000000000006"/>
    <s v="B2G"/>
    <s v="January"/>
    <n v="2021"/>
    <s v="Amentum Services Inc., Germantown, Maryland, was awarded a $68,290,284 modification (P00024) to contract W9124G-17-C-0005 to provide undergraduate initial entry rotary wing and selected graduate course flight training, simulator flight training and flight academics.  Work will be performed at Fort Rucker, Alabama, with an estimated completion date of Jan. 9, 2022.  Fiscal 2010 operation and maintenance (Army) funds in the amount of $68,290,284 were obligated at the time of the award.  U.S. Army Field Directorate Office, Fort Eustis, Virginia, is the contracting activity."/>
    <m/>
    <s v="https://www.defense.gov/News/Contracts/Contract/Article/2465472/"/>
  </r>
  <r>
    <x v="1"/>
    <x v="18"/>
    <s v="Navy"/>
    <x v="0"/>
    <x v="0"/>
    <m/>
    <x v="1"/>
    <x v="1"/>
    <s v="Maritime Aircraft"/>
    <s v="P-8A Poseidon"/>
    <s v="P-8A Poseidon"/>
    <s v="Crewed"/>
    <x v="34"/>
    <x v="0"/>
    <n v="11"/>
    <s v="Not Applicable"/>
    <s v="Confirmed"/>
    <n v="8.76"/>
    <s v="USD$"/>
    <n v="8.76"/>
    <s v="B2G"/>
    <s v="January"/>
    <n v="2021"/>
    <s v="The Boeing Co., Seattle, Washington, is awarded an $8,756,417 modification (P00005) to cost-plus-fixed-fee order N00019-19-F-4058 against previously issued basic ordering agreement N00019-16-G-0001.  This modification exercises an option for contractor logistics support for the P-8A Poseidon in support of the government of the United Kingdom.  Work will be performed in Seattle, Washington (60%); and Lossiemouth, Scotland (40%), and is expected to be completed in December 2021.  Foreign Military Sales funds in the amount of $1,200,000 will be obligated at time of award, none of which will expire at the end of the current fiscal year.  The Naval Air Systems Command, Patuxent River, Maryland, is the contracting activity."/>
    <s v="SGA: May I know about the customer region._x000a_AWN-Defense:"/>
    <s v="https://www.defense.gov/News/Contracts/Contract/Article/2465472/"/>
  </r>
  <r>
    <x v="0"/>
    <x v="0"/>
    <s v="Air Force"/>
    <x v="0"/>
    <x v="0"/>
    <s v="Indigenous"/>
    <x v="1"/>
    <x v="1"/>
    <m/>
    <s v="Multiple aircraft types"/>
    <s v="Multiple aircraft types"/>
    <s v="Crewed"/>
    <x v="141"/>
    <x v="0"/>
    <n v="77"/>
    <s v="Not Applicable"/>
    <s v="Confirmed"/>
    <n v="77.37"/>
    <s v="USD$"/>
    <n v="77.37"/>
    <s v="B2G"/>
    <s v="January"/>
    <n v="2021"/>
    <s v="M1 Support Services, Denton, Texas, has been awarded a $77,369,924 firm-fixed-price contract for the back-shop and flight-line maintenance of multiple aircraft types.  Work will be performed at Nellis Air Force Base, Nevada, and is expected to be completed by June 30, 2027, if all options are exercised.  This award is the result of a competitive acquisition and three offers were received.  Fiscal 2021 operation and maintenance funds in the amount of $37,094,520 are being obligated at the time of award.  The Acquisition Management and Integration Center, Langley-Eustis AFB, Virginia, is the contracting activity (FA4890-21-C-0002)."/>
    <m/>
    <s v="https://www.defense.gov/News/Contracts/Contract/Article/2466843/"/>
  </r>
  <r>
    <x v="1"/>
    <x v="18"/>
    <s v="Navy"/>
    <x v="0"/>
    <x v="0"/>
    <s v="Imported"/>
    <x v="4"/>
    <x v="28"/>
    <s v="Surface-to-Air"/>
    <s v="SM-2"/>
    <s v="SM-2"/>
    <s v="Uncrewed"/>
    <x v="62"/>
    <x v="1"/>
    <s v="Not Applicable"/>
    <s v="Not Applicable"/>
    <s v="Confirmed"/>
    <n v="8.52"/>
    <s v="USD$"/>
    <n v="8.52"/>
    <s v="G2G"/>
    <s v="January"/>
    <n v="2021"/>
    <s v="Raytheon Missiles and Defense, Tucson, Arizona, is awarded an $8,520,414 cost-type undefinitized contract for procurement of long lead material in support of Standard Missile-2 (SM-2) Foreign Military Sales (FMS) production requirements to include all up rounds, instrumental kits, engineering services and spares.  This contract involves FMS to Korea, Denmark, Netherlands, Spain, Taiwan and Japan.  Work will be performed in Hengelo Overijssel, Netherlands (51%); McKinney, Texas (32%); and Tucson, Arizona (17%), and is expected to be completed by March 2023.  FMS Korea funding in the amount of $1,807,362 (42%); FMS Denmark funding in the amount of $1,073,800 (25%); Memorandum of Understanding Netherlands funding in the amount of $494,872 (12%); FMS Spain funding in the amount of $451,840 (11%); FMS Taiwan funding in the amount of $344,259 (8%); and FMS Japan funding in the amount of $86,064 (2%), will be obligated at time of award and will not expire at the end of the current fiscal year.  This contract was not competitively procured in accordance with the authority from 10 U.S. Code 2304 (c) (4) (international agreement).  The Naval Sea Systems Command, Washington, D.C., is the contracting activity (N00024-21-C-5411)."/>
    <m/>
    <s v="https://www.defense.gov/News/Contracts/Contract/Article/2468302/"/>
  </r>
  <r>
    <x v="0"/>
    <x v="0"/>
    <s v="Navy"/>
    <x v="0"/>
    <x v="0"/>
    <s v="Indigenous"/>
    <x v="1"/>
    <x v="17"/>
    <s v="Rotary Wing Transport"/>
    <s v="T408-GE-400 turboshaft engine"/>
    <s v="T408-GE-400 turboshaft engine"/>
    <s v="Crewed"/>
    <x v="54"/>
    <x v="1"/>
    <s v="Not Applicable"/>
    <n v="21"/>
    <s v="Confirmed"/>
    <n v="101.47"/>
    <s v="USD$"/>
    <n v="101.47"/>
    <s v="B2G"/>
    <s v="January"/>
    <n v="2021"/>
    <s v="General Electric Aviation, Lynn, Massachusetts, is awarded a $101,470,782 firm-fixed-price, cost-plus-fixed-fee modification (P00015) to previously awarded contract N00019-18-C-1007.  This modification procures 21 T408-GE-400 turboshaft engines and associated engine, programmatic and logistics services in support of CH-53K Lot Five low rate initial production aircraft.  Work will be performed in Lynn, Massachusetts, and is expected to be completed in December 2024.  Fiscal 2021 aircraft procurement (Navy) funds in the amount $101,470,782 will be obligated at time of award, none of which will expire at the end of the current fiscal year.  The Naval Air Systems Command, Patuxent River, Maryland, is the contracting activity."/>
    <m/>
    <s v="https://www.defense.gov/News/Contracts/Contract/Article/2471330/"/>
  </r>
  <r>
    <x v="0"/>
    <x v="0"/>
    <s v="Navy"/>
    <x v="0"/>
    <x v="0"/>
    <s v="Indigenous"/>
    <x v="5"/>
    <x v="7"/>
    <s v="Integrated C4ISR System"/>
    <s v="Global Radio Frequency Intelligence Networks"/>
    <s v="Global Radio Frequency Intelligence Networks"/>
    <s v="Uncrewed"/>
    <x v="142"/>
    <x v="2"/>
    <n v="62"/>
    <s v="Not Applicable"/>
    <s v="Confirmed"/>
    <n v="80.86"/>
    <s v="USD$"/>
    <n v="80.86"/>
    <s v="B2G"/>
    <s v="January"/>
    <n v="2021"/>
    <s v="The MIL Corp., Bowie, Maryland, is awarded an $80,864,126 cost-plus-fixed-fee, cost-reimbursable, indefinite-delivery/indefinite-quantity contract.  This contract provides for systems engineering services for assigned Global Radio Frequency Intelligence Networks related technologies and systems in support of the Naval Air Warfare Center Aircraft Division Webster Outlying Field Integrated Command, Control and Intel Division.  Work will be performed in Saint Inigoes, Maryland, and is expected to be completed in April 2026.  No funds will be obligated at the time of award.  Funds will be obligated on individual task orders as they are issued.  This contract was competitively procured via an electronic request for proposal; one offer was received.  The Naval Air Warfare Center Aircraft Division, Patuxent River, Maryland, is the contracting activity (N00421-21-D-0010)."/>
    <m/>
    <s v="https://www.defense.gov/News/Contracts/Contract/Article/2473002/"/>
  </r>
  <r>
    <x v="4"/>
    <x v="8"/>
    <s v="Air Force"/>
    <x v="0"/>
    <x v="0"/>
    <s v="Imported"/>
    <x v="1"/>
    <x v="1"/>
    <s v="Fighter"/>
    <s v="F/A-18"/>
    <s v="F/A-18"/>
    <s v="Crewed"/>
    <x v="73"/>
    <x v="1"/>
    <s v="Not Applicable"/>
    <s v="Not Applicable"/>
    <s v="Confirmed"/>
    <n v="69.52"/>
    <s v="USD$"/>
    <n v="69.52"/>
    <s v="B2G"/>
    <s v="January"/>
    <n v="2021"/>
    <s v="Kay and Associates Inc., Buffalo Grove, Illinois, is awarded a $69,515,496 cost-plus-fixed-fee, cost reimbursable modification (P00012) to previously awarded contract N00421-17-C-0044.  This modification exercises an option to procure maintenance and support services for F/A-18 aircraft and associated equipment in support of the government of Kuwait.  Work will be performed in Kuwait, and is expected to be completed in January 2022.  Foreign Military Sales funds in the amount $69,515,496 will be obligated at time of award, none of which will expire at the end of the current fiscal year.  The Naval Air Warfare Center, Aircraft Division, Patuxent River, Maryland, is the contracting activity."/>
    <m/>
    <s v="https://www.defense.gov/News/Contracts/Contract/Article/2473002/"/>
  </r>
  <r>
    <x v="0"/>
    <x v="0"/>
    <s v="Defense Wide"/>
    <x v="0"/>
    <x v="0"/>
    <s v="Indigenous"/>
    <x v="3"/>
    <x v="3"/>
    <m/>
    <s v="Hypersonic and Ballistic Tracking Space Sensor"/>
    <s v="Hypersonic and Ballistic Tracking Space Sensor"/>
    <s v="Uncrewed"/>
    <x v="17"/>
    <x v="2"/>
    <n v="30"/>
    <s v="Not Applicable"/>
    <s v="Confirmed"/>
    <n v="121.63"/>
    <s v="USD$"/>
    <n v="121.63"/>
    <s v="B2G"/>
    <s v="January"/>
    <n v="2021"/>
    <s v="L3Harris Technologies Inc., Fort Wayne, Indiana, is being awarded a firm-fixed-price prototype award with a total value of $121,634,954 through the Missile Defense Agency’s authority under 10 U.S. Code § 2371b.  This prototype award was competitively solicited among awardees of the Hypersonic and Ballistic Tracking Space Sensor Phase IIa effort, which was competitively awarded as a Prototype Other Transaction pursuant to 10 U.S. Code § 2371b.  Four proposals were received.  Under this award, the performer will provide the Missile Defense Agency’s Hypersonic and Ballistic Tracking Space Sensor program with an on-orbit prototype demonstration, culminating with launch and early orbit testing.  The work will be performed in Fort Wayne, Indiana, with an estimated completion date of July 14, 2023.  Fiscal 2020 research, development, test and evaluation funds in the amount of $25,000,000 will be obligated at the time of award.  These funds will expire at the end of the 2021 fiscal year.  Missile Defense Agency, Schriever Air Force Base, Colorado, is the contracting activity (HQ0857-20-9-0001)."/>
    <m/>
    <s v="https://www.defense.gov/News/Contracts/Contract/Article/2473002/"/>
  </r>
  <r>
    <x v="0"/>
    <x v="0"/>
    <s v="Navy"/>
    <x v="0"/>
    <x v="0"/>
    <s v="Indigenous"/>
    <x v="7"/>
    <x v="14"/>
    <s v="Not Applicable"/>
    <s v="Navigation Seamanship Shiphandling Trainers program, training systems and upgrades"/>
    <s v="Navigation Seamanship Shiphandling Trainers program, training systems and upgrades"/>
    <s v="Not Applicable"/>
    <x v="143"/>
    <x v="4"/>
    <n v="19"/>
    <s v="Not Applicable"/>
    <s v="Confirmed"/>
    <n v="57"/>
    <s v="USD$"/>
    <n v="57"/>
    <s v="B2G"/>
    <s v="January"/>
    <n v="2021"/>
    <s v="CSRA LLC, Washington, D.C., is awarded a $57,000,000 modification (P00002) to previously awarded, firm-fixed-price, cost-plus-fixed-fee, indefinite-delivery/indefinite-quantity contract N61340-18-D-0002.  This modification increases the ceiling to provide the Navigation Seamanship Shiphandling Trainers program, training systems and upgrades to meet fleet emergent requirements based on the Chief of Naval Operations mandated expansion in navigation related training hours and navigation related training capability at schoolhouses throughout the world.  Work will be performed in Norfolk, Virginia (44%); Everett, Washington (14%); Pearl Harbor, Hawaii (14%); Yokosuka, Japan (14%); Rota, Spain (13%); San Diego, California (0.5%); and Sasebo, Japan (0.5%), and is expected to be completed in September 2022.  No funds will be obligated at time of award and funds will be issued against individual orders as they are issued.  The Naval Air Warfare Center, Training Systems Division, Orlando, Florida, is the contracting activity."/>
    <m/>
    <s v="https://www.defense.gov/News/Contracts/Contract/Article/2474326/"/>
  </r>
  <r>
    <x v="4"/>
    <x v="11"/>
    <s v="Air Force"/>
    <x v="0"/>
    <x v="0"/>
    <s v="Imported"/>
    <x v="1"/>
    <x v="1"/>
    <s v="Fixed Wing Other"/>
    <s v="Royal Saudi Land Forces Aviation Command Aviation "/>
    <s v="Royal Saudi Land Forces Aviation Command Aviation "/>
    <s v="Uncrewed"/>
    <x v="121"/>
    <x v="0"/>
    <n v="18"/>
    <s v="Not Applicable"/>
    <s v="Confirmed"/>
    <n v="27.7"/>
    <s v="USD$"/>
    <n v="27.7"/>
    <s v="B2G"/>
    <s v="January"/>
    <n v="2021"/>
    <s v="DynCorp International LLC, Fort Worth, Texas, was awarded a $27,700,947 modification (P00028) to contract W58RGZ-16-C-0016 for maintenance support services for Saudi Arabia's Royal Saudi Land Forces Aviation Command Aviation program.  Work will be performed in Saudi Arabia, with an estimated completion date of Jul. 31, 2022.  Fiscal 2021 Foreign Military Sales funds in the amount of $27,700,947 were obligated at the time of the award.  U.S. Army Contracting Command, Redstone Arsenal, Alabama, is the contracting activity."/>
    <m/>
    <s v="https://www.defense.gov/News/Contracts/Contract/Article/2474326/"/>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s v="Indigenous"/>
    <x v="8"/>
    <x v="10"/>
    <m/>
    <m/>
    <m/>
    <m/>
    <x v="2"/>
    <x v="5"/>
    <m/>
    <m/>
    <m/>
    <m/>
    <m/>
    <m/>
    <m/>
    <m/>
    <m/>
    <m/>
    <m/>
    <m/>
  </r>
  <r>
    <x v="5"/>
    <x v="7"/>
    <m/>
    <x v="2"/>
    <x v="3"/>
    <s v="Imported"/>
    <x v="8"/>
    <x v="10"/>
    <m/>
    <m/>
    <m/>
    <m/>
    <x v="2"/>
    <x v="5"/>
    <m/>
    <m/>
    <m/>
    <m/>
    <m/>
    <m/>
    <m/>
    <m/>
    <m/>
    <m/>
    <m/>
    <m/>
  </r>
  <r>
    <x v="5"/>
    <x v="7"/>
    <m/>
    <x v="2"/>
    <x v="3"/>
    <s v="Indigenous"/>
    <x v="8"/>
    <x v="10"/>
    <m/>
    <m/>
    <m/>
    <m/>
    <x v="2"/>
    <x v="5"/>
    <m/>
    <m/>
    <m/>
    <m/>
    <m/>
    <m/>
    <m/>
    <m/>
    <m/>
    <m/>
    <m/>
    <m/>
  </r>
  <r>
    <x v="5"/>
    <x v="7"/>
    <m/>
    <x v="2"/>
    <x v="3"/>
    <s v="Indigenous"/>
    <x v="8"/>
    <x v="10"/>
    <m/>
    <m/>
    <m/>
    <m/>
    <x v="2"/>
    <x v="5"/>
    <m/>
    <m/>
    <m/>
    <m/>
    <m/>
    <m/>
    <m/>
    <m/>
    <m/>
    <m/>
    <m/>
    <m/>
  </r>
  <r>
    <x v="5"/>
    <x v="7"/>
    <m/>
    <x v="2"/>
    <x v="3"/>
    <s v="Imported"/>
    <x v="8"/>
    <x v="10"/>
    <m/>
    <m/>
    <m/>
    <m/>
    <x v="2"/>
    <x v="5"/>
    <m/>
    <m/>
    <m/>
    <m/>
    <m/>
    <m/>
    <m/>
    <m/>
    <m/>
    <m/>
    <m/>
    <m/>
  </r>
  <r>
    <x v="5"/>
    <x v="7"/>
    <m/>
    <x v="2"/>
    <x v="3"/>
    <s v="Indigenous"/>
    <x v="8"/>
    <x v="10"/>
    <m/>
    <m/>
    <m/>
    <m/>
    <x v="2"/>
    <x v="5"/>
    <m/>
    <m/>
    <m/>
    <m/>
    <m/>
    <m/>
    <m/>
    <m/>
    <m/>
    <m/>
    <m/>
    <m/>
  </r>
  <r>
    <x v="5"/>
    <x v="7"/>
    <m/>
    <x v="2"/>
    <x v="3"/>
    <s v="Indigenous"/>
    <x v="8"/>
    <x v="10"/>
    <m/>
    <m/>
    <m/>
    <m/>
    <x v="2"/>
    <x v="5"/>
    <m/>
    <m/>
    <m/>
    <m/>
    <m/>
    <m/>
    <m/>
    <m/>
    <m/>
    <m/>
    <m/>
    <m/>
  </r>
  <r>
    <x v="5"/>
    <x v="7"/>
    <m/>
    <x v="2"/>
    <x v="3"/>
    <s v="Imported"/>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6"/>
    <x v="19"/>
    <s v="."/>
    <x v="3"/>
    <x v="4"/>
    <s v="."/>
    <x v="9"/>
    <x v="45"/>
    <s v="."/>
    <s v="."/>
    <s v="."/>
    <s v="."/>
    <x v="144"/>
    <x v="5"/>
    <s v="."/>
    <s v="."/>
    <s v="."/>
    <s v="."/>
    <s v="."/>
    <s v="."/>
    <s v="."/>
    <s v="."/>
    <s v="."/>
    <s v="."/>
    <s v="."/>
    <s v="."/>
  </r>
  <r>
    <x v="5"/>
    <x v="7"/>
    <m/>
    <x v="2"/>
    <x v="3"/>
    <m/>
    <x v="8"/>
    <x v="10"/>
    <m/>
    <m/>
    <m/>
    <m/>
    <x v="2"/>
    <x v="5"/>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71073C-71D9-4CF3-B84B-B04DAC9962F9}" name="PivotTable13" cacheId="6" applyNumberFormats="0" applyBorderFormats="0" applyFontFormats="0" applyPatternFormats="0" applyAlignmentFormats="0" applyWidthHeightFormats="1" dataCaption="Values" showMissing="0" updatedVersion="8" minRefreshableVersion="3" rowGrandTotals="0" colGrandTotals="0" itemPrintTitles="1" createdVersion="8" indent="0" outline="1" outlineData="1" multipleFieldFilters="0" rowHeaderCaption="Country">
  <location ref="W16:W36" firstHeaderRow="1" firstDataRow="1" firstDataCol="1"/>
  <pivotFields count="26">
    <pivotField showAll="0">
      <items count="13">
        <item x="6"/>
        <item x="3"/>
        <item x="1"/>
        <item m="1" x="9"/>
        <item m="1" x="8"/>
        <item x="4"/>
        <item x="0"/>
        <item m="1" x="11"/>
        <item m="1" x="10"/>
        <item m="1" x="7"/>
        <item x="2"/>
        <item x="5"/>
        <item t="default"/>
      </items>
    </pivotField>
    <pivotField axis="axisRow" showAll="0" defaultSubtotal="0">
      <items count="104">
        <item m="1" x="63"/>
        <item m="1" x="48"/>
        <item x="13"/>
        <item m="1" x="27"/>
        <item m="1" x="20"/>
        <item m="1" x="45"/>
        <item m="1" x="35"/>
        <item m="1" x="66"/>
        <item x="12"/>
        <item m="1" x="28"/>
        <item m="1" x="50"/>
        <item m="1" x="60"/>
        <item m="1" x="26"/>
        <item m="1" x="21"/>
        <item m="1" x="46"/>
        <item m="1" x="41"/>
        <item m="1" x="56"/>
        <item m="1" x="29"/>
        <item m="1" x="62"/>
        <item x="9"/>
        <item m="1" x="67"/>
        <item m="1" x="36"/>
        <item x="10"/>
        <item x="6"/>
        <item x="8"/>
        <item m="1" x="32"/>
        <item m="1" x="61"/>
        <item m="1" x="51"/>
        <item m="1" x="34"/>
        <item m="1" x="59"/>
        <item m="1" x="25"/>
        <item x="15"/>
        <item m="1" x="53"/>
        <item m="1" x="65"/>
        <item m="1" x="52"/>
        <item m="1" x="24"/>
        <item m="1" x="31"/>
        <item x="11"/>
        <item m="1" x="55"/>
        <item m="1" x="57"/>
        <item x="14"/>
        <item x="16"/>
        <item m="1" x="30"/>
        <item m="1" x="54"/>
        <item x="4"/>
        <item m="1" x="58"/>
        <item m="1" x="39"/>
        <item m="1" x="22"/>
        <item m="1" x="43"/>
        <item m="1" x="103"/>
        <item x="18"/>
        <item x="0"/>
        <item m="1" x="47"/>
        <item x="7"/>
        <item m="1" x="73"/>
        <item m="1" x="68"/>
        <item m="1" x="69"/>
        <item m="1" x="40"/>
        <item m="1" x="70"/>
        <item m="1" x="102"/>
        <item m="1" x="23"/>
        <item x="3"/>
        <item m="1" x="42"/>
        <item m="1" x="44"/>
        <item x="17"/>
        <item m="1" x="71"/>
        <item m="1" x="72"/>
        <item m="1" x="75"/>
        <item m="1" x="76"/>
        <item m="1" x="77"/>
        <item m="1" x="64"/>
        <item m="1" x="78"/>
        <item m="1" x="74"/>
        <item m="1" x="79"/>
        <item m="1" x="80"/>
        <item m="1" x="81"/>
        <item m="1" x="38"/>
        <item x="5"/>
        <item m="1" x="84"/>
        <item m="1" x="82"/>
        <item m="1" x="83"/>
        <item m="1" x="85"/>
        <item m="1" x="86"/>
        <item m="1" x="87"/>
        <item m="1" x="89"/>
        <item m="1" x="37"/>
        <item m="1" x="90"/>
        <item x="1"/>
        <item m="1" x="92"/>
        <item m="1" x="33"/>
        <item m="1" x="49"/>
        <item m="1" x="88"/>
        <item m="1" x="91"/>
        <item m="1" x="93"/>
        <item m="1" x="94"/>
        <item m="1" x="95"/>
        <item m="1" x="96"/>
        <item m="1" x="97"/>
        <item m="1" x="98"/>
        <item m="1" x="99"/>
        <item m="1" x="100"/>
        <item m="1" x="101"/>
        <item x="2"/>
        <item x="19"/>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0">
    <i>
      <x v="2"/>
    </i>
    <i>
      <x v="8"/>
    </i>
    <i>
      <x v="19"/>
    </i>
    <i>
      <x v="22"/>
    </i>
    <i>
      <x v="23"/>
    </i>
    <i>
      <x v="24"/>
    </i>
    <i>
      <x v="31"/>
    </i>
    <i>
      <x v="37"/>
    </i>
    <i>
      <x v="40"/>
    </i>
    <i>
      <x v="41"/>
    </i>
    <i>
      <x v="44"/>
    </i>
    <i>
      <x v="50"/>
    </i>
    <i>
      <x v="51"/>
    </i>
    <i>
      <x v="53"/>
    </i>
    <i>
      <x v="61"/>
    </i>
    <i>
      <x v="64"/>
    </i>
    <i>
      <x v="77"/>
    </i>
    <i>
      <x v="87"/>
    </i>
    <i>
      <x v="102"/>
    </i>
    <i>
      <x v="103"/>
    </i>
  </rowItems>
  <colItems count="1">
    <i/>
  </colItems>
  <formats count="30">
    <format dxfId="47">
      <pivotArea field="1" type="button" dataOnly="0" labelOnly="1" outline="0" axis="axisRow" fieldPosition="0"/>
    </format>
    <format dxfId="46">
      <pivotArea dataOnly="0" labelOnly="1" outline="0" axis="axisValues" fieldPosition="0"/>
    </format>
    <format dxfId="45">
      <pivotArea field="1" type="button" dataOnly="0" labelOnly="1" outline="0" axis="axisRow" fieldPosition="0"/>
    </format>
    <format dxfId="44">
      <pivotArea dataOnly="0" labelOnly="1" outline="0" axis="axisValues" fieldPosition="0"/>
    </format>
    <format dxfId="43">
      <pivotArea outline="0" collapsedLevelsAreSubtotals="1" fieldPosition="0"/>
    </format>
    <format dxfId="42">
      <pivotArea dataOnly="0" labelOnly="1" fieldPosition="0">
        <references count="1">
          <reference field="1" count="10">
            <x v="10"/>
            <x v="15"/>
            <x v="19"/>
            <x v="23"/>
            <x v="31"/>
            <x v="35"/>
            <x v="44"/>
            <x v="50"/>
            <x v="51"/>
            <x v="53"/>
          </reference>
        </references>
      </pivotArea>
    </format>
    <format dxfId="41">
      <pivotArea outline="0" collapsedLevelsAreSubtotals="1" fieldPosition="0"/>
    </format>
    <format dxfId="40">
      <pivotArea dataOnly="0" labelOnly="1" fieldPosition="0">
        <references count="1">
          <reference field="1" count="10">
            <x v="10"/>
            <x v="15"/>
            <x v="19"/>
            <x v="23"/>
            <x v="31"/>
            <x v="35"/>
            <x v="44"/>
            <x v="50"/>
            <x v="51"/>
            <x v="53"/>
          </reference>
        </references>
      </pivotArea>
    </format>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outline="0" axis="axisValues" fieldPosition="0"/>
    </format>
    <format dxfId="34">
      <pivotArea dataOnly="0" labelOnly="1" fieldPosition="0">
        <references count="1">
          <reference field="1" count="0"/>
        </references>
      </pivotArea>
    </format>
    <format dxfId="33">
      <pivotArea dataOnly="0" labelOnly="1" fieldPosition="0">
        <references count="1">
          <reference field="1" count="0"/>
        </references>
      </pivotArea>
    </format>
    <format dxfId="32">
      <pivotArea collapsedLevelsAreSubtotals="1" fieldPosition="0">
        <references count="1">
          <reference field="1" count="8">
            <x v="5"/>
            <x v="11"/>
            <x v="21"/>
            <x v="25"/>
            <x v="31"/>
            <x v="40"/>
            <x v="43"/>
            <x v="48"/>
          </reference>
        </references>
      </pivotArea>
    </format>
    <format dxfId="31">
      <pivotArea dataOnly="0" labelOnly="1" fieldPosition="0">
        <references count="1">
          <reference field="1" count="8">
            <x v="5"/>
            <x v="11"/>
            <x v="21"/>
            <x v="25"/>
            <x v="31"/>
            <x v="40"/>
            <x v="43"/>
            <x v="48"/>
          </reference>
        </references>
      </pivotArea>
    </format>
    <format dxfId="30">
      <pivotArea collapsedLevelsAreSubtotals="1" fieldPosition="0">
        <references count="1">
          <reference field="1" count="21">
            <x v="1"/>
            <x v="5"/>
            <x v="6"/>
            <x v="7"/>
            <x v="8"/>
            <x v="11"/>
            <x v="13"/>
            <x v="18"/>
            <x v="21"/>
            <x v="26"/>
            <x v="28"/>
            <x v="30"/>
            <x v="32"/>
            <x v="33"/>
            <x v="34"/>
            <x v="39"/>
            <x v="40"/>
            <x v="45"/>
            <x v="48"/>
            <x v="49"/>
            <x v="52"/>
          </reference>
        </references>
      </pivotArea>
    </format>
    <format dxfId="29">
      <pivotArea dataOnly="0" labelOnly="1" fieldPosition="0">
        <references count="1">
          <reference field="1" count="21">
            <x v="1"/>
            <x v="5"/>
            <x v="6"/>
            <x v="7"/>
            <x v="8"/>
            <x v="11"/>
            <x v="13"/>
            <x v="18"/>
            <x v="21"/>
            <x v="26"/>
            <x v="28"/>
            <x v="30"/>
            <x v="32"/>
            <x v="33"/>
            <x v="34"/>
            <x v="39"/>
            <x v="40"/>
            <x v="45"/>
            <x v="48"/>
            <x v="49"/>
            <x v="52"/>
          </reference>
        </references>
      </pivotArea>
    </format>
    <format dxfId="28">
      <pivotArea field="1" type="button" dataOnly="0" labelOnly="1" outline="0" axis="axisRow" fieldPosition="0"/>
    </format>
    <format dxfId="27">
      <pivotArea dataOnly="0" labelOnly="1" outline="0" axis="axisValues" fieldPosition="0"/>
    </format>
    <format dxfId="26">
      <pivotArea field="1" type="button" dataOnly="0" labelOnly="1" outline="0" axis="axisRow" fieldPosition="0"/>
    </format>
    <format dxfId="25">
      <pivotArea dataOnly="0" labelOnly="1" outline="0" axis="axisValues" fieldPosition="0"/>
    </format>
    <format dxfId="24">
      <pivotArea outline="0" collapsedLevelsAreSubtotals="1" fieldPosition="0"/>
    </format>
    <format dxfId="23">
      <pivotArea dataOnly="0" labelOnly="1" fieldPosition="0">
        <references count="1">
          <reference field="1" count="50">
            <x v="2"/>
            <x v="3"/>
            <x v="4"/>
            <x v="5"/>
            <x v="6"/>
            <x v="8"/>
            <x v="9"/>
            <x v="10"/>
            <x v="11"/>
            <x v="12"/>
            <x v="13"/>
            <x v="14"/>
            <x v="15"/>
            <x v="16"/>
            <x v="17"/>
            <x v="18"/>
            <x v="19"/>
            <x v="20"/>
            <x v="21"/>
            <x v="22"/>
            <x v="23"/>
            <x v="24"/>
            <x v="25"/>
            <x v="26"/>
            <x v="27"/>
            <x v="28"/>
            <x v="29"/>
            <x v="30"/>
            <x v="31"/>
            <x v="32"/>
            <x v="34"/>
            <x v="35"/>
            <x v="36"/>
            <x v="37"/>
            <x v="38"/>
            <x v="39"/>
            <x v="40"/>
            <x v="41"/>
            <x v="42"/>
            <x v="43"/>
            <x v="44"/>
            <x v="45"/>
            <x v="46"/>
            <x v="47"/>
            <x v="48"/>
            <x v="49"/>
            <x v="50"/>
            <x v="51"/>
            <x v="52"/>
            <x v="53"/>
          </reference>
        </references>
      </pivotArea>
    </format>
    <format dxfId="22">
      <pivotArea dataOnly="0" labelOnly="1" fieldPosition="0">
        <references count="1">
          <reference field="1" count="4">
            <x v="0"/>
            <x v="1"/>
            <x v="7"/>
            <x v="33"/>
          </reference>
        </references>
      </pivotArea>
    </format>
    <format dxfId="21">
      <pivotArea field="1" type="button" dataOnly="0" labelOnly="1" outline="0" axis="axisRow" fieldPosition="0"/>
    </format>
    <format dxfId="20">
      <pivotArea dataOnly="0" labelOnly="1" outline="0" axis="axisValues" fieldPosition="0"/>
    </format>
    <format dxfId="19">
      <pivotArea collapsedLevelsAreSubtotals="1" fieldPosition="0">
        <references count="1">
          <reference field="1" count="10">
            <x v="43"/>
            <x v="46"/>
            <x v="48"/>
            <x v="50"/>
            <x v="53"/>
            <x v="54"/>
            <x v="57"/>
            <x v="61"/>
            <x v="65"/>
            <x v="67"/>
          </reference>
        </references>
      </pivotArea>
    </format>
    <format dxfId="18">
      <pivotArea dataOnly="0" labelOnly="1" fieldPosition="0">
        <references count="1">
          <reference field="1" count="10">
            <x v="43"/>
            <x v="46"/>
            <x v="48"/>
            <x v="50"/>
            <x v="53"/>
            <x v="54"/>
            <x v="57"/>
            <x v="61"/>
            <x v="65"/>
            <x v="67"/>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0E5AED-FB05-4A95-9FAD-163D5C130EC1}" name="PivotTable12" cacheId="6" applyNumberFormats="0" applyBorderFormats="0" applyFontFormats="0" applyPatternFormats="0" applyAlignmentFormats="0" applyWidthHeightFormats="1" dataCaption="Values" grandTotalCaption="Total" showMissing="0" updatedVersion="8" minRefreshableVersion="3" rowGrandTotals="0" colGrandTotals="0" itemPrintTitles="1" createdVersion="8" indent="0" outline="1" outlineData="1" multipleFieldFilters="0" rowHeaderCaption="Country">
  <location ref="T16:T21"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axis="axisRow" showAll="0">
      <items count="60">
        <item m="1" x="32"/>
        <item m="1" x="6"/>
        <item m="1" x="26"/>
        <item m="1" x="28"/>
        <item m="1" x="34"/>
        <item m="1" x="12"/>
        <item m="1" x="39"/>
        <item m="1" x="23"/>
        <item m="1" x="10"/>
        <item m="1" x="14"/>
        <item m="1" x="25"/>
        <item m="1" x="13"/>
        <item m="1" x="9"/>
        <item m="1" x="30"/>
        <item m="1" x="33"/>
        <item m="1" x="36"/>
        <item m="1" x="31"/>
        <item x="2"/>
        <item m="1" x="37"/>
        <item m="1" x="24"/>
        <item m="1" x="40"/>
        <item m="1" x="5"/>
        <item m="1" x="56"/>
        <item m="1" x="29"/>
        <item m="1" x="7"/>
        <item m="1" x="8"/>
        <item m="1" x="11"/>
        <item m="1" x="27"/>
        <item m="1" x="38"/>
        <item m="1" x="16"/>
        <item m="1" x="22"/>
        <item m="1" x="17"/>
        <item x="0"/>
        <item x="3"/>
        <item m="1" x="58"/>
        <item m="1" x="41"/>
        <item m="1" x="15"/>
        <item m="1" x="20"/>
        <item m="1" x="42"/>
        <item m="1" x="21"/>
        <item m="1" x="18"/>
        <item x="1"/>
        <item m="1" x="35"/>
        <item m="1" x="43"/>
        <item m="1" x="44"/>
        <item m="1" x="57"/>
        <item m="1" x="46"/>
        <item m="1" x="45"/>
        <item m="1" x="47"/>
        <item m="1" x="19"/>
        <item m="1" x="48"/>
        <item m="1" x="49"/>
        <item m="1" x="50"/>
        <item m="1" x="51"/>
        <item m="1" x="52"/>
        <item m="1" x="53"/>
        <item m="1" x="54"/>
        <item m="1" x="55"/>
        <item x="4"/>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v="17"/>
    </i>
    <i>
      <x v="32"/>
    </i>
    <i>
      <x v="33"/>
    </i>
    <i>
      <x v="41"/>
    </i>
    <i>
      <x v="58"/>
    </i>
  </rowItems>
  <colItems count="1">
    <i/>
  </colItems>
  <formats count="58">
    <format dxfId="105">
      <pivotArea type="all" dataOnly="0" outline="0" fieldPosition="0"/>
    </format>
    <format dxfId="104">
      <pivotArea outline="0" collapsedLevelsAreSubtotals="1" fieldPosition="0"/>
    </format>
    <format dxfId="103">
      <pivotArea field="4" type="button" dataOnly="0" labelOnly="1" outline="0" axis="axisRow" fieldPosition="0"/>
    </format>
    <format dxfId="102">
      <pivotArea dataOnly="0" labelOnly="1" fieldPosition="0">
        <references count="1">
          <reference field="4" count="10">
            <x v="9"/>
            <x v="10"/>
            <x v="11"/>
            <x v="13"/>
            <x v="19"/>
            <x v="23"/>
            <x v="26"/>
            <x v="29"/>
            <x v="31"/>
            <x v="32"/>
          </reference>
        </references>
      </pivotArea>
    </format>
    <format dxfId="101">
      <pivotArea dataOnly="0" labelOnly="1" outline="0" axis="axisValues" fieldPosition="0"/>
    </format>
    <format dxfId="100">
      <pivotArea field="4" type="button" dataOnly="0" labelOnly="1" outline="0" axis="axisRow" fieldPosition="0"/>
    </format>
    <format dxfId="99">
      <pivotArea dataOnly="0" labelOnly="1" outline="0" axis="axisValues" fieldPosition="0"/>
    </format>
    <format dxfId="98">
      <pivotArea outline="0" collapsedLevelsAreSubtotals="1" fieldPosition="0"/>
    </format>
    <format dxfId="97">
      <pivotArea dataOnly="0" labelOnly="1" fieldPosition="0">
        <references count="1">
          <reference field="4" count="10">
            <x v="9"/>
            <x v="10"/>
            <x v="11"/>
            <x v="13"/>
            <x v="19"/>
            <x v="23"/>
            <x v="26"/>
            <x v="29"/>
            <x v="31"/>
            <x v="32"/>
          </reference>
        </references>
      </pivotArea>
    </format>
    <format dxfId="96">
      <pivotArea field="4" type="button" dataOnly="0" labelOnly="1" outline="0" axis="axisRow" fieldPosition="0"/>
    </format>
    <format dxfId="95">
      <pivotArea dataOnly="0" labelOnly="1" outline="0" axis="axisValues" fieldPosition="0"/>
    </format>
    <format dxfId="94">
      <pivotArea outline="0" collapsedLevelsAreSubtotals="1" fieldPosition="0"/>
    </format>
    <format dxfId="93">
      <pivotArea dataOnly="0" labelOnly="1" fieldPosition="0">
        <references count="1">
          <reference field="4" count="10">
            <x v="9"/>
            <x v="10"/>
            <x v="11"/>
            <x v="13"/>
            <x v="19"/>
            <x v="23"/>
            <x v="26"/>
            <x v="29"/>
            <x v="31"/>
            <x v="32"/>
          </reference>
        </references>
      </pivotArea>
    </format>
    <format dxfId="92">
      <pivotArea outline="0" collapsedLevelsAreSubtotals="1" fieldPosition="0"/>
    </format>
    <format dxfId="91">
      <pivotArea dataOnly="0" labelOnly="1" fieldPosition="0">
        <references count="1">
          <reference field="4" count="10">
            <x v="9"/>
            <x v="10"/>
            <x v="11"/>
            <x v="13"/>
            <x v="19"/>
            <x v="23"/>
            <x v="26"/>
            <x v="29"/>
            <x v="31"/>
            <x v="32"/>
          </reference>
        </references>
      </pivotArea>
    </format>
    <format dxfId="90">
      <pivotArea type="all" dataOnly="0" outline="0" fieldPosition="0"/>
    </format>
    <format dxfId="89">
      <pivotArea outline="0" collapsedLevelsAreSubtotals="1" fieldPosition="0"/>
    </format>
    <format dxfId="88">
      <pivotArea field="4" type="button" dataOnly="0" labelOnly="1" outline="0" axis="axisRow" fieldPosition="0"/>
    </format>
    <format dxfId="87">
      <pivotArea dataOnly="0" labelOnly="1" fieldPosition="0">
        <references count="1">
          <reference field="4" count="1">
            <x v="34"/>
          </reference>
        </references>
      </pivotArea>
    </format>
    <format dxfId="86">
      <pivotArea dataOnly="0" labelOnly="1" outline="0" axis="axisValues" fieldPosition="0"/>
    </format>
    <format dxfId="85">
      <pivotArea dataOnly="0" labelOnly="1" fieldPosition="0">
        <references count="1">
          <reference field="4" count="1">
            <x v="8"/>
          </reference>
        </references>
      </pivotArea>
    </format>
    <format dxfId="84">
      <pivotArea dataOnly="0" labelOnly="1" fieldPosition="0">
        <references count="1">
          <reference field="4" count="1">
            <x v="8"/>
          </reference>
        </references>
      </pivotArea>
    </format>
    <format dxfId="83">
      <pivotArea dataOnly="0" labelOnly="1" fieldPosition="0">
        <references count="1">
          <reference field="4" count="3">
            <x v="7"/>
            <x v="17"/>
            <x v="27"/>
          </reference>
        </references>
      </pivotArea>
    </format>
    <format dxfId="82">
      <pivotArea dataOnly="0" labelOnly="1" fieldPosition="0">
        <references count="1">
          <reference field="4" count="3">
            <x v="7"/>
            <x v="17"/>
            <x v="27"/>
          </reference>
        </references>
      </pivotArea>
    </format>
    <format dxfId="81">
      <pivotArea dataOnly="0" labelOnly="1" fieldPosition="0">
        <references count="1">
          <reference field="4" count="8">
            <x v="0"/>
            <x v="2"/>
            <x v="5"/>
            <x v="8"/>
            <x v="11"/>
            <x v="18"/>
            <x v="30"/>
            <x v="32"/>
          </reference>
        </references>
      </pivotArea>
    </format>
    <format dxfId="80">
      <pivotArea dataOnly="0" labelOnly="1" fieldPosition="0">
        <references count="1">
          <reference field="4" count="2">
            <x v="6"/>
            <x v="12"/>
          </reference>
        </references>
      </pivotArea>
    </format>
    <format dxfId="79">
      <pivotArea dataOnly="0" labelOnly="1" fieldPosition="0">
        <references count="1">
          <reference field="4" count="2">
            <x v="6"/>
            <x v="12"/>
          </reference>
        </references>
      </pivotArea>
    </format>
    <format dxfId="78">
      <pivotArea dataOnly="0" labelOnly="1" fieldPosition="0">
        <references count="1">
          <reference field="4" count="1">
            <x v="16"/>
          </reference>
        </references>
      </pivotArea>
    </format>
    <format dxfId="77">
      <pivotArea dataOnly="0" labelOnly="1" fieldPosition="0">
        <references count="1">
          <reference field="4" count="4">
            <x v="1"/>
            <x v="15"/>
            <x v="24"/>
            <x v="28"/>
          </reference>
        </references>
      </pivotArea>
    </format>
    <format dxfId="76">
      <pivotArea dataOnly="0" labelOnly="1" fieldPosition="0">
        <references count="1">
          <reference field="4" count="4">
            <x v="1"/>
            <x v="15"/>
            <x v="24"/>
            <x v="28"/>
          </reference>
        </references>
      </pivotArea>
    </format>
    <format dxfId="75">
      <pivotArea dataOnly="0" labelOnly="1" fieldPosition="0">
        <references count="1">
          <reference field="4" count="5">
            <x v="0"/>
            <x v="2"/>
            <x v="5"/>
            <x v="16"/>
            <x v="18"/>
          </reference>
        </references>
      </pivotArea>
    </format>
    <format dxfId="74">
      <pivotArea dataOnly="0" labelOnly="1" fieldPosition="0">
        <references count="1">
          <reference field="4" count="5">
            <x v="6"/>
            <x v="11"/>
            <x v="14"/>
            <x v="20"/>
            <x v="30"/>
          </reference>
        </references>
      </pivotArea>
    </format>
    <format dxfId="73">
      <pivotArea dataOnly="0" labelOnly="1" fieldPosition="0">
        <references count="1">
          <reference field="4" count="5">
            <x v="6"/>
            <x v="11"/>
            <x v="14"/>
            <x v="20"/>
            <x v="30"/>
          </reference>
        </references>
      </pivotArea>
    </format>
    <format dxfId="72">
      <pivotArea dataOnly="0" labelOnly="1" fieldPosition="0">
        <references count="1">
          <reference field="4" count="1">
            <x v="3"/>
          </reference>
        </references>
      </pivotArea>
    </format>
    <format dxfId="71">
      <pivotArea dataOnly="0" labelOnly="1" fieldPosition="0">
        <references count="1">
          <reference field="4" count="1">
            <x v="3"/>
          </reference>
        </references>
      </pivotArea>
    </format>
    <format dxfId="70">
      <pivotArea type="all" dataOnly="0" outline="0" fieldPosition="0"/>
    </format>
    <format dxfId="69">
      <pivotArea collapsedLevelsAreSubtotals="1" fieldPosition="0">
        <references count="1">
          <reference field="4" count="4">
            <x v="0"/>
            <x v="6"/>
            <x v="18"/>
            <x v="22"/>
          </reference>
        </references>
      </pivotArea>
    </format>
    <format dxfId="68">
      <pivotArea dataOnly="0" labelOnly="1" fieldPosition="0">
        <references count="1">
          <reference field="4" count="33">
            <x v="0"/>
            <x v="1"/>
            <x v="2"/>
            <x v="3"/>
            <x v="5"/>
            <x v="6"/>
            <x v="7"/>
            <x v="8"/>
            <x v="9"/>
            <x v="10"/>
            <x v="11"/>
            <x v="12"/>
            <x v="13"/>
            <x v="14"/>
            <x v="15"/>
            <x v="16"/>
            <x v="17"/>
            <x v="18"/>
            <x v="19"/>
            <x v="20"/>
            <x v="21"/>
            <x v="22"/>
            <x v="23"/>
            <x v="24"/>
            <x v="25"/>
            <x v="26"/>
            <x v="27"/>
            <x v="28"/>
            <x v="29"/>
            <x v="30"/>
            <x v="31"/>
            <x v="32"/>
            <x v="33"/>
          </reference>
        </references>
      </pivotArea>
    </format>
    <format dxfId="67">
      <pivotArea dataOnly="0" labelOnly="1" fieldPosition="0">
        <references count="1">
          <reference field="4" count="1">
            <x v="4"/>
          </reference>
        </references>
      </pivotArea>
    </format>
    <format dxfId="66">
      <pivotArea collapsedLevelsAreSubtotals="1" fieldPosition="0">
        <references count="1">
          <reference field="4" count="2">
            <x v="6"/>
            <x v="18"/>
          </reference>
        </references>
      </pivotArea>
    </format>
    <format dxfId="65">
      <pivotArea dataOnly="0" labelOnly="1" fieldPosition="0">
        <references count="1">
          <reference field="4" count="2">
            <x v="6"/>
            <x v="18"/>
          </reference>
        </references>
      </pivotArea>
    </format>
    <format dxfId="64">
      <pivotArea field="4" type="button" dataOnly="0" labelOnly="1" outline="0" axis="axisRow" fieldPosition="0"/>
    </format>
    <format dxfId="63">
      <pivotArea dataOnly="0" labelOnly="1" outline="0" axis="axisValues" fieldPosition="0"/>
    </format>
    <format dxfId="62">
      <pivotArea field="4" type="button" dataOnly="0" labelOnly="1" outline="0" axis="axisRow" fieldPosition="0"/>
    </format>
    <format dxfId="61">
      <pivotArea dataOnly="0" labelOnly="1" outline="0" axis="axisValues" fieldPosition="0"/>
    </format>
    <format dxfId="60">
      <pivotArea outline="0" collapsedLevelsAreSubtotals="1" fieldPosition="0"/>
    </format>
    <format dxfId="59">
      <pivotArea dataOnly="0" labelOnly="1" fieldPosition="0">
        <references count="1">
          <reference field="4" count="0"/>
        </references>
      </pivotArea>
    </format>
    <format dxfId="58">
      <pivotArea field="4" type="button" dataOnly="0" labelOnly="1" outline="0" axis="axisRow"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outline="0" axis="axisValues" fieldPosition="0"/>
    </format>
    <format dxfId="51">
      <pivotArea collapsedLevelsAreSubtotals="1" fieldPosition="0">
        <references count="1">
          <reference field="4" count="39">
            <x v="0"/>
            <x v="1"/>
            <x v="2"/>
            <x v="3"/>
            <x v="4"/>
            <x v="5"/>
            <x v="6"/>
            <x v="7"/>
            <x v="8"/>
            <x v="9"/>
            <x v="10"/>
            <x v="11"/>
            <x v="12"/>
            <x v="13"/>
            <x v="14"/>
            <x v="15"/>
            <x v="16"/>
            <x v="17"/>
            <x v="18"/>
            <x v="19"/>
            <x v="20"/>
            <x v="21"/>
            <x v="22"/>
            <x v="23"/>
            <x v="24"/>
            <x v="25"/>
            <x v="26"/>
            <x v="27"/>
            <x v="28"/>
            <x v="29"/>
            <x v="30"/>
            <x v="31"/>
            <x v="33"/>
            <x v="35"/>
            <x v="36"/>
            <x v="37"/>
            <x v="38"/>
            <x v="39"/>
            <x v="40"/>
          </reference>
        </references>
      </pivotArea>
    </format>
    <format dxfId="50">
      <pivotArea dataOnly="0" labelOnly="1" fieldPosition="0">
        <references count="1">
          <reference field="4" count="39">
            <x v="0"/>
            <x v="1"/>
            <x v="2"/>
            <x v="3"/>
            <x v="4"/>
            <x v="5"/>
            <x v="6"/>
            <x v="7"/>
            <x v="8"/>
            <x v="9"/>
            <x v="10"/>
            <x v="11"/>
            <x v="12"/>
            <x v="13"/>
            <x v="14"/>
            <x v="15"/>
            <x v="16"/>
            <x v="17"/>
            <x v="18"/>
            <x v="19"/>
            <x v="20"/>
            <x v="21"/>
            <x v="22"/>
            <x v="23"/>
            <x v="24"/>
            <x v="25"/>
            <x v="26"/>
            <x v="27"/>
            <x v="28"/>
            <x v="29"/>
            <x v="30"/>
            <x v="31"/>
            <x v="33"/>
            <x v="35"/>
            <x v="36"/>
            <x v="37"/>
            <x v="38"/>
            <x v="39"/>
            <x v="40"/>
          </reference>
        </references>
      </pivotArea>
    </format>
    <format dxfId="49">
      <pivotArea collapsedLevelsAreSubtotals="1" fieldPosition="0">
        <references count="1">
          <reference field="4" count="11">
            <x v="1"/>
            <x v="7"/>
            <x v="11"/>
            <x v="17"/>
            <x v="19"/>
            <x v="22"/>
            <x v="25"/>
            <x v="27"/>
            <x v="29"/>
            <x v="36"/>
            <x v="40"/>
          </reference>
        </references>
      </pivotArea>
    </format>
    <format dxfId="48">
      <pivotArea dataOnly="0" labelOnly="1" fieldPosition="0">
        <references count="1">
          <reference field="4" count="11">
            <x v="1"/>
            <x v="7"/>
            <x v="11"/>
            <x v="17"/>
            <x v="19"/>
            <x v="22"/>
            <x v="25"/>
            <x v="27"/>
            <x v="29"/>
            <x v="36"/>
            <x v="40"/>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08A686-3940-4C34-8734-470F61E3C698}" name="PivotTable14" cacheId="6" applyNumberFormats="0" applyBorderFormats="0" applyFontFormats="0" applyPatternFormats="0" applyAlignmentFormats="0" applyWidthHeightFormats="1" dataCaption="Values" showMissing="0" updatedVersion="8" minRefreshableVersion="3" rowGrandTotals="0" colGrandTotals="0" itemPrintTitles="1" createdVersion="8" indent="0" outline="1" outlineData="1" multipleFieldFilters="0" rowHeaderCaption="Company">
  <location ref="Z16:Z161"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axis="axisRow" showAll="0">
      <items count="638">
        <item m="1" x="290"/>
        <item m="1" x="296"/>
        <item m="1" x="288"/>
        <item m="1" x="309"/>
        <item m="1" x="258"/>
        <item m="1" x="282"/>
        <item m="1" x="261"/>
        <item x="46"/>
        <item m="1" x="294"/>
        <item m="1" x="280"/>
        <item m="1" x="269"/>
        <item x="128"/>
        <item m="1" x="149"/>
        <item m="1" x="168"/>
        <item m="1" x="301"/>
        <item m="1" x="317"/>
        <item m="1" x="312"/>
        <item m="1" x="297"/>
        <item x="138"/>
        <item m="1" x="201"/>
        <item x="8"/>
        <item m="1" x="187"/>
        <item m="1" x="156"/>
        <item x="27"/>
        <item m="1" x="239"/>
        <item m="1" x="235"/>
        <item m="1" x="266"/>
        <item m="1" x="255"/>
        <item x="34"/>
        <item m="1" x="248"/>
        <item m="1" x="243"/>
        <item m="1" x="313"/>
        <item m="1" x="322"/>
        <item m="1" x="287"/>
        <item x="16"/>
        <item m="1" x="230"/>
        <item x="47"/>
        <item m="1" x="225"/>
        <item m="1" x="315"/>
        <item m="1" x="247"/>
        <item m="1" x="167"/>
        <item m="1" x="283"/>
        <item m="1" x="181"/>
        <item m="1" x="277"/>
        <item m="1" x="318"/>
        <item m="1" x="276"/>
        <item m="1" x="559"/>
        <item x="121"/>
        <item x="49"/>
        <item m="1" x="169"/>
        <item m="1" x="302"/>
        <item m="1" x="249"/>
        <item m="1" x="306"/>
        <item x="135"/>
        <item m="1" x="196"/>
        <item m="1" x="259"/>
        <item m="1" x="289"/>
        <item m="1" x="253"/>
        <item m="1" x="229"/>
        <item m="1" x="252"/>
        <item x="51"/>
        <item x="9"/>
        <item x="54"/>
        <item m="1" x="245"/>
        <item m="1" x="256"/>
        <item m="1" x="228"/>
        <item x="72"/>
        <item x="104"/>
        <item m="1" x="216"/>
        <item m="1" x="147"/>
        <item m="1" x="279"/>
        <item m="1" x="246"/>
        <item x="63"/>
        <item m="1" x="174"/>
        <item x="10"/>
        <item m="1" x="148"/>
        <item m="1" x="232"/>
        <item m="1" x="275"/>
        <item m="1" x="316"/>
        <item m="1" x="319"/>
        <item m="1" x="209"/>
        <item m="1" x="314"/>
        <item m="1" x="299"/>
        <item m="1" x="202"/>
        <item x="17"/>
        <item m="1" x="285"/>
        <item m="1" x="151"/>
        <item x="13"/>
        <item m="1" x="220"/>
        <item m="1" x="257"/>
        <item m="1" x="152"/>
        <item m="1" x="241"/>
        <item m="1" x="295"/>
        <item m="1" x="632"/>
        <item m="1" x="630"/>
        <item m="1" x="254"/>
        <item m="1" x="251"/>
        <item m="1" x="222"/>
        <item x="91"/>
        <item m="1" x="166"/>
        <item m="1" x="236"/>
        <item x="4"/>
        <item m="1" x="234"/>
        <item m="1" x="244"/>
        <item m="1" x="240"/>
        <item m="1" x="631"/>
        <item m="1" x="278"/>
        <item m="1" x="262"/>
        <item m="1" x="237"/>
        <item m="1" x="274"/>
        <item m="1" x="218"/>
        <item m="1" x="263"/>
        <item m="1" x="175"/>
        <item m="1" x="250"/>
        <item m="1" x="635"/>
        <item m="1" x="268"/>
        <item m="1" x="300"/>
        <item m="1" x="223"/>
        <item m="1" x="219"/>
        <item m="1" x="170"/>
        <item m="1" x="284"/>
        <item m="1" x="323"/>
        <item m="1" x="226"/>
        <item x="1"/>
        <item m="1" x="242"/>
        <item m="1" x="154"/>
        <item m="1" x="177"/>
        <item m="1" x="204"/>
        <item m="1" x="227"/>
        <item m="1" x="270"/>
        <item m="1" x="291"/>
        <item m="1" x="271"/>
        <item m="1" x="264"/>
        <item m="1" x="293"/>
        <item x="19"/>
        <item m="1" x="298"/>
        <item m="1" x="311"/>
        <item m="1" x="231"/>
        <item m="1" x="265"/>
        <item m="1" x="224"/>
        <item m="1" x="303"/>
        <item x="38"/>
        <item m="1" x="308"/>
        <item m="1" x="146"/>
        <item m="1" x="310"/>
        <item m="1" x="260"/>
        <item m="1" x="221"/>
        <item m="1" x="304"/>
        <item m="1" x="238"/>
        <item m="1" x="292"/>
        <item m="1" x="150"/>
        <item m="1" x="636"/>
        <item m="1" x="233"/>
        <item m="1" x="286"/>
        <item x="2"/>
        <item m="1" x="165"/>
        <item x="0"/>
        <item m="1" x="324"/>
        <item m="1" x="325"/>
        <item x="43"/>
        <item m="1" x="326"/>
        <item m="1" x="327"/>
        <item m="1" x="328"/>
        <item m="1" x="180"/>
        <item m="1" x="329"/>
        <item x="131"/>
        <item m="1" x="330"/>
        <item m="1" x="331"/>
        <item m="1" x="332"/>
        <item x="39"/>
        <item m="1" x="333"/>
        <item m="1" x="173"/>
        <item m="1" x="307"/>
        <item m="1" x="335"/>
        <item m="1" x="336"/>
        <item x="85"/>
        <item m="1" x="337"/>
        <item m="1" x="338"/>
        <item m="1" x="339"/>
        <item m="1" x="340"/>
        <item m="1" x="341"/>
        <item m="1" x="342"/>
        <item m="1" x="343"/>
        <item m="1" x="344"/>
        <item m="1" x="213"/>
        <item m="1" x="345"/>
        <item m="1" x="346"/>
        <item m="1" x="347"/>
        <item m="1" x="348"/>
        <item m="1" x="349"/>
        <item m="1" x="350"/>
        <item x="7"/>
        <item m="1" x="351"/>
        <item m="1" x="155"/>
        <item m="1" x="352"/>
        <item m="1" x="353"/>
        <item m="1" x="354"/>
        <item m="1" x="355"/>
        <item m="1" x="356"/>
        <item m="1" x="357"/>
        <item m="1" x="358"/>
        <item m="1" x="359"/>
        <item m="1" x="360"/>
        <item m="1" x="361"/>
        <item m="1" x="362"/>
        <item x="30"/>
        <item m="1" x="365"/>
        <item m="1" x="366"/>
        <item m="1" x="367"/>
        <item m="1" x="368"/>
        <item m="1" x="369"/>
        <item m="1" x="370"/>
        <item m="1" x="371"/>
        <item m="1" x="372"/>
        <item x="26"/>
        <item m="1" x="373"/>
        <item m="1" x="374"/>
        <item m="1" x="375"/>
        <item m="1" x="376"/>
        <item m="1" x="377"/>
        <item m="1" x="378"/>
        <item m="1" x="379"/>
        <item m="1" x="380"/>
        <item x="18"/>
        <item m="1" x="381"/>
        <item m="1" x="382"/>
        <item m="1" x="384"/>
        <item m="1" x="385"/>
        <item m="1" x="386"/>
        <item m="1" x="305"/>
        <item m="1" x="320"/>
        <item m="1" x="321"/>
        <item m="1" x="334"/>
        <item m="1" x="364"/>
        <item m="1" x="387"/>
        <item m="1" x="217"/>
        <item m="1" x="184"/>
        <item x="33"/>
        <item m="1" x="388"/>
        <item x="22"/>
        <item m="1" x="389"/>
        <item m="1" x="390"/>
        <item m="1" x="391"/>
        <item m="1" x="392"/>
        <item m="1" x="393"/>
        <item m="1" x="394"/>
        <item m="1" x="395"/>
        <item m="1" x="396"/>
        <item m="1" x="397"/>
        <item m="1" x="398"/>
        <item m="1" x="401"/>
        <item m="1" x="402"/>
        <item m="1" x="403"/>
        <item m="1" x="404"/>
        <item m="1" x="405"/>
        <item m="1" x="406"/>
        <item m="1" x="407"/>
        <item m="1" x="408"/>
        <item m="1" x="409"/>
        <item m="1" x="410"/>
        <item m="1" x="411"/>
        <item m="1" x="412"/>
        <item m="1" x="413"/>
        <item m="1" x="414"/>
        <item m="1" x="415"/>
        <item x="5"/>
        <item m="1" x="416"/>
        <item m="1" x="417"/>
        <item m="1" x="418"/>
        <item x="57"/>
        <item m="1" x="419"/>
        <item x="103"/>
        <item x="59"/>
        <item m="1" x="420"/>
        <item m="1" x="421"/>
        <item m="1" x="422"/>
        <item m="1" x="423"/>
        <item m="1" x="424"/>
        <item x="42"/>
        <item m="1" x="426"/>
        <item x="142"/>
        <item m="1" x="427"/>
        <item m="1" x="428"/>
        <item m="1" x="429"/>
        <item m="1" x="430"/>
        <item m="1" x="431"/>
        <item m="1" x="432"/>
        <item m="1" x="433"/>
        <item m="1" x="434"/>
        <item m="1" x="435"/>
        <item x="141"/>
        <item m="1" x="438"/>
        <item m="1" x="439"/>
        <item m="1" x="440"/>
        <item m="1" x="442"/>
        <item m="1" x="443"/>
        <item m="1" x="444"/>
        <item m="1" x="633"/>
        <item m="1" x="634"/>
        <item m="1" x="445"/>
        <item m="1" x="446"/>
        <item m="1" x="447"/>
        <item m="1" x="448"/>
        <item m="1" x="449"/>
        <item m="1" x="450"/>
        <item m="1" x="451"/>
        <item m="1" x="281"/>
        <item m="1" x="267"/>
        <item x="14"/>
        <item m="1" x="273"/>
        <item m="1" x="363"/>
        <item m="1" x="399"/>
        <item m="1" x="400"/>
        <item m="1" x="436"/>
        <item m="1" x="437"/>
        <item m="1" x="453"/>
        <item m="1" x="454"/>
        <item m="1" x="455"/>
        <item m="1" x="456"/>
        <item m="1" x="457"/>
        <item m="1" x="458"/>
        <item m="1" x="459"/>
        <item m="1" x="460"/>
        <item m="1" x="461"/>
        <item m="1" x="462"/>
        <item m="1" x="463"/>
        <item m="1" x="464"/>
        <item m="1" x="466"/>
        <item m="1" x="467"/>
        <item m="1" x="468"/>
        <item m="1" x="469"/>
        <item m="1" x="470"/>
        <item m="1" x="471"/>
        <item m="1" x="452"/>
        <item x="23"/>
        <item m="1" x="472"/>
        <item m="1" x="473"/>
        <item m="1" x="474"/>
        <item m="1" x="203"/>
        <item x="118"/>
        <item m="1" x="476"/>
        <item m="1" x="477"/>
        <item m="1" x="478"/>
        <item m="1" x="383"/>
        <item m="1" x="145"/>
        <item m="1" x="479"/>
        <item m="1" x="480"/>
        <item m="1" x="481"/>
        <item m="1" x="482"/>
        <item m="1" x="483"/>
        <item m="1" x="194"/>
        <item m="1" x="484"/>
        <item m="1" x="485"/>
        <item m="1" x="486"/>
        <item m="1" x="487"/>
        <item m="1" x="488"/>
        <item m="1" x="489"/>
        <item m="1" x="490"/>
        <item x="68"/>
        <item m="1" x="492"/>
        <item m="1" x="493"/>
        <item m="1" x="494"/>
        <item m="1" x="495"/>
        <item m="1" x="496"/>
        <item m="1" x="153"/>
        <item m="1" x="491"/>
        <item m="1" x="497"/>
        <item m="1" x="498"/>
        <item m="1" x="499"/>
        <item m="1" x="210"/>
        <item m="1" x="500"/>
        <item m="1" x="501"/>
        <item m="1" x="185"/>
        <item m="1" x="504"/>
        <item x="66"/>
        <item m="1" x="510"/>
        <item m="1" x="511"/>
        <item m="1" x="508"/>
        <item m="1" x="509"/>
        <item m="1" x="512"/>
        <item m="1" x="513"/>
        <item m="1" x="503"/>
        <item m="1" x="514"/>
        <item m="1" x="502"/>
        <item m="1" x="515"/>
        <item m="1" x="516"/>
        <item m="1" x="517"/>
        <item m="1" x="505"/>
        <item m="1" x="506"/>
        <item m="1" x="507"/>
        <item m="1" x="518"/>
        <item m="1" x="519"/>
        <item m="1" x="197"/>
        <item m="1" x="520"/>
        <item m="1" x="521"/>
        <item m="1" x="522"/>
        <item m="1" x="523"/>
        <item m="1" x="157"/>
        <item m="1" x="158"/>
        <item m="1" x="159"/>
        <item m="1" x="160"/>
        <item m="1" x="161"/>
        <item m="1" x="162"/>
        <item m="1" x="163"/>
        <item x="73"/>
        <item m="1" x="164"/>
        <item x="3"/>
        <item m="1" x="171"/>
        <item m="1" x="172"/>
        <item m="1" x="176"/>
        <item m="1" x="178"/>
        <item x="28"/>
        <item m="1" x="179"/>
        <item m="1" x="182"/>
        <item m="1" x="183"/>
        <item m="1" x="186"/>
        <item m="1" x="188"/>
        <item m="1" x="189"/>
        <item m="1" x="190"/>
        <item m="1" x="191"/>
        <item m="1" x="192"/>
        <item m="1" x="193"/>
        <item m="1" x="195"/>
        <item m="1" x="198"/>
        <item m="1" x="199"/>
        <item m="1" x="200"/>
        <item m="1" x="205"/>
        <item m="1" x="206"/>
        <item m="1" x="207"/>
        <item m="1" x="208"/>
        <item m="1" x="211"/>
        <item m="1" x="212"/>
        <item m="1" x="214"/>
        <item m="1" x="215"/>
        <item m="1" x="272"/>
        <item m="1" x="425"/>
        <item m="1" x="441"/>
        <item m="1" x="465"/>
        <item m="1" x="475"/>
        <item m="1" x="524"/>
        <item x="55"/>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x="25"/>
        <item m="1" x="554"/>
        <item m="1" x="555"/>
        <item m="1" x="556"/>
        <item m="1" x="557"/>
        <item m="1" x="558"/>
        <item x="32"/>
        <item m="1" x="560"/>
        <item m="1" x="561"/>
        <item m="1" x="562"/>
        <item m="1" x="563"/>
        <item m="1" x="564"/>
        <item m="1" x="565"/>
        <item m="1" x="566"/>
        <item m="1" x="567"/>
        <item m="1" x="568"/>
        <item m="1" x="569"/>
        <item m="1" x="570"/>
        <item x="15"/>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x="94"/>
        <item m="1" x="601"/>
        <item m="1" x="602"/>
        <item m="1" x="603"/>
        <item m="1" x="604"/>
        <item m="1" x="605"/>
        <item x="86"/>
        <item x="6"/>
        <item m="1" x="606"/>
        <item m="1" x="607"/>
        <item m="1" x="608"/>
        <item m="1" x="609"/>
        <item m="1" x="610"/>
        <item m="1" x="611"/>
        <item x="20"/>
        <item m="1" x="612"/>
        <item m="1" x="613"/>
        <item m="1" x="614"/>
        <item m="1" x="615"/>
        <item m="1" x="616"/>
        <item m="1" x="617"/>
        <item m="1" x="618"/>
        <item m="1" x="619"/>
        <item m="1" x="620"/>
        <item m="1" x="621"/>
        <item m="1" x="622"/>
        <item m="1" x="623"/>
        <item m="1" x="624"/>
        <item m="1" x="625"/>
        <item m="1" x="626"/>
        <item m="1" x="627"/>
        <item m="1" x="628"/>
        <item m="1" x="629"/>
        <item x="11"/>
        <item x="12"/>
        <item x="21"/>
        <item x="24"/>
        <item x="29"/>
        <item x="31"/>
        <item x="35"/>
        <item x="36"/>
        <item x="37"/>
        <item x="40"/>
        <item x="41"/>
        <item x="44"/>
        <item x="45"/>
        <item x="48"/>
        <item x="50"/>
        <item x="52"/>
        <item x="53"/>
        <item x="56"/>
        <item x="58"/>
        <item x="60"/>
        <item x="61"/>
        <item x="62"/>
        <item x="64"/>
        <item x="65"/>
        <item x="67"/>
        <item x="69"/>
        <item x="70"/>
        <item x="71"/>
        <item x="74"/>
        <item x="75"/>
        <item x="76"/>
        <item x="77"/>
        <item x="78"/>
        <item x="79"/>
        <item x="80"/>
        <item x="81"/>
        <item x="82"/>
        <item x="83"/>
        <item x="84"/>
        <item x="87"/>
        <item x="88"/>
        <item x="89"/>
        <item x="90"/>
        <item x="92"/>
        <item x="93"/>
        <item x="95"/>
        <item x="96"/>
        <item x="97"/>
        <item x="98"/>
        <item x="99"/>
        <item x="100"/>
        <item x="101"/>
        <item x="102"/>
        <item x="105"/>
        <item x="106"/>
        <item x="107"/>
        <item x="108"/>
        <item x="109"/>
        <item x="110"/>
        <item x="111"/>
        <item x="112"/>
        <item x="113"/>
        <item x="114"/>
        <item x="115"/>
        <item x="116"/>
        <item x="117"/>
        <item x="119"/>
        <item x="120"/>
        <item x="122"/>
        <item x="123"/>
        <item x="124"/>
        <item x="125"/>
        <item x="126"/>
        <item x="127"/>
        <item x="129"/>
        <item x="130"/>
        <item x="132"/>
        <item x="133"/>
        <item x="134"/>
        <item x="136"/>
        <item x="137"/>
        <item x="139"/>
        <item x="140"/>
        <item x="143"/>
        <item x="144"/>
        <item t="default"/>
      </items>
    </pivotField>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45">
    <i>
      <x v="7"/>
    </i>
    <i>
      <x v="11"/>
    </i>
    <i>
      <x v="18"/>
    </i>
    <i>
      <x v="20"/>
    </i>
    <i>
      <x v="23"/>
    </i>
    <i>
      <x v="28"/>
    </i>
    <i>
      <x v="34"/>
    </i>
    <i>
      <x v="36"/>
    </i>
    <i>
      <x v="47"/>
    </i>
    <i>
      <x v="48"/>
    </i>
    <i>
      <x v="53"/>
    </i>
    <i>
      <x v="60"/>
    </i>
    <i>
      <x v="61"/>
    </i>
    <i>
      <x v="62"/>
    </i>
    <i>
      <x v="66"/>
    </i>
    <i>
      <x v="67"/>
    </i>
    <i>
      <x v="72"/>
    </i>
    <i>
      <x v="74"/>
    </i>
    <i>
      <x v="84"/>
    </i>
    <i>
      <x v="87"/>
    </i>
    <i>
      <x v="98"/>
    </i>
    <i>
      <x v="101"/>
    </i>
    <i>
      <x v="123"/>
    </i>
    <i>
      <x v="134"/>
    </i>
    <i>
      <x v="141"/>
    </i>
    <i>
      <x v="154"/>
    </i>
    <i>
      <x v="156"/>
    </i>
    <i>
      <x v="159"/>
    </i>
    <i>
      <x v="165"/>
    </i>
    <i>
      <x v="169"/>
    </i>
    <i>
      <x v="175"/>
    </i>
    <i>
      <x v="191"/>
    </i>
    <i>
      <x v="205"/>
    </i>
    <i>
      <x v="214"/>
    </i>
    <i>
      <x v="223"/>
    </i>
    <i>
      <x v="237"/>
    </i>
    <i>
      <x v="239"/>
    </i>
    <i>
      <x v="265"/>
    </i>
    <i>
      <x v="269"/>
    </i>
    <i>
      <x v="271"/>
    </i>
    <i>
      <x v="272"/>
    </i>
    <i>
      <x v="278"/>
    </i>
    <i>
      <x v="280"/>
    </i>
    <i>
      <x v="290"/>
    </i>
    <i>
      <x v="308"/>
    </i>
    <i>
      <x v="334"/>
    </i>
    <i>
      <x v="339"/>
    </i>
    <i>
      <x v="358"/>
    </i>
    <i>
      <x v="374"/>
    </i>
    <i>
      <x v="404"/>
    </i>
    <i>
      <x v="406"/>
    </i>
    <i>
      <x v="411"/>
    </i>
    <i>
      <x v="440"/>
    </i>
    <i>
      <x v="470"/>
    </i>
    <i>
      <x v="476"/>
    </i>
    <i>
      <x v="488"/>
    </i>
    <i>
      <x v="519"/>
    </i>
    <i>
      <x v="525"/>
    </i>
    <i>
      <x v="526"/>
    </i>
    <i>
      <x v="533"/>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rowItems>
  <colItems count="1">
    <i/>
  </colItems>
  <formats count="33">
    <format dxfId="138">
      <pivotArea type="all" dataOnly="0" outline="0" fieldPosition="0"/>
    </format>
    <format dxfId="137">
      <pivotArea outline="0" collapsedLevelsAreSubtotals="1" fieldPosition="0"/>
    </format>
    <format dxfId="136">
      <pivotArea field="12" type="button" dataOnly="0" labelOnly="1" outline="0" axis="axisRow" fieldPosition="0"/>
    </format>
    <format dxfId="135">
      <pivotArea dataOnly="0" labelOnly="1" fieldPosition="0">
        <references count="1">
          <reference field="12" count="10">
            <x v="8"/>
            <x v="20"/>
            <x v="28"/>
            <x v="61"/>
            <x v="87"/>
            <x v="90"/>
            <x v="96"/>
            <x v="98"/>
            <x v="114"/>
            <x v="117"/>
          </reference>
        </references>
      </pivotArea>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12" type="button" dataOnly="0" labelOnly="1" outline="0" axis="axisRow" fieldPosition="0"/>
    </format>
    <format dxfId="130">
      <pivotArea dataOnly="0" labelOnly="1" outline="0" axis="axisValues" fieldPosition="0"/>
    </format>
    <format dxfId="129">
      <pivotArea field="12" type="button" dataOnly="0" labelOnly="1" outline="0" axis="axisRow"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12" type="button" dataOnly="0" labelOnly="1" outline="0" axis="axisRow" fieldPosition="0"/>
    </format>
    <format dxfId="124">
      <pivotArea dataOnly="0" labelOnly="1" fieldPosition="0">
        <references count="1">
          <reference field="12" count="1">
            <x v="155"/>
          </reference>
        </references>
      </pivotArea>
    </format>
    <format dxfId="123">
      <pivotArea dataOnly="0" labelOnly="1" outline="0" axis="axisValues" fieldPosition="0"/>
    </format>
    <format dxfId="122">
      <pivotArea collapsedLevelsAreSubtotals="1" fieldPosition="0">
        <references count="1">
          <reference field="12" count="22">
            <x v="5"/>
            <x v="10"/>
            <x v="21"/>
            <x v="23"/>
            <x v="36"/>
            <x v="40"/>
            <x v="42"/>
            <x v="56"/>
            <x v="58"/>
            <x v="64"/>
            <x v="85"/>
            <x v="95"/>
            <x v="97"/>
            <x v="99"/>
            <x v="100"/>
            <x v="109"/>
            <x v="120"/>
            <x v="125"/>
            <x v="129"/>
            <x v="131"/>
            <x v="146"/>
            <x v="154"/>
          </reference>
        </references>
      </pivotArea>
    </format>
    <format dxfId="121">
      <pivotArea dataOnly="0" labelOnly="1" fieldPosition="0">
        <references count="1">
          <reference field="12" count="22">
            <x v="5"/>
            <x v="10"/>
            <x v="21"/>
            <x v="23"/>
            <x v="36"/>
            <x v="40"/>
            <x v="42"/>
            <x v="56"/>
            <x v="58"/>
            <x v="64"/>
            <x v="85"/>
            <x v="95"/>
            <x v="97"/>
            <x v="99"/>
            <x v="100"/>
            <x v="109"/>
            <x v="120"/>
            <x v="125"/>
            <x v="129"/>
            <x v="131"/>
            <x v="146"/>
            <x v="154"/>
          </reference>
        </references>
      </pivotArea>
    </format>
    <format dxfId="120">
      <pivotArea field="12" type="button" dataOnly="0" labelOnly="1" outline="0" axis="axisRow" fieldPosition="0"/>
    </format>
    <format dxfId="119">
      <pivotArea dataOnly="0" labelOnly="1" outline="0" axis="axisValues" fieldPosition="0"/>
    </format>
    <format dxfId="118">
      <pivotArea field="12" type="button" dataOnly="0" labelOnly="1" outline="0" axis="axisRow" fieldPosition="0"/>
    </format>
    <format dxfId="117">
      <pivotArea dataOnly="0" labelOnly="1" outline="0" axis="axisValues" fieldPosition="0"/>
    </format>
    <format dxfId="116">
      <pivotArea outline="0" collapsedLevelsAreSubtotals="1" fieldPosition="0"/>
    </format>
    <format dxfId="115">
      <pivotArea dataOnly="0" labelOnly="1" fieldPosition="0">
        <references count="1">
          <reference field="12" count="50">
            <x v="8"/>
            <x v="10"/>
            <x v="20"/>
            <x v="21"/>
            <x v="23"/>
            <x v="24"/>
            <x v="25"/>
            <x v="28"/>
            <x v="35"/>
            <x v="36"/>
            <x v="40"/>
            <x v="42"/>
            <x v="43"/>
            <x v="49"/>
            <x v="56"/>
            <x v="58"/>
            <x v="61"/>
            <x v="62"/>
            <x v="64"/>
            <x v="65"/>
            <x v="69"/>
            <x v="74"/>
            <x v="75"/>
            <x v="80"/>
            <x v="83"/>
            <x v="84"/>
            <x v="85"/>
            <x v="87"/>
            <x v="90"/>
            <x v="95"/>
            <x v="96"/>
            <x v="97"/>
            <x v="98"/>
            <x v="99"/>
            <x v="100"/>
            <x v="101"/>
            <x v="109"/>
            <x v="111"/>
            <x v="113"/>
            <x v="114"/>
            <x v="117"/>
            <x v="120"/>
            <x v="123"/>
            <x v="125"/>
            <x v="131"/>
            <x v="134"/>
            <x v="137"/>
            <x v="146"/>
            <x v="151"/>
            <x v="154"/>
          </reference>
        </references>
      </pivotArea>
    </format>
    <format dxfId="114">
      <pivotArea dataOnly="0" labelOnly="1" fieldPosition="0">
        <references count="1">
          <reference field="12" count="1">
            <x v="129"/>
          </reference>
        </references>
      </pivotArea>
    </format>
    <format dxfId="113">
      <pivotArea field="12" type="button" dataOnly="0" labelOnly="1" outline="0" axis="axisRow" fieldPosition="0"/>
    </format>
    <format dxfId="112">
      <pivotArea dataOnly="0" labelOnly="1" outline="0" axis="axisValues" fieldPosition="0"/>
    </format>
    <format dxfId="111">
      <pivotArea outline="0" collapsedLevelsAreSubtotals="1" fieldPosition="0"/>
    </format>
    <format dxfId="110">
      <pivotArea dataOnly="0" labelOnly="1" fieldPosition="0">
        <references count="1">
          <reference field="12" count="50">
            <x v="7"/>
            <x v="8"/>
            <x v="20"/>
            <x v="21"/>
            <x v="24"/>
            <x v="25"/>
            <x v="28"/>
            <x v="35"/>
            <x v="42"/>
            <x v="43"/>
            <x v="49"/>
            <x v="56"/>
            <x v="60"/>
            <x v="61"/>
            <x v="62"/>
            <x v="65"/>
            <x v="74"/>
            <x v="80"/>
            <x v="83"/>
            <x v="84"/>
            <x v="85"/>
            <x v="86"/>
            <x v="87"/>
            <x v="90"/>
            <x v="95"/>
            <x v="96"/>
            <x v="98"/>
            <x v="101"/>
            <x v="109"/>
            <x v="111"/>
            <x v="113"/>
            <x v="117"/>
            <x v="119"/>
            <x v="120"/>
            <x v="123"/>
            <x v="134"/>
            <x v="137"/>
            <x v="143"/>
            <x v="151"/>
            <x v="156"/>
            <x v="159"/>
            <x v="164"/>
            <x v="174"/>
            <x v="187"/>
            <x v="192"/>
            <x v="193"/>
            <x v="210"/>
            <x v="212"/>
            <x v="222"/>
            <x v="227"/>
          </reference>
        </references>
      </pivotArea>
    </format>
    <format dxfId="109">
      <pivotArea collapsedLevelsAreSubtotals="1" fieldPosition="0">
        <references count="1">
          <reference field="12" count="49">
            <x v="10"/>
            <x v="16"/>
            <x v="20"/>
            <x v="21"/>
            <x v="41"/>
            <x v="49"/>
            <x v="51"/>
            <x v="56"/>
            <x v="59"/>
            <x v="60"/>
            <x v="61"/>
            <x v="69"/>
            <x v="73"/>
            <x v="75"/>
            <x v="83"/>
            <x v="85"/>
            <x v="86"/>
            <x v="87"/>
            <x v="90"/>
            <x v="95"/>
            <x v="99"/>
            <x v="101"/>
            <x v="107"/>
            <x v="108"/>
            <x v="109"/>
            <x v="110"/>
            <x v="111"/>
            <x v="112"/>
            <x v="113"/>
            <x v="119"/>
            <x v="120"/>
            <x v="124"/>
            <x v="125"/>
            <x v="127"/>
            <x v="129"/>
            <x v="131"/>
            <x v="134"/>
            <x v="143"/>
            <x v="147"/>
            <x v="156"/>
            <x v="157"/>
            <x v="164"/>
            <x v="165"/>
            <x v="174"/>
            <x v="187"/>
            <x v="191"/>
            <x v="192"/>
            <x v="215"/>
            <x v="222"/>
          </reference>
        </references>
      </pivotArea>
    </format>
    <format dxfId="108">
      <pivotArea dataOnly="0" labelOnly="1" fieldPosition="0">
        <references count="1">
          <reference field="12" count="49">
            <x v="10"/>
            <x v="16"/>
            <x v="20"/>
            <x v="21"/>
            <x v="41"/>
            <x v="49"/>
            <x v="51"/>
            <x v="56"/>
            <x v="59"/>
            <x v="60"/>
            <x v="61"/>
            <x v="69"/>
            <x v="73"/>
            <x v="75"/>
            <x v="83"/>
            <x v="85"/>
            <x v="86"/>
            <x v="87"/>
            <x v="90"/>
            <x v="95"/>
            <x v="99"/>
            <x v="101"/>
            <x v="107"/>
            <x v="108"/>
            <x v="109"/>
            <x v="110"/>
            <x v="111"/>
            <x v="112"/>
            <x v="113"/>
            <x v="119"/>
            <x v="120"/>
            <x v="124"/>
            <x v="125"/>
            <x v="127"/>
            <x v="129"/>
            <x v="131"/>
            <x v="134"/>
            <x v="143"/>
            <x v="147"/>
            <x v="156"/>
            <x v="157"/>
            <x v="164"/>
            <x v="165"/>
            <x v="174"/>
            <x v="187"/>
            <x v="191"/>
            <x v="192"/>
            <x v="215"/>
            <x v="222"/>
          </reference>
        </references>
      </pivotArea>
    </format>
    <format dxfId="107">
      <pivotArea collapsedLevelsAreSubtotals="1" fieldPosition="0">
        <references count="1">
          <reference field="12" count="14">
            <x v="18"/>
            <x v="87"/>
            <x v="101"/>
            <x v="112"/>
            <x v="113"/>
            <x v="125"/>
            <x v="132"/>
            <x v="138"/>
            <x v="156"/>
            <x v="180"/>
            <x v="240"/>
            <x v="242"/>
            <x v="287"/>
            <x v="335"/>
          </reference>
        </references>
      </pivotArea>
    </format>
    <format dxfId="106">
      <pivotArea dataOnly="0" labelOnly="1" fieldPosition="0">
        <references count="1">
          <reference field="12" count="14">
            <x v="18"/>
            <x v="87"/>
            <x v="101"/>
            <x v="112"/>
            <x v="113"/>
            <x v="125"/>
            <x v="132"/>
            <x v="138"/>
            <x v="156"/>
            <x v="180"/>
            <x v="240"/>
            <x v="242"/>
            <x v="287"/>
            <x v="335"/>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B8FE27-5163-4C53-9CF7-D1679C647040}"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0:K28"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axis="axisRow" showAll="0">
      <items count="10">
        <item m="1" x="7"/>
        <item x="0"/>
        <item x="6"/>
        <item x="1"/>
        <item m="1" x="8"/>
        <item x="4"/>
        <item x="3"/>
        <item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8">
    <i>
      <x v="1"/>
    </i>
    <i>
      <x v="2"/>
    </i>
    <i>
      <x v="3"/>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F16151-C5FD-483B-BD88-7307945CAFB1}"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0:G31"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axis="axisRow" showAll="0">
      <items count="11">
        <item x="1"/>
        <item x="5"/>
        <item x="2"/>
        <item x="6"/>
        <item x="0"/>
        <item x="3"/>
        <item x="7"/>
        <item x="4"/>
        <item x="8"/>
        <item x="9"/>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AC2125-61F1-4A45-B825-A4339205ECB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0:E37" firstHeaderRow="1" firstDataRow="1" firstDataCol="0"/>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F40F85-0B01-4506-8612-0A643C114ECD}"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0:S26"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axis="axisRow" showAll="0">
      <items count="60">
        <item m="1" x="32"/>
        <item m="1" x="6"/>
        <item m="1" x="26"/>
        <item m="1" x="28"/>
        <item m="1" x="34"/>
        <item m="1" x="12"/>
        <item m="1" x="39"/>
        <item m="1" x="23"/>
        <item m="1" x="10"/>
        <item m="1" x="14"/>
        <item m="1" x="25"/>
        <item m="1" x="13"/>
        <item m="1" x="9"/>
        <item m="1" x="30"/>
        <item m="1" x="33"/>
        <item m="1" x="36"/>
        <item m="1" x="31"/>
        <item x="2"/>
        <item m="1" x="37"/>
        <item m="1" x="24"/>
        <item m="1" x="40"/>
        <item m="1" x="5"/>
        <item m="1" x="56"/>
        <item m="1" x="29"/>
        <item m="1" x="7"/>
        <item m="1" x="8"/>
        <item m="1" x="11"/>
        <item m="1" x="27"/>
        <item m="1" x="38"/>
        <item m="1" x="16"/>
        <item m="1" x="22"/>
        <item m="1" x="17"/>
        <item x="0"/>
        <item x="3"/>
        <item m="1" x="58"/>
        <item m="1" x="41"/>
        <item m="1" x="15"/>
        <item m="1" x="20"/>
        <item m="1" x="42"/>
        <item m="1" x="21"/>
        <item m="1" x="18"/>
        <item x="1"/>
        <item m="1" x="35"/>
        <item m="1" x="43"/>
        <item m="1" x="44"/>
        <item m="1" x="57"/>
        <item m="1" x="46"/>
        <item m="1" x="45"/>
        <item m="1" x="47"/>
        <item m="1" x="19"/>
        <item m="1" x="48"/>
        <item m="1" x="49"/>
        <item m="1" x="50"/>
        <item m="1" x="51"/>
        <item m="1" x="52"/>
        <item m="1" x="53"/>
        <item m="1" x="54"/>
        <item m="1" x="55"/>
        <item x="4"/>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v="17"/>
    </i>
    <i>
      <x v="32"/>
    </i>
    <i>
      <x v="33"/>
    </i>
    <i>
      <x v="41"/>
    </i>
    <i>
      <x v="5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47B74C-81FF-475E-A3BE-73F966BCE606}"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1" firstHeaderRow="0" firstDataRow="0" firstDataCol="0" rowPageCount="7" colPageCount="1"/>
  <pivotFields count="26">
    <pivotField axis="axisPage" showAll="0">
      <items count="13">
        <item x="3"/>
        <item x="1"/>
        <item m="1" x="8"/>
        <item x="4"/>
        <item x="0"/>
        <item m="1" x="11"/>
        <item m="1" x="10"/>
        <item m="1" x="7"/>
        <item x="5"/>
        <item m="1" x="9"/>
        <item x="2"/>
        <item x="6"/>
        <item t="default"/>
      </items>
    </pivotField>
    <pivotField axis="axisPage" multipleItemSelectionAllowed="1" showAll="0">
      <items count="105">
        <item m="1" x="63"/>
        <item m="1" x="48"/>
        <item x="13"/>
        <item m="1" x="27"/>
        <item m="1" x="20"/>
        <item m="1" x="45"/>
        <item m="1" x="35"/>
        <item m="1" x="66"/>
        <item x="12"/>
        <item m="1" x="28"/>
        <item m="1" x="50"/>
        <item m="1" x="60"/>
        <item m="1" x="26"/>
        <item m="1" x="21"/>
        <item m="1" x="46"/>
        <item m="1" x="41"/>
        <item m="1" x="56"/>
        <item m="1" x="29"/>
        <item m="1" x="62"/>
        <item x="9"/>
        <item m="1" x="67"/>
        <item m="1" x="36"/>
        <item x="10"/>
        <item x="6"/>
        <item x="8"/>
        <item m="1" x="32"/>
        <item m="1" x="61"/>
        <item m="1" x="51"/>
        <item m="1" x="34"/>
        <item m="1" x="59"/>
        <item m="1" x="25"/>
        <item x="15"/>
        <item m="1" x="53"/>
        <item m="1" x="65"/>
        <item m="1" x="52"/>
        <item m="1" x="24"/>
        <item m="1" x="31"/>
        <item x="11"/>
        <item m="1" x="55"/>
        <item m="1" x="57"/>
        <item x="14"/>
        <item x="16"/>
        <item m="1" x="30"/>
        <item m="1" x="54"/>
        <item x="4"/>
        <item m="1" x="58"/>
        <item m="1" x="39"/>
        <item m="1" x="22"/>
        <item m="1" x="43"/>
        <item m="1" x="103"/>
        <item x="18"/>
        <item x="0"/>
        <item m="1" x="47"/>
        <item x="7"/>
        <item m="1" x="73"/>
        <item m="1" x="68"/>
        <item m="1" x="69"/>
        <item m="1" x="40"/>
        <item m="1" x="70"/>
        <item m="1" x="102"/>
        <item m="1" x="23"/>
        <item x="3"/>
        <item m="1" x="42"/>
        <item m="1" x="44"/>
        <item x="17"/>
        <item m="1" x="71"/>
        <item m="1" x="72"/>
        <item m="1" x="75"/>
        <item m="1" x="76"/>
        <item m="1" x="77"/>
        <item m="1" x="64"/>
        <item m="1" x="78"/>
        <item m="1" x="74"/>
        <item m="1" x="79"/>
        <item m="1" x="80"/>
        <item m="1" x="81"/>
        <item m="1" x="38"/>
        <item x="5"/>
        <item m="1" x="84"/>
        <item m="1" x="82"/>
        <item m="1" x="83"/>
        <item m="1" x="85"/>
        <item m="1" x="86"/>
        <item m="1" x="87"/>
        <item m="1" x="89"/>
        <item m="1" x="37"/>
        <item m="1" x="90"/>
        <item x="1"/>
        <item m="1" x="92"/>
        <item m="1" x="33"/>
        <item m="1" x="49"/>
        <item m="1" x="88"/>
        <item m="1" x="91"/>
        <item m="1" x="93"/>
        <item m="1" x="94"/>
        <item m="1" x="95"/>
        <item m="1" x="96"/>
        <item m="1" x="97"/>
        <item m="1" x="98"/>
        <item m="1" x="99"/>
        <item m="1" x="100"/>
        <item m="1" x="101"/>
        <item x="2"/>
        <item x="19"/>
        <item t="default"/>
      </items>
    </pivotField>
    <pivotField showAll="0"/>
    <pivotField axis="axisPage" showAll="0">
      <items count="12">
        <item m="1" x="5"/>
        <item x="1"/>
        <item m="1" x="6"/>
        <item m="1" x="7"/>
        <item x="0"/>
        <item m="1" x="4"/>
        <item m="1" x="9"/>
        <item x="2"/>
        <item m="1" x="8"/>
        <item m="1" x="10"/>
        <item x="3"/>
        <item t="default"/>
      </items>
    </pivotField>
    <pivotField axis="axisPage" multipleItemSelectionAllowed="1" showAll="0">
      <items count="60">
        <item m="1" x="32"/>
        <item m="1" x="6"/>
        <item m="1" x="26"/>
        <item m="1" x="28"/>
        <item m="1" x="34"/>
        <item m="1" x="12"/>
        <item m="1" x="39"/>
        <item m="1" x="23"/>
        <item m="1" x="10"/>
        <item m="1" x="14"/>
        <item m="1" x="25"/>
        <item m="1" x="13"/>
        <item m="1" x="9"/>
        <item m="1" x="30"/>
        <item m="1" x="33"/>
        <item m="1" x="36"/>
        <item m="1" x="31"/>
        <item x="2"/>
        <item m="1" x="37"/>
        <item m="1" x="24"/>
        <item m="1" x="40"/>
        <item m="1" x="5"/>
        <item m="1" x="56"/>
        <item m="1" x="29"/>
        <item m="1" x="7"/>
        <item m="1" x="8"/>
        <item m="1" x="11"/>
        <item m="1" x="27"/>
        <item m="1" x="38"/>
        <item m="1" x="16"/>
        <item m="1" x="22"/>
        <item m="1" x="17"/>
        <item x="0"/>
        <item x="3"/>
        <item m="1" x="58"/>
        <item m="1" x="41"/>
        <item m="1" x="15"/>
        <item m="1" x="20"/>
        <item m="1" x="42"/>
        <item m="1" x="21"/>
        <item m="1" x="18"/>
        <item x="1"/>
        <item m="1" x="35"/>
        <item m="1" x="43"/>
        <item m="1" x="44"/>
        <item m="1" x="57"/>
        <item m="1" x="46"/>
        <item m="1" x="45"/>
        <item m="1" x="47"/>
        <item m="1" x="19"/>
        <item m="1" x="48"/>
        <item m="1" x="49"/>
        <item m="1" x="50"/>
        <item m="1" x="51"/>
        <item m="1" x="52"/>
        <item m="1" x="53"/>
        <item m="1" x="54"/>
        <item m="1" x="55"/>
        <item x="4"/>
        <item t="default"/>
      </items>
    </pivotField>
    <pivotField showAll="0"/>
    <pivotField axis="axisPage" showAll="0">
      <items count="11">
        <item x="1"/>
        <item x="5"/>
        <item x="2"/>
        <item x="6"/>
        <item x="0"/>
        <item x="3"/>
        <item x="7"/>
        <item x="4"/>
        <item x="8"/>
        <item x="9"/>
        <item t="default"/>
      </items>
    </pivotField>
    <pivotField axis="axisPage" showAll="0">
      <items count="59">
        <item x="43"/>
        <item x="30"/>
        <item x="9"/>
        <item m="1" x="51"/>
        <item x="24"/>
        <item x="19"/>
        <item x="33"/>
        <item m="1" x="50"/>
        <item x="21"/>
        <item x="5"/>
        <item x="31"/>
        <item m="1" x="52"/>
        <item x="4"/>
        <item x="32"/>
        <item x="1"/>
        <item x="7"/>
        <item x="16"/>
        <item m="1" x="48"/>
        <item x="18"/>
        <item x="0"/>
        <item x="28"/>
        <item x="26"/>
        <item x="41"/>
        <item m="1" x="53"/>
        <item x="12"/>
        <item x="40"/>
        <item x="25"/>
        <item x="11"/>
        <item x="17"/>
        <item x="3"/>
        <item x="39"/>
        <item x="29"/>
        <item x="23"/>
        <item x="22"/>
        <item x="20"/>
        <item x="34"/>
        <item x="14"/>
        <item x="38"/>
        <item x="10"/>
        <item m="1" x="49"/>
        <item x="35"/>
        <item m="1" x="47"/>
        <item m="1" x="46"/>
        <item x="36"/>
        <item x="15"/>
        <item x="27"/>
        <item x="42"/>
        <item x="2"/>
        <item x="37"/>
        <item m="1" x="54"/>
        <item m="1" x="55"/>
        <item x="13"/>
        <item m="1" x="56"/>
        <item m="1" x="57"/>
        <item x="6"/>
        <item x="8"/>
        <item x="44"/>
        <item x="45"/>
        <item t="default"/>
      </items>
    </pivotField>
    <pivotField showAll="0"/>
    <pivotField showAll="0"/>
    <pivotField showAll="0"/>
    <pivotField showAll="0"/>
    <pivotField showAll="0"/>
    <pivotField axis="axisPage" multipleItemSelectionAllowed="1" showAll="0">
      <items count="10">
        <item m="1" x="7"/>
        <item x="0"/>
        <item x="6"/>
        <item x="1"/>
        <item m="1" x="8"/>
        <item x="4"/>
        <item x="3"/>
        <item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pageFields count="7">
    <pageField fld="0" hier="-1"/>
    <pageField fld="1" hier="-1"/>
    <pageField fld="3" hier="-1"/>
    <pageField fld="4" hier="-1"/>
    <pageField fld="6" hier="-1"/>
    <pageField fld="7" hier="-1"/>
    <pageField fld="1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5F0416-9402-41F2-A406-AE9708523922}"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20:O41" firstHeaderRow="1" firstDataRow="1" firstDataCol="1"/>
  <pivotFields count="26">
    <pivotField showAll="0">
      <items count="13">
        <item x="6"/>
        <item x="3"/>
        <item x="1"/>
        <item m="1" x="9"/>
        <item m="1" x="8"/>
        <item x="4"/>
        <item x="0"/>
        <item m="1" x="11"/>
        <item m="1" x="10"/>
        <item m="1" x="7"/>
        <item x="2"/>
        <item x="5"/>
        <item t="default"/>
      </items>
    </pivotField>
    <pivotField axis="axisRow" showAll="0">
      <items count="105">
        <item m="1" x="63"/>
        <item m="1" x="48"/>
        <item x="13"/>
        <item m="1" x="27"/>
        <item m="1" x="20"/>
        <item m="1" x="45"/>
        <item m="1" x="35"/>
        <item m="1" x="66"/>
        <item x="12"/>
        <item m="1" x="28"/>
        <item m="1" x="50"/>
        <item m="1" x="60"/>
        <item m="1" x="26"/>
        <item m="1" x="21"/>
        <item m="1" x="46"/>
        <item m="1" x="41"/>
        <item m="1" x="56"/>
        <item m="1" x="29"/>
        <item m="1" x="62"/>
        <item x="9"/>
        <item m="1" x="67"/>
        <item m="1" x="36"/>
        <item x="10"/>
        <item x="6"/>
        <item x="8"/>
        <item m="1" x="32"/>
        <item m="1" x="61"/>
        <item m="1" x="51"/>
        <item m="1" x="34"/>
        <item m="1" x="59"/>
        <item m="1" x="25"/>
        <item x="15"/>
        <item m="1" x="53"/>
        <item m="1" x="65"/>
        <item m="1" x="52"/>
        <item m="1" x="24"/>
        <item m="1" x="31"/>
        <item x="11"/>
        <item m="1" x="55"/>
        <item m="1" x="57"/>
        <item x="14"/>
        <item x="16"/>
        <item m="1" x="30"/>
        <item m="1" x="54"/>
        <item x="4"/>
        <item m="1" x="58"/>
        <item m="1" x="39"/>
        <item m="1" x="22"/>
        <item m="1" x="43"/>
        <item m="1" x="103"/>
        <item x="18"/>
        <item x="0"/>
        <item m="1" x="47"/>
        <item x="7"/>
        <item m="1" x="73"/>
        <item m="1" x="68"/>
        <item m="1" x="69"/>
        <item m="1" x="40"/>
        <item m="1" x="70"/>
        <item m="1" x="102"/>
        <item m="1" x="23"/>
        <item x="3"/>
        <item m="1" x="42"/>
        <item m="1" x="44"/>
        <item x="17"/>
        <item m="1" x="71"/>
        <item m="1" x="72"/>
        <item m="1" x="75"/>
        <item m="1" x="76"/>
        <item m="1" x="77"/>
        <item m="1" x="64"/>
        <item m="1" x="78"/>
        <item m="1" x="74"/>
        <item m="1" x="79"/>
        <item m="1" x="80"/>
        <item m="1" x="81"/>
        <item m="1" x="38"/>
        <item x="5"/>
        <item m="1" x="84"/>
        <item m="1" x="82"/>
        <item m="1" x="83"/>
        <item m="1" x="85"/>
        <item m="1" x="86"/>
        <item m="1" x="87"/>
        <item m="1" x="89"/>
        <item m="1" x="37"/>
        <item m="1" x="90"/>
        <item x="1"/>
        <item m="1" x="92"/>
        <item m="1" x="33"/>
        <item m="1" x="49"/>
        <item m="1" x="88"/>
        <item m="1" x="91"/>
        <item m="1" x="93"/>
        <item m="1" x="94"/>
        <item m="1" x="95"/>
        <item m="1" x="96"/>
        <item m="1" x="97"/>
        <item m="1" x="98"/>
        <item m="1" x="99"/>
        <item m="1" x="100"/>
        <item m="1" x="101"/>
        <item x="2"/>
        <item x="19"/>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1">
    <i>
      <x v="2"/>
    </i>
    <i>
      <x v="8"/>
    </i>
    <i>
      <x v="19"/>
    </i>
    <i>
      <x v="22"/>
    </i>
    <i>
      <x v="23"/>
    </i>
    <i>
      <x v="24"/>
    </i>
    <i>
      <x v="31"/>
    </i>
    <i>
      <x v="37"/>
    </i>
    <i>
      <x v="40"/>
    </i>
    <i>
      <x v="41"/>
    </i>
    <i>
      <x v="44"/>
    </i>
    <i>
      <x v="50"/>
    </i>
    <i>
      <x v="51"/>
    </i>
    <i>
      <x v="53"/>
    </i>
    <i>
      <x v="61"/>
    </i>
    <i>
      <x v="64"/>
    </i>
    <i>
      <x v="77"/>
    </i>
    <i>
      <x v="87"/>
    </i>
    <i>
      <x v="102"/>
    </i>
    <i>
      <x v="10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13EB6D-779B-48EF-A7D1-9F6E22B6A700}"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20:Y166"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axis="axisRow" showAll="0">
      <items count="638">
        <item m="1" x="290"/>
        <item m="1" x="296"/>
        <item m="1" x="288"/>
        <item m="1" x="309"/>
        <item m="1" x="258"/>
        <item m="1" x="282"/>
        <item m="1" x="261"/>
        <item x="46"/>
        <item m="1" x="294"/>
        <item m="1" x="280"/>
        <item m="1" x="269"/>
        <item x="128"/>
        <item m="1" x="149"/>
        <item m="1" x="168"/>
        <item m="1" x="301"/>
        <item m="1" x="317"/>
        <item m="1" x="312"/>
        <item m="1" x="297"/>
        <item x="138"/>
        <item m="1" x="201"/>
        <item x="8"/>
        <item m="1" x="187"/>
        <item m="1" x="156"/>
        <item x="27"/>
        <item m="1" x="239"/>
        <item m="1" x="235"/>
        <item m="1" x="266"/>
        <item m="1" x="255"/>
        <item x="34"/>
        <item m="1" x="248"/>
        <item m="1" x="243"/>
        <item m="1" x="313"/>
        <item m="1" x="322"/>
        <item m="1" x="287"/>
        <item x="16"/>
        <item m="1" x="230"/>
        <item x="47"/>
        <item m="1" x="225"/>
        <item m="1" x="315"/>
        <item m="1" x="247"/>
        <item m="1" x="167"/>
        <item m="1" x="283"/>
        <item m="1" x="181"/>
        <item m="1" x="277"/>
        <item m="1" x="318"/>
        <item m="1" x="276"/>
        <item m="1" x="559"/>
        <item x="121"/>
        <item x="49"/>
        <item m="1" x="169"/>
        <item m="1" x="302"/>
        <item m="1" x="249"/>
        <item m="1" x="306"/>
        <item x="135"/>
        <item m="1" x="196"/>
        <item m="1" x="259"/>
        <item m="1" x="289"/>
        <item m="1" x="253"/>
        <item m="1" x="229"/>
        <item m="1" x="252"/>
        <item x="51"/>
        <item x="9"/>
        <item x="54"/>
        <item m="1" x="245"/>
        <item m="1" x="256"/>
        <item m="1" x="228"/>
        <item x="72"/>
        <item x="104"/>
        <item m="1" x="216"/>
        <item m="1" x="147"/>
        <item m="1" x="279"/>
        <item m="1" x="246"/>
        <item x="63"/>
        <item m="1" x="174"/>
        <item x="10"/>
        <item m="1" x="148"/>
        <item m="1" x="232"/>
        <item m="1" x="275"/>
        <item m="1" x="316"/>
        <item m="1" x="319"/>
        <item m="1" x="209"/>
        <item m="1" x="314"/>
        <item m="1" x="299"/>
        <item m="1" x="202"/>
        <item x="17"/>
        <item m="1" x="285"/>
        <item m="1" x="151"/>
        <item x="13"/>
        <item m="1" x="220"/>
        <item m="1" x="257"/>
        <item m="1" x="152"/>
        <item m="1" x="241"/>
        <item m="1" x="295"/>
        <item m="1" x="632"/>
        <item m="1" x="630"/>
        <item m="1" x="254"/>
        <item m="1" x="251"/>
        <item m="1" x="222"/>
        <item x="91"/>
        <item m="1" x="166"/>
        <item m="1" x="236"/>
        <item x="4"/>
        <item m="1" x="234"/>
        <item m="1" x="244"/>
        <item m="1" x="240"/>
        <item m="1" x="631"/>
        <item m="1" x="278"/>
        <item m="1" x="262"/>
        <item m="1" x="237"/>
        <item m="1" x="274"/>
        <item m="1" x="218"/>
        <item m="1" x="263"/>
        <item m="1" x="175"/>
        <item m="1" x="250"/>
        <item m="1" x="635"/>
        <item m="1" x="268"/>
        <item m="1" x="300"/>
        <item m="1" x="223"/>
        <item m="1" x="219"/>
        <item m="1" x="170"/>
        <item m="1" x="284"/>
        <item m="1" x="323"/>
        <item m="1" x="226"/>
        <item x="1"/>
        <item m="1" x="242"/>
        <item m="1" x="154"/>
        <item m="1" x="177"/>
        <item m="1" x="204"/>
        <item m="1" x="227"/>
        <item m="1" x="270"/>
        <item m="1" x="291"/>
        <item m="1" x="271"/>
        <item m="1" x="264"/>
        <item m="1" x="293"/>
        <item x="19"/>
        <item m="1" x="298"/>
        <item m="1" x="311"/>
        <item m="1" x="231"/>
        <item m="1" x="265"/>
        <item m="1" x="224"/>
        <item m="1" x="303"/>
        <item x="38"/>
        <item m="1" x="308"/>
        <item m="1" x="146"/>
        <item m="1" x="310"/>
        <item m="1" x="260"/>
        <item m="1" x="221"/>
        <item m="1" x="304"/>
        <item m="1" x="238"/>
        <item m="1" x="292"/>
        <item m="1" x="150"/>
        <item m="1" x="636"/>
        <item m="1" x="233"/>
        <item m="1" x="286"/>
        <item x="2"/>
        <item m="1" x="165"/>
        <item x="0"/>
        <item m="1" x="324"/>
        <item m="1" x="325"/>
        <item x="43"/>
        <item m="1" x="326"/>
        <item m="1" x="327"/>
        <item m="1" x="328"/>
        <item m="1" x="180"/>
        <item m="1" x="329"/>
        <item x="131"/>
        <item m="1" x="330"/>
        <item m="1" x="331"/>
        <item m="1" x="332"/>
        <item x="39"/>
        <item m="1" x="333"/>
        <item m="1" x="173"/>
        <item m="1" x="307"/>
        <item m="1" x="335"/>
        <item m="1" x="336"/>
        <item x="85"/>
        <item m="1" x="337"/>
        <item m="1" x="338"/>
        <item m="1" x="339"/>
        <item m="1" x="340"/>
        <item m="1" x="341"/>
        <item m="1" x="342"/>
        <item m="1" x="343"/>
        <item m="1" x="344"/>
        <item m="1" x="213"/>
        <item m="1" x="345"/>
        <item m="1" x="346"/>
        <item m="1" x="347"/>
        <item m="1" x="348"/>
        <item m="1" x="349"/>
        <item m="1" x="350"/>
        <item x="7"/>
        <item m="1" x="351"/>
        <item m="1" x="155"/>
        <item m="1" x="352"/>
        <item m="1" x="353"/>
        <item m="1" x="354"/>
        <item m="1" x="355"/>
        <item m="1" x="356"/>
        <item m="1" x="357"/>
        <item m="1" x="358"/>
        <item m="1" x="359"/>
        <item m="1" x="360"/>
        <item m="1" x="361"/>
        <item m="1" x="362"/>
        <item x="30"/>
        <item m="1" x="365"/>
        <item m="1" x="366"/>
        <item m="1" x="367"/>
        <item m="1" x="368"/>
        <item m="1" x="369"/>
        <item m="1" x="370"/>
        <item m="1" x="371"/>
        <item m="1" x="372"/>
        <item x="26"/>
        <item m="1" x="373"/>
        <item m="1" x="374"/>
        <item m="1" x="375"/>
        <item m="1" x="376"/>
        <item m="1" x="377"/>
        <item m="1" x="378"/>
        <item m="1" x="379"/>
        <item m="1" x="380"/>
        <item x="18"/>
        <item m="1" x="381"/>
        <item m="1" x="382"/>
        <item m="1" x="384"/>
        <item m="1" x="385"/>
        <item m="1" x="386"/>
        <item m="1" x="305"/>
        <item m="1" x="320"/>
        <item m="1" x="321"/>
        <item m="1" x="334"/>
        <item m="1" x="364"/>
        <item m="1" x="387"/>
        <item m="1" x="217"/>
        <item m="1" x="184"/>
        <item x="33"/>
        <item m="1" x="388"/>
        <item x="22"/>
        <item m="1" x="389"/>
        <item m="1" x="390"/>
        <item m="1" x="391"/>
        <item m="1" x="392"/>
        <item m="1" x="393"/>
        <item m="1" x="394"/>
        <item m="1" x="395"/>
        <item m="1" x="396"/>
        <item m="1" x="397"/>
        <item m="1" x="398"/>
        <item m="1" x="401"/>
        <item m="1" x="402"/>
        <item m="1" x="403"/>
        <item m="1" x="404"/>
        <item m="1" x="405"/>
        <item m="1" x="406"/>
        <item m="1" x="407"/>
        <item m="1" x="408"/>
        <item m="1" x="409"/>
        <item m="1" x="410"/>
        <item m="1" x="411"/>
        <item m="1" x="412"/>
        <item m="1" x="413"/>
        <item m="1" x="414"/>
        <item m="1" x="415"/>
        <item x="5"/>
        <item m="1" x="416"/>
        <item m="1" x="417"/>
        <item m="1" x="418"/>
        <item x="57"/>
        <item m="1" x="419"/>
        <item x="103"/>
        <item x="59"/>
        <item m="1" x="420"/>
        <item m="1" x="421"/>
        <item m="1" x="422"/>
        <item m="1" x="423"/>
        <item m="1" x="424"/>
        <item x="42"/>
        <item m="1" x="426"/>
        <item x="142"/>
        <item m="1" x="427"/>
        <item m="1" x="428"/>
        <item m="1" x="429"/>
        <item m="1" x="430"/>
        <item m="1" x="431"/>
        <item m="1" x="432"/>
        <item m="1" x="433"/>
        <item m="1" x="434"/>
        <item m="1" x="435"/>
        <item x="141"/>
        <item m="1" x="438"/>
        <item m="1" x="439"/>
        <item m="1" x="440"/>
        <item m="1" x="442"/>
        <item m="1" x="443"/>
        <item m="1" x="444"/>
        <item m="1" x="633"/>
        <item m="1" x="634"/>
        <item m="1" x="445"/>
        <item m="1" x="446"/>
        <item m="1" x="447"/>
        <item m="1" x="448"/>
        <item m="1" x="449"/>
        <item m="1" x="450"/>
        <item m="1" x="451"/>
        <item m="1" x="281"/>
        <item m="1" x="267"/>
        <item x="14"/>
        <item m="1" x="273"/>
        <item m="1" x="363"/>
        <item m="1" x="399"/>
        <item m="1" x="400"/>
        <item m="1" x="436"/>
        <item m="1" x="437"/>
        <item m="1" x="453"/>
        <item m="1" x="454"/>
        <item m="1" x="455"/>
        <item m="1" x="456"/>
        <item m="1" x="457"/>
        <item m="1" x="458"/>
        <item m="1" x="459"/>
        <item m="1" x="460"/>
        <item m="1" x="461"/>
        <item m="1" x="462"/>
        <item m="1" x="463"/>
        <item m="1" x="464"/>
        <item m="1" x="466"/>
        <item m="1" x="467"/>
        <item m="1" x="468"/>
        <item m="1" x="469"/>
        <item m="1" x="470"/>
        <item m="1" x="471"/>
        <item m="1" x="452"/>
        <item x="23"/>
        <item m="1" x="472"/>
        <item m="1" x="473"/>
        <item m="1" x="474"/>
        <item m="1" x="203"/>
        <item x="118"/>
        <item m="1" x="476"/>
        <item m="1" x="477"/>
        <item m="1" x="478"/>
        <item m="1" x="383"/>
        <item m="1" x="145"/>
        <item m="1" x="479"/>
        <item m="1" x="480"/>
        <item m="1" x="481"/>
        <item m="1" x="482"/>
        <item m="1" x="483"/>
        <item m="1" x="194"/>
        <item m="1" x="484"/>
        <item m="1" x="485"/>
        <item m="1" x="486"/>
        <item m="1" x="487"/>
        <item m="1" x="488"/>
        <item m="1" x="489"/>
        <item m="1" x="490"/>
        <item x="68"/>
        <item m="1" x="492"/>
        <item m="1" x="493"/>
        <item m="1" x="494"/>
        <item m="1" x="495"/>
        <item m="1" x="496"/>
        <item m="1" x="153"/>
        <item m="1" x="491"/>
        <item m="1" x="497"/>
        <item m="1" x="498"/>
        <item m="1" x="499"/>
        <item m="1" x="210"/>
        <item m="1" x="500"/>
        <item m="1" x="501"/>
        <item m="1" x="185"/>
        <item m="1" x="504"/>
        <item x="66"/>
        <item m="1" x="510"/>
        <item m="1" x="511"/>
        <item m="1" x="508"/>
        <item m="1" x="509"/>
        <item m="1" x="512"/>
        <item m="1" x="513"/>
        <item m="1" x="503"/>
        <item m="1" x="514"/>
        <item m="1" x="502"/>
        <item m="1" x="515"/>
        <item m="1" x="516"/>
        <item m="1" x="517"/>
        <item m="1" x="505"/>
        <item m="1" x="506"/>
        <item m="1" x="507"/>
        <item m="1" x="518"/>
        <item m="1" x="519"/>
        <item m="1" x="197"/>
        <item m="1" x="520"/>
        <item m="1" x="521"/>
        <item m="1" x="522"/>
        <item m="1" x="523"/>
        <item m="1" x="157"/>
        <item m="1" x="158"/>
        <item m="1" x="159"/>
        <item m="1" x="160"/>
        <item m="1" x="161"/>
        <item m="1" x="162"/>
        <item m="1" x="163"/>
        <item x="73"/>
        <item m="1" x="164"/>
        <item x="3"/>
        <item m="1" x="171"/>
        <item m="1" x="172"/>
        <item m="1" x="176"/>
        <item m="1" x="178"/>
        <item x="28"/>
        <item m="1" x="179"/>
        <item m="1" x="182"/>
        <item m="1" x="183"/>
        <item m="1" x="186"/>
        <item m="1" x="188"/>
        <item m="1" x="189"/>
        <item m="1" x="190"/>
        <item m="1" x="191"/>
        <item m="1" x="192"/>
        <item m="1" x="193"/>
        <item m="1" x="195"/>
        <item m="1" x="198"/>
        <item m="1" x="199"/>
        <item m="1" x="200"/>
        <item m="1" x="205"/>
        <item m="1" x="206"/>
        <item m="1" x="207"/>
        <item m="1" x="208"/>
        <item m="1" x="211"/>
        <item m="1" x="212"/>
        <item m="1" x="214"/>
        <item m="1" x="215"/>
        <item m="1" x="272"/>
        <item m="1" x="425"/>
        <item m="1" x="441"/>
        <item m="1" x="465"/>
        <item m="1" x="475"/>
        <item m="1" x="524"/>
        <item x="55"/>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x="25"/>
        <item m="1" x="554"/>
        <item m="1" x="555"/>
        <item m="1" x="556"/>
        <item m="1" x="557"/>
        <item m="1" x="558"/>
        <item x="32"/>
        <item m="1" x="560"/>
        <item m="1" x="561"/>
        <item m="1" x="562"/>
        <item m="1" x="563"/>
        <item m="1" x="564"/>
        <item m="1" x="565"/>
        <item m="1" x="566"/>
        <item m="1" x="567"/>
        <item m="1" x="568"/>
        <item m="1" x="569"/>
        <item m="1" x="570"/>
        <item x="15"/>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x="94"/>
        <item m="1" x="601"/>
        <item m="1" x="602"/>
        <item m="1" x="603"/>
        <item m="1" x="604"/>
        <item m="1" x="605"/>
        <item x="86"/>
        <item x="6"/>
        <item m="1" x="606"/>
        <item m="1" x="607"/>
        <item m="1" x="608"/>
        <item m="1" x="609"/>
        <item m="1" x="610"/>
        <item m="1" x="611"/>
        <item x="20"/>
        <item m="1" x="612"/>
        <item m="1" x="613"/>
        <item m="1" x="614"/>
        <item m="1" x="615"/>
        <item m="1" x="616"/>
        <item m="1" x="617"/>
        <item m="1" x="618"/>
        <item m="1" x="619"/>
        <item m="1" x="620"/>
        <item m="1" x="621"/>
        <item m="1" x="622"/>
        <item m="1" x="623"/>
        <item m="1" x="624"/>
        <item m="1" x="625"/>
        <item m="1" x="626"/>
        <item m="1" x="627"/>
        <item m="1" x="628"/>
        <item m="1" x="629"/>
        <item x="11"/>
        <item x="12"/>
        <item x="21"/>
        <item x="24"/>
        <item x="29"/>
        <item x="31"/>
        <item x="35"/>
        <item x="36"/>
        <item x="37"/>
        <item x="40"/>
        <item x="41"/>
        <item x="44"/>
        <item x="45"/>
        <item x="48"/>
        <item x="50"/>
        <item x="52"/>
        <item x="53"/>
        <item x="56"/>
        <item x="58"/>
        <item x="60"/>
        <item x="61"/>
        <item x="62"/>
        <item x="64"/>
        <item x="65"/>
        <item x="67"/>
        <item x="69"/>
        <item x="70"/>
        <item x="71"/>
        <item x="74"/>
        <item x="75"/>
        <item x="76"/>
        <item x="77"/>
        <item x="78"/>
        <item x="79"/>
        <item x="80"/>
        <item x="81"/>
        <item x="82"/>
        <item x="83"/>
        <item x="84"/>
        <item x="87"/>
        <item x="88"/>
        <item x="89"/>
        <item x="90"/>
        <item x="92"/>
        <item x="93"/>
        <item x="95"/>
        <item x="96"/>
        <item x="97"/>
        <item x="98"/>
        <item x="99"/>
        <item x="100"/>
        <item x="101"/>
        <item x="102"/>
        <item x="105"/>
        <item x="106"/>
        <item x="107"/>
        <item x="108"/>
        <item x="109"/>
        <item x="110"/>
        <item x="111"/>
        <item x="112"/>
        <item x="113"/>
        <item x="114"/>
        <item x="115"/>
        <item x="116"/>
        <item x="117"/>
        <item x="119"/>
        <item x="120"/>
        <item x="122"/>
        <item x="123"/>
        <item x="124"/>
        <item x="125"/>
        <item x="126"/>
        <item x="127"/>
        <item x="129"/>
        <item x="130"/>
        <item x="132"/>
        <item x="133"/>
        <item x="134"/>
        <item x="136"/>
        <item x="137"/>
        <item x="139"/>
        <item x="140"/>
        <item x="143"/>
        <item x="144"/>
        <item t="default"/>
      </items>
    </pivotField>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46">
    <i>
      <x v="7"/>
    </i>
    <i>
      <x v="11"/>
    </i>
    <i>
      <x v="18"/>
    </i>
    <i>
      <x v="20"/>
    </i>
    <i>
      <x v="23"/>
    </i>
    <i>
      <x v="28"/>
    </i>
    <i>
      <x v="34"/>
    </i>
    <i>
      <x v="36"/>
    </i>
    <i>
      <x v="47"/>
    </i>
    <i>
      <x v="48"/>
    </i>
    <i>
      <x v="53"/>
    </i>
    <i>
      <x v="60"/>
    </i>
    <i>
      <x v="61"/>
    </i>
    <i>
      <x v="62"/>
    </i>
    <i>
      <x v="66"/>
    </i>
    <i>
      <x v="67"/>
    </i>
    <i>
      <x v="72"/>
    </i>
    <i>
      <x v="74"/>
    </i>
    <i>
      <x v="84"/>
    </i>
    <i>
      <x v="87"/>
    </i>
    <i>
      <x v="98"/>
    </i>
    <i>
      <x v="101"/>
    </i>
    <i>
      <x v="123"/>
    </i>
    <i>
      <x v="134"/>
    </i>
    <i>
      <x v="141"/>
    </i>
    <i>
      <x v="154"/>
    </i>
    <i>
      <x v="156"/>
    </i>
    <i>
      <x v="159"/>
    </i>
    <i>
      <x v="165"/>
    </i>
    <i>
      <x v="169"/>
    </i>
    <i>
      <x v="175"/>
    </i>
    <i>
      <x v="191"/>
    </i>
    <i>
      <x v="205"/>
    </i>
    <i>
      <x v="214"/>
    </i>
    <i>
      <x v="223"/>
    </i>
    <i>
      <x v="237"/>
    </i>
    <i>
      <x v="239"/>
    </i>
    <i>
      <x v="265"/>
    </i>
    <i>
      <x v="269"/>
    </i>
    <i>
      <x v="271"/>
    </i>
    <i>
      <x v="272"/>
    </i>
    <i>
      <x v="278"/>
    </i>
    <i>
      <x v="280"/>
    </i>
    <i>
      <x v="290"/>
    </i>
    <i>
      <x v="308"/>
    </i>
    <i>
      <x v="334"/>
    </i>
    <i>
      <x v="339"/>
    </i>
    <i>
      <x v="358"/>
    </i>
    <i>
      <x v="374"/>
    </i>
    <i>
      <x v="404"/>
    </i>
    <i>
      <x v="406"/>
    </i>
    <i>
      <x v="411"/>
    </i>
    <i>
      <x v="440"/>
    </i>
    <i>
      <x v="470"/>
    </i>
    <i>
      <x v="476"/>
    </i>
    <i>
      <x v="488"/>
    </i>
    <i>
      <x v="519"/>
    </i>
    <i>
      <x v="525"/>
    </i>
    <i>
      <x v="526"/>
    </i>
    <i>
      <x v="533"/>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3CAE65-8F6C-49BF-B3ED-D02F4DCD0BCA}"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0:V41" firstHeaderRow="1" firstDataRow="1" firstDataCol="1"/>
  <pivotFields count="26">
    <pivotField showAll="0">
      <items count="13">
        <item x="6"/>
        <item x="3"/>
        <item x="1"/>
        <item m="1" x="9"/>
        <item m="1" x="8"/>
        <item x="4"/>
        <item x="0"/>
        <item m="1" x="11"/>
        <item m="1" x="10"/>
        <item m="1" x="7"/>
        <item x="2"/>
        <item x="5"/>
        <item t="default"/>
      </items>
    </pivotField>
    <pivotField axis="axisRow" showAll="0">
      <items count="105">
        <item m="1" x="63"/>
        <item m="1" x="48"/>
        <item x="13"/>
        <item m="1" x="27"/>
        <item m="1" x="20"/>
        <item m="1" x="45"/>
        <item m="1" x="35"/>
        <item m="1" x="66"/>
        <item x="12"/>
        <item m="1" x="28"/>
        <item m="1" x="50"/>
        <item m="1" x="60"/>
        <item m="1" x="26"/>
        <item m="1" x="21"/>
        <item m="1" x="46"/>
        <item m="1" x="41"/>
        <item m="1" x="56"/>
        <item m="1" x="29"/>
        <item m="1" x="62"/>
        <item x="9"/>
        <item m="1" x="67"/>
        <item m="1" x="36"/>
        <item x="10"/>
        <item x="6"/>
        <item x="8"/>
        <item m="1" x="32"/>
        <item m="1" x="61"/>
        <item m="1" x="51"/>
        <item m="1" x="34"/>
        <item m="1" x="59"/>
        <item m="1" x="25"/>
        <item x="15"/>
        <item m="1" x="53"/>
        <item m="1" x="65"/>
        <item m="1" x="52"/>
        <item m="1" x="24"/>
        <item m="1" x="31"/>
        <item x="11"/>
        <item m="1" x="55"/>
        <item m="1" x="57"/>
        <item x="14"/>
        <item x="16"/>
        <item m="1" x="30"/>
        <item m="1" x="54"/>
        <item x="4"/>
        <item m="1" x="58"/>
        <item m="1" x="39"/>
        <item m="1" x="22"/>
        <item m="1" x="43"/>
        <item m="1" x="103"/>
        <item x="18"/>
        <item x="0"/>
        <item m="1" x="47"/>
        <item x="7"/>
        <item m="1" x="73"/>
        <item m="1" x="68"/>
        <item m="1" x="69"/>
        <item m="1" x="40"/>
        <item m="1" x="70"/>
        <item m="1" x="102"/>
        <item m="1" x="23"/>
        <item x="3"/>
        <item m="1" x="42"/>
        <item m="1" x="44"/>
        <item x="17"/>
        <item m="1" x="71"/>
        <item m="1" x="72"/>
        <item m="1" x="75"/>
        <item m="1" x="76"/>
        <item m="1" x="77"/>
        <item m="1" x="64"/>
        <item m="1" x="78"/>
        <item m="1" x="74"/>
        <item m="1" x="79"/>
        <item m="1" x="80"/>
        <item m="1" x="81"/>
        <item m="1" x="38"/>
        <item x="5"/>
        <item m="1" x="84"/>
        <item m="1" x="82"/>
        <item m="1" x="83"/>
        <item m="1" x="85"/>
        <item m="1" x="86"/>
        <item m="1" x="87"/>
        <item m="1" x="89"/>
        <item m="1" x="37"/>
        <item m="1" x="90"/>
        <item x="1"/>
        <item m="1" x="92"/>
        <item m="1" x="33"/>
        <item m="1" x="49"/>
        <item m="1" x="88"/>
        <item m="1" x="91"/>
        <item m="1" x="93"/>
        <item m="1" x="94"/>
        <item m="1" x="95"/>
        <item m="1" x="96"/>
        <item m="1" x="97"/>
        <item m="1" x="98"/>
        <item m="1" x="99"/>
        <item m="1" x="100"/>
        <item m="1" x="101"/>
        <item x="2"/>
        <item x="19"/>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1">
    <i>
      <x v="2"/>
    </i>
    <i>
      <x v="8"/>
    </i>
    <i>
      <x v="19"/>
    </i>
    <i>
      <x v="22"/>
    </i>
    <i>
      <x v="23"/>
    </i>
    <i>
      <x v="24"/>
    </i>
    <i>
      <x v="31"/>
    </i>
    <i>
      <x v="37"/>
    </i>
    <i>
      <x v="40"/>
    </i>
    <i>
      <x v="41"/>
    </i>
    <i>
      <x v="44"/>
    </i>
    <i>
      <x v="50"/>
    </i>
    <i>
      <x v="51"/>
    </i>
    <i>
      <x v="53"/>
    </i>
    <i>
      <x v="61"/>
    </i>
    <i>
      <x v="64"/>
    </i>
    <i>
      <x v="77"/>
    </i>
    <i>
      <x v="87"/>
    </i>
    <i>
      <x v="102"/>
    </i>
    <i>
      <x v="10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1572021E-270F-483A-9747-A2DCB3E55C55}" sourceName="Customer Region">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12">
        <i x="6" s="1"/>
        <i x="3" s="1"/>
        <i x="1" s="1"/>
        <i x="4" s="1"/>
        <i x="0" s="1"/>
        <i x="2" s="1"/>
        <i x="5" s="1"/>
        <i x="9" s="1" nd="1"/>
        <i x="8" s="1" nd="1"/>
        <i x="11" s="1" nd="1"/>
        <i x="10"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ountry" xr10:uid="{5D808DBA-3646-4B15-A068-9383EE34F458}" sourceName="Customer Country">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104">
        <i x="19" s="1"/>
        <i x="13" s="1"/>
        <i x="12" s="1"/>
        <i x="3" s="1"/>
        <i x="1" s="1"/>
        <i x="9" s="1"/>
        <i x="5" s="1"/>
        <i x="10" s="1"/>
        <i x="6" s="1"/>
        <i x="8" s="1"/>
        <i x="15" s="1"/>
        <i x="11" s="1"/>
        <i x="14" s="1"/>
        <i x="16" s="1"/>
        <i x="4" s="1"/>
        <i x="17" s="1"/>
        <i x="18" s="1"/>
        <i x="2" s="1"/>
        <i x="0" s="1"/>
        <i x="7" s="1"/>
        <i x="63" s="1" nd="1"/>
        <i x="49" s="1" nd="1"/>
        <i x="48" s="1" nd="1"/>
        <i x="85" s="1" nd="1"/>
        <i x="27" s="1" nd="1"/>
        <i x="69" s="1" nd="1"/>
        <i x="92" s="1" nd="1"/>
        <i x="20" s="1" nd="1"/>
        <i x="97" s="1" nd="1"/>
        <i x="45" s="1" nd="1"/>
        <i x="83" s="1" nd="1"/>
        <i x="35" s="1" nd="1"/>
        <i x="99" s="1" nd="1"/>
        <i x="38" s="1" nd="1"/>
        <i x="66" s="1" nd="1"/>
        <i x="84" s="1" nd="1"/>
        <i x="28" s="1" nd="1"/>
        <i x="73" s="1" nd="1"/>
        <i x="50" s="1" nd="1"/>
        <i x="60" s="1" nd="1"/>
        <i x="95" s="1" nd="1"/>
        <i x="26" s="1" nd="1"/>
        <i x="70" s="1" nd="1"/>
        <i x="21" s="1" nd="1"/>
        <i x="72" s="1" nd="1"/>
        <i x="40" s="1" nd="1"/>
        <i x="42" s="1" nd="1"/>
        <i x="46" s="1" nd="1"/>
        <i x="74" s="1" nd="1"/>
        <i x="41" s="1" nd="1"/>
        <i x="56" s="1" nd="1"/>
        <i x="29" s="1" nd="1"/>
        <i x="102" s="1" nd="1"/>
        <i x="96" s="1" nd="1"/>
        <i x="62" s="1" nd="1"/>
        <i x="37" s="1" nd="1"/>
        <i x="75" s="1" nd="1"/>
        <i x="77" s="1" nd="1"/>
        <i x="67" s="1" nd="1"/>
        <i x="93" s="1" nd="1"/>
        <i x="36" s="1" nd="1"/>
        <i x="100" s="1" nd="1"/>
        <i x="82" s="1" nd="1"/>
        <i x="101" s="1" nd="1"/>
        <i x="81" s="1" nd="1"/>
        <i x="78" s="1" nd="1"/>
        <i x="32" s="1" nd="1"/>
        <i x="61" s="1" nd="1"/>
        <i x="51" s="1" nd="1"/>
        <i x="88" s="1" nd="1"/>
        <i x="94" s="1" nd="1"/>
        <i x="34" s="1" nd="1"/>
        <i x="91" s="1" nd="1"/>
        <i x="44" s="1" nd="1"/>
        <i x="59" s="1" nd="1"/>
        <i x="23" s="1" nd="1"/>
        <i x="25" s="1" nd="1"/>
        <i x="33" s="1" nd="1"/>
        <i x="68" s="1" nd="1"/>
        <i x="53" s="1" nd="1"/>
        <i x="65" s="1" nd="1"/>
        <i x="52" s="1" nd="1"/>
        <i x="24" s="1" nd="1"/>
        <i x="79" s="1" nd="1"/>
        <i x="87" s="1" nd="1"/>
        <i x="31" s="1" nd="1"/>
        <i x="89" s="1" nd="1"/>
        <i x="55" s="1" nd="1"/>
        <i x="71" s="1" nd="1"/>
        <i x="57" s="1" nd="1"/>
        <i x="64" s="1" nd="1"/>
        <i x="30" s="1" nd="1"/>
        <i x="54" s="1" nd="1"/>
        <i x="58" s="1" nd="1"/>
        <i x="90" s="1" nd="1"/>
        <i x="86" s="1" nd="1"/>
        <i x="39" s="1" nd="1"/>
        <i x="22" s="1" nd="1"/>
        <i x="43" s="1" nd="1"/>
        <i x="103" s="1" nd="1"/>
        <i x="76" s="1" nd="1"/>
        <i x="80" s="1" nd="1"/>
        <i x="47" s="1" nd="1"/>
        <i x="9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Region" xr10:uid="{150A1F5B-480B-4F0E-88ED-4298FA59B5EC}" sourceName="Supplier Region">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11">
        <i x="3" s="1"/>
        <i x="1" s="1"/>
        <i x="0" s="1"/>
        <i x="2" s="1"/>
        <i x="5" s="1" nd="1"/>
        <i x="10" s="1" nd="1"/>
        <i x="6" s="1" nd="1"/>
        <i x="7" s="1" nd="1"/>
        <i x="4" s="1" nd="1"/>
        <i x="9" s="1" nd="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Country" xr10:uid="{AC1F0421-99C4-4AC0-9058-9915859712A8}" sourceName="Supplier Country">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59">
        <i x="4" s="1"/>
        <i x="1" s="1"/>
        <i x="2" s="1"/>
        <i x="0" s="1"/>
        <i x="3" s="1"/>
        <i x="32" s="1" nd="1"/>
        <i x="6" s="1" nd="1"/>
        <i x="21" s="1" nd="1"/>
        <i x="18" s="1" nd="1"/>
        <i x="26" s="1" nd="1"/>
        <i x="58" s="1" nd="1"/>
        <i x="28" s="1" nd="1"/>
        <i x="34" s="1" nd="1"/>
        <i x="12" s="1" nd="1"/>
        <i x="19" s="1" nd="1"/>
        <i x="15" s="1" nd="1"/>
        <i x="48" s="1" nd="1"/>
        <i x="39" s="1" nd="1"/>
        <i x="52" s="1" nd="1"/>
        <i x="47" s="1" nd="1"/>
        <i x="23" s="1" nd="1"/>
        <i x="10" s="1" nd="1"/>
        <i x="14" s="1" nd="1"/>
        <i x="54" s="1" nd="1"/>
        <i x="35" s="1" nd="1"/>
        <i x="25" s="1" nd="1"/>
        <i x="43" s="1" nd="1"/>
        <i x="57" s="1" nd="1"/>
        <i x="13" s="1" nd="1"/>
        <i x="9" s="1" nd="1"/>
        <i x="30" s="1" nd="1"/>
        <i x="33" s="1" nd="1"/>
        <i x="51" s="1" nd="1"/>
        <i x="36" s="1" nd="1"/>
        <i x="31" s="1" nd="1"/>
        <i x="50" s="1" nd="1"/>
        <i x="42" s="1" nd="1"/>
        <i x="45" s="1" nd="1"/>
        <i x="53" s="1" nd="1"/>
        <i x="55" s="1" nd="1"/>
        <i x="41" s="1" nd="1"/>
        <i x="37" s="1" nd="1"/>
        <i x="24" s="1" nd="1"/>
        <i x="46" s="1" nd="1"/>
        <i x="40" s="1" nd="1"/>
        <i x="49" s="1" nd="1"/>
        <i x="5" s="1" nd="1"/>
        <i x="56" s="1" nd="1"/>
        <i x="29" s="1" nd="1"/>
        <i x="20" s="1" nd="1"/>
        <i x="7" s="1" nd="1"/>
        <i x="8" s="1" nd="1"/>
        <i x="11" s="1" nd="1"/>
        <i x="27" s="1" nd="1"/>
        <i x="38" s="1" nd="1"/>
        <i x="16" s="1" nd="1"/>
        <i x="44" s="1" nd="1"/>
        <i x="22" s="1" nd="1"/>
        <i x="17"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egment" xr10:uid="{006F3734-B1E5-4B3A-8D4E-325364A4F9D5}" sourceName="Market Segment">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10">
        <i x="9" s="1"/>
        <i x="1" s="1"/>
        <i x="5" s="1"/>
        <i x="2" s="1"/>
        <i x="6" s="1"/>
        <i x="0" s="1"/>
        <i x="3" s="1"/>
        <i x="7" s="1"/>
        <i x="4"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_Type__General" xr10:uid="{6FDBA952-004A-43E9-902A-0D7CE5D54F51}" sourceName="System Type (General)">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58">
        <i x="45" s="1"/>
        <i x="43" s="1"/>
        <i x="36" s="1"/>
        <i x="30" s="1"/>
        <i x="9" s="1"/>
        <i x="44" s="1"/>
        <i x="24" s="1"/>
        <i x="19" s="1"/>
        <i x="33" s="1"/>
        <i x="21" s="1"/>
        <i x="5" s="1"/>
        <i x="31" s="1"/>
        <i x="4" s="1"/>
        <i x="32" s="1"/>
        <i x="1" s="1"/>
        <i x="7" s="1"/>
        <i x="16" s="1"/>
        <i x="18" s="1"/>
        <i x="8" s="1"/>
        <i x="0" s="1"/>
        <i x="15" s="1"/>
        <i x="27" s="1"/>
        <i x="28" s="1"/>
        <i x="42" s="1"/>
        <i x="6" s="1"/>
        <i x="26" s="1"/>
        <i x="37" s="1"/>
        <i x="41" s="1"/>
        <i x="12" s="1"/>
        <i x="40" s="1"/>
        <i x="25" s="1"/>
        <i x="13" s="1"/>
        <i x="11" s="1"/>
        <i x="2" s="1"/>
        <i x="17" s="1"/>
        <i x="3" s="1"/>
        <i x="39" s="1"/>
        <i x="29" s="1"/>
        <i x="23" s="1"/>
        <i x="35" s="1"/>
        <i x="22" s="1"/>
        <i x="20" s="1"/>
        <i x="34" s="1"/>
        <i x="14" s="1"/>
        <i x="38" s="1"/>
        <i x="10" s="1"/>
        <i x="51" s="1" nd="1"/>
        <i x="50" s="1" nd="1"/>
        <i x="55" s="1" nd="1"/>
        <i x="52" s="1" nd="1"/>
        <i x="49" s="1" nd="1"/>
        <i x="48" s="1" nd="1"/>
        <i x="57" s="1" nd="1"/>
        <i x="54" s="1" nd="1"/>
        <i x="46" s="1" nd="1"/>
        <i x="53" s="1" nd="1"/>
        <i x="56" s="1" nd="1"/>
        <i x="4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Type" xr10:uid="{06E6BDC9-EA5A-4D91-BDD8-43F1C9DC5572}" sourceName="Program Type">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9">
        <i x="0" s="1"/>
        <i x="6" s="1"/>
        <i x="1" s="1"/>
        <i x="2" s="1"/>
        <i x="4" s="1"/>
        <i x="3" s="1"/>
        <i x="5" s="1"/>
        <i x="7"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Region" xr10:uid="{F73A5E06-AF1C-454F-9B34-2582CCAFD273}" cache="Slicer_Customer_Region" caption="Customer Region" startItem="1" style="SlicerStyleDark6" rowHeight="273050"/>
  <slicer name="Customer Country" xr10:uid="{C6E5EE9F-34E2-4638-ABCB-4FAE96E696C1}" cache="Slicer_Customer_Country" caption="Customer Country" startItem="53" style="SlicerStyleDark6" rowHeight="273050"/>
  <slicer name="Supplier Region" xr10:uid="{826BF4E2-A8AD-44BB-91EF-1E62CF85D6E6}" cache="Slicer_Supplier_Region" caption="Supplier Region" startItem="6" style="SlicerStyleLight6" rowHeight="273050"/>
  <slicer name="Supplier Country" xr10:uid="{971D7B5F-DD52-4C7C-B22F-C8E6BA657BAA}" cache="Slicer_Supplier_Country" caption="Supplier Country" startItem="13" style="SlicerStyleDark6" rowHeight="273050"/>
  <slicer name="Market Segment" xr10:uid="{470BB71F-17D1-41CD-867C-0ACB09B4E345}" cache="Slicer_Market_Segment" caption="Market Segment" startItem="4" style="SlicerStyleDark6" rowHeight="273050"/>
  <slicer name="System Type (General)" xr10:uid="{1B754B72-E297-4262-A8BB-5EFCBCE4239E}" cache="Slicer_System_Type__General" caption="System Type (General)" style="SlicerStyleDark6" rowHeight="273050"/>
  <slicer name="Program Type" xr10:uid="{490CDE93-B4F2-4ADB-A2AD-126F4DDDF741}" cache="Slicer_Program_Type" caption="Program Type" style="SlicerStyleDark6"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rketSegment" displayName="MarketSegment" ref="A1:A10" totalsRowShown="0" headerRowDxfId="17">
  <autoFilter ref="A1:A10" xr:uid="{00000000-0009-0000-0100-000005000000}"/>
  <tableColumns count="1">
    <tableColumn id="1" xr3:uid="{00000000-0010-0000-0400-000001000000}" name="Market Seg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5000000}" name="SystemTypeGeneral" displayName="SystemTypeGeneral" ref="C1:K14" totalsRowShown="0" headerRowDxfId="16">
  <autoFilter ref="C1:K14" xr:uid="{00000000-0009-0000-0100-000013000000}"/>
  <tableColumns count="9">
    <tableColumn id="1" xr3:uid="{00000000-0010-0000-0500-000001000000}" name="Air Platforms" dataDxfId="15"/>
    <tableColumn id="2" xr3:uid="{00000000-0010-0000-0500-000002000000}" name="Land Platforms" dataDxfId="14"/>
    <tableColumn id="3" xr3:uid="{00000000-0010-0000-0500-000003000000}" name="Naval Platforms"/>
    <tableColumn id="4" xr3:uid="{00000000-0010-0000-0500-000004000000}" name="Space Systems"/>
    <tableColumn id="5" xr3:uid="{00000000-0010-0000-0500-000005000000}" name="C4ISR Systems"/>
    <tableColumn id="6" xr3:uid="{00000000-0010-0000-0500-000006000000}" name="Weapon Systems"/>
    <tableColumn id="7" xr3:uid="{00000000-0010-0000-0500-000007000000}" name="Infrastructure" dataDxfId="13"/>
    <tableColumn id="8" xr3:uid="{00000000-0010-0000-0500-000008000000}" name="Training &amp; Simulation" dataDxfId="12"/>
    <tableColumn id="9" xr3:uid="{2CF9B59C-BFB2-4982-86B4-360E61DF6608}" name="Unknown"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6000000}" name="SystemTypeSpecific" displayName="SystemTypeSpecific" ref="C25:BE39" totalsRowShown="0" tableBorderDxfId="10">
  <autoFilter ref="C25:BE39" xr:uid="{00000000-0009-0000-0100-000014000000}"/>
  <tableColumns count="55">
    <tableColumn id="1" xr3:uid="{00000000-0010-0000-0600-000001000000}" name="Fixed Wing" dataDxfId="9"/>
    <tableColumn id="2" xr3:uid="{00000000-0010-0000-0600-000002000000}" name="Rotary Wing" dataDxfId="8"/>
    <tableColumn id="3" xr3:uid="{00000000-0010-0000-0600-000003000000}" name="Other Lift Types" dataDxfId="7"/>
    <tableColumn id="4" xr3:uid="{00000000-0010-0000-0600-000004000000}" name="Artillery"/>
    <tableColumn id="5" xr3:uid="{00000000-0010-0000-0600-000005000000}" name="Armoured Fighting Vehicles"/>
    <tableColumn id="6" xr3:uid="{00000000-0010-0000-0600-000006000000}" name="Logistics &amp; Support"/>
    <tableColumn id="7" xr3:uid="{00000000-0010-0000-0600-000007000000}" name="Rolling Stock"/>
    <tableColumn id="8" xr3:uid="{00000000-0010-0000-0600-000008000000}" name="Other Land"/>
    <tableColumn id="9" xr3:uid="{00000000-0010-0000-0600-000009000000}" name="Not Applicable"/>
    <tableColumn id="10" xr3:uid="{00000000-0010-0000-0600-00000A000000}" name="Sub-Surface"/>
    <tableColumn id="11" xr3:uid="{00000000-0010-0000-0600-00000B000000}" name="Surface Combatants"/>
    <tableColumn id="12" xr3:uid="{00000000-0010-0000-0600-00000C000000}" name="Patrol and Costal Combatants"/>
    <tableColumn id="13" xr3:uid="{00000000-0010-0000-0600-00000D000000}" name="Mine Warfare/Mine Countermeasures (Maritime)"/>
    <tableColumn id="14" xr3:uid="{00000000-0010-0000-0600-00000E000000}" name="Amphibious (Maritime)"/>
    <tableColumn id="15" xr3:uid="{00000000-0010-0000-0600-00000F000000}" name="Logistics and Support (Maritime)"/>
    <tableColumn id="16" xr3:uid="{00000000-0010-0000-0600-000010000000}" name="Other Maritime"/>
    <tableColumn id="17" xr3:uid="{00000000-0010-0000-0600-000011000000}" name="Launch Vehicle"/>
    <tableColumn id="18" xr3:uid="{00000000-0010-0000-0600-000012000000}" name="Satellite"/>
    <tableColumn id="19" xr3:uid="{00000000-0010-0000-0600-000013000000}" name="Anti-Space"/>
    <tableColumn id="20" xr3:uid="{00000000-0010-0000-0600-000014000000}" name="Electro-optic Sensor"/>
    <tableColumn id="21" xr3:uid="{00000000-0010-0000-0600-000015000000}" name="Radar"/>
    <tableColumn id="22" xr3:uid="{00000000-0010-0000-0600-000016000000}" name="Sonar"/>
    <tableColumn id="23" xr3:uid="{00000000-0010-0000-0600-000017000000}" name="Command and Control"/>
    <tableColumn id="24" xr3:uid="{00000000-0010-0000-0600-000018000000}" name="Communications"/>
    <tableColumn id="52" xr3:uid="{B2767CD0-C98A-4219-83A2-93FABDDF8C32}" name="Computers"/>
    <tableColumn id="25" xr3:uid="{00000000-0010-0000-0600-000019000000}" name="Cyber"/>
    <tableColumn id="46" xr3:uid="{99E3FF48-EC3F-4739-B048-45479A70F3D7}" name="Artificial Intelligence"/>
    <tableColumn id="47" xr3:uid="{80D2856F-0A21-4A52-8628-335E8FB6D925}" name="Other C4ISR"/>
    <tableColumn id="43" xr3:uid="{39386C8D-C84E-4D46-B90A-99944157FC77}" name="Integrated C4ISR System"/>
    <tableColumn id="26" xr3:uid="{00000000-0010-0000-0600-00001A000000}" name="Defensive Systems"/>
    <tableColumn id="27" xr3:uid="{00000000-0010-0000-0600-00001B000000}" name="Missile"/>
    <tableColumn id="28" xr3:uid="{00000000-0010-0000-0600-00001C000000}" name="Precision Guided Weapons"/>
    <tableColumn id="29" xr3:uid="{00000000-0010-0000-0600-00001D000000}" name="Torpedo"/>
    <tableColumn id="30" xr3:uid="{00000000-0010-0000-0600-00001E000000}" name="Directed Energy Weapon"/>
    <tableColumn id="31" xr3:uid="{00000000-0010-0000-0600-00001F000000}" name="Integrated Weapon Systems"/>
    <tableColumn id="55" xr3:uid="{076D39AC-A2D5-4B85-BB78-70FB583E9092}" name="Swarm Drones"/>
    <tableColumn id="44" xr3:uid="{E6424F95-693E-4191-82B6-19782AC878F6}" name="Launchers"/>
    <tableColumn id="51" xr3:uid="{3BDC8122-5F33-44CD-B200-112A0D2CA243}" name="Mines"/>
    <tableColumn id="45" xr3:uid="{C936C501-D5BE-42D2-80F3-3A6B6090FB20}" name="Small Arms &amp; Ammunition"/>
    <tableColumn id="32" xr3:uid="{00000000-0010-0000-0600-000020000000}" name="Electronic Warfare Systems"/>
    <tableColumn id="33" xr3:uid="{00000000-0010-0000-0600-000021000000}" name="Shipyards/Ports/Harbours"/>
    <tableColumn id="34" xr3:uid="{00000000-0010-0000-0600-000022000000}" name="Aircraft Basing"/>
    <tableColumn id="35" xr3:uid="{00000000-0010-0000-0600-000023000000}" name="Accomodation"/>
    <tableColumn id="36" xr3:uid="{00000000-0010-0000-0600-000024000000}" name="Non-military IT"/>
    <tableColumn id="37" xr3:uid="{00000000-0010-0000-0600-000025000000}" name="Land"/>
    <tableColumn id="38" xr3:uid="{00000000-0010-0000-0600-000026000000}" name="Training Facilities"/>
    <tableColumn id="39" xr3:uid="{00000000-0010-0000-0600-000027000000}" name="Air Traffic Management"/>
    <tableColumn id="49" xr3:uid="{CCB1E3A1-CD7A-441C-B1C3-26E0452475C8}" name="RDT&amp;E Facilities"/>
    <tableColumn id="48" xr3:uid="{AEE7913F-E868-47BF-84A2-0C00C81B4EE6}" name="Production Facilities"/>
    <tableColumn id="50" xr3:uid="{845182F1-2668-4791-B89C-520E28250238}" name="Maintenance Facilities"/>
    <tableColumn id="53" xr3:uid="{5C696E8D-569A-4211-8FB2-FCE888E93B22}" name="Other"/>
    <tableColumn id="40" xr3:uid="{00000000-0010-0000-0600-000028000000}" name="Utilities"/>
    <tableColumn id="41" xr3:uid="{00000000-0010-0000-0600-000029000000}" name="Simulators"/>
    <tableColumn id="42" xr3:uid="{00000000-0010-0000-0600-00002A000000}" name="Training Aids"/>
    <tableColumn id="54" xr3:uid="{7D74797D-8866-47DB-A90E-0E2D7FDC2FAB}" name="Not Applicable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7000000}" name="Table23" displayName="Table23" ref="A13:A17" totalsRowShown="0" headerRowDxfId="6" dataDxfId="5">
  <autoFilter ref="A13:A17" xr:uid="{00000000-0009-0000-0100-000017000000}"/>
  <tableColumns count="1">
    <tableColumn id="1" xr3:uid="{00000000-0010-0000-0700-000001000000}" name="Platform Piloting"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8000000}" name="Table22" displayName="Table22" ref="A1:B1831" totalsRowShown="0">
  <tableColumns count="2">
    <tableColumn id="1" xr3:uid="{00000000-0010-0000-0800-000001000000}" name="Companies"/>
    <tableColumn id="2" xr3:uid="{72FB688B-C0A8-411A-B8CC-1EFD37403C0B}" name="Column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829AB9-C22D-4BD7-93F1-E0B82A5AE032}" name="Value_Certainty" displayName="Value_Certainty" ref="I2:I4" totalsRowShown="0" headerRowDxfId="3" dataDxfId="2">
  <autoFilter ref="I2:I4" xr:uid="{82829AB9-C22D-4BD7-93F1-E0B82A5AE032}"/>
  <tableColumns count="1">
    <tableColumn id="1" xr3:uid="{AB8C2D9C-F07C-47FC-BD0C-02AB2F578D63}" name="Value Certainty" dataDxfId="1"/>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ons" displayName="Regions" ref="A1:A11" totalsRowShown="0">
  <autoFilter ref="A1:A11" xr:uid="{00000000-0009-0000-0100-000001000000}"/>
  <tableColumns count="1">
    <tableColumn id="1" xr3:uid="{00000000-0010-0000-0000-000001000000}" name="Region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untries" displayName="Countries" ref="C1:L48" totalsRowShown="0">
  <autoFilter ref="C1:L48" xr:uid="{00000000-0009-0000-0100-000002000000}"/>
  <tableColumns count="10">
    <tableColumn id="1" xr3:uid="{00000000-0010-0000-0100-000001000000}" name="Sub-Saharan Africa" dataDxfId="0"/>
    <tableColumn id="2" xr3:uid="{00000000-0010-0000-0100-000002000000}" name="Asia-Pacific"/>
    <tableColumn id="3" xr3:uid="{00000000-0010-0000-0100-000003000000}" name="Europe"/>
    <tableColumn id="4" xr3:uid="{00000000-0010-0000-0100-000004000000}" name="Latin America"/>
    <tableColumn id="5" xr3:uid="{00000000-0010-0000-0100-000005000000}" name="Middle East and North Africa"/>
    <tableColumn id="6" xr3:uid="{00000000-0010-0000-0100-000006000000}" name="North America"/>
    <tableColumn id="7" xr3:uid="{00000000-0010-0000-0100-000007000000}" name="Russia &amp; CIS"/>
    <tableColumn id="8" xr3:uid="{00000000-0010-0000-0100-000008000000}" name="Column1"/>
    <tableColumn id="10" xr3:uid="{C5786F7B-4122-4148-8707-97B71EA4A043}" name="International Organisations"/>
    <tableColumn id="9" xr3:uid="{00000000-0010-0000-0100-000009000000}" name="Unknow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ervice" displayName="Service" ref="N1:N8" totalsRowShown="0">
  <autoFilter ref="N1:N8" xr:uid="{00000000-0009-0000-0100-000004000000}"/>
  <tableColumns count="1">
    <tableColumn id="1" xr3:uid="{00000000-0010-0000-0200-000001000000}" name="Servic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3000000}" name="DomesticContent" displayName="DomesticContent" ref="A12:A16" totalsRowShown="0">
  <autoFilter ref="A12:A16" xr:uid="{00000000-0009-0000-0100-000015000000}"/>
  <tableColumns count="1">
    <tableColumn id="1" xr3:uid="{00000000-0010-0000-0300-000001000000}" name="Domestic Conten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E778B4-E905-4129-B74D-890CAC142733}" name="Table3" displayName="Table3" ref="A1:Y9" totalsRowShown="0">
  <autoFilter ref="A1:Y9" xr:uid="{9EE778B4-E905-4129-B74D-890CAC142733}"/>
  <tableColumns count="25">
    <tableColumn id="1" xr3:uid="{6E620E5A-8F0C-4423-8683-AE8DDBA5DFAB}" name="Customer Region"/>
    <tableColumn id="2" xr3:uid="{6FA2483D-F0EA-45C5-AFE8-2465EE82F0D8}" name="Customer Country"/>
    <tableColumn id="3" xr3:uid="{EF63B890-E70C-4CCF-AEA7-85DAF6159F33}" name="Customer Operator"/>
    <tableColumn id="4" xr3:uid="{0065F41C-2D42-40CC-96B3-9EF26DEE49AA}" name="Supplier Region"/>
    <tableColumn id="5" xr3:uid="{82CA3A31-4602-4A4E-A89A-C1F2987EDAFF}" name="Supplier Country"/>
    <tableColumn id="6" xr3:uid="{E427C466-B513-4E4D-8533-8AA41CDCCDAE}" name="Domestic Content"/>
    <tableColumn id="7" xr3:uid="{8589AB87-B394-46A1-8609-94CB6D28DF81}" name="Market Segment"/>
    <tableColumn id="8" xr3:uid="{9A075597-227A-41A9-A290-1E4461603FEA}" name="System Type (General)"/>
    <tableColumn id="9" xr3:uid="{2036DE38-14B5-452C-9CB7-B0B74AB1AD0C}" name="System Type (Specific)"/>
    <tableColumn id="10" xr3:uid="{5C746B36-A1C1-46C8-BC7B-3F1E409FB7C6}" name="System Name (General)"/>
    <tableColumn id="11" xr3:uid="{3F965D9C-FE6D-4228-9FDF-36AA1571B3F7}" name="System Name (Specific)"/>
    <tableColumn id="12" xr3:uid="{CA3F01F7-ABA0-49D6-9108-29F53C4C3DB9}" name="System Piloting"/>
    <tableColumn id="13" xr3:uid="{01FAA08B-BBFB-40D9-845D-791440A6396A}" name="Supplier Name"/>
    <tableColumn id="14" xr3:uid="{92C7771F-B35E-4DA0-9960-B8038F42D172}" name="Program Type"/>
    <tableColumn id="15" xr3:uid="{EACCE868-D9C6-429D-8F97-C4D7D56C81A0}" name="Quantity"/>
    <tableColumn id="16" xr3:uid="{6B34B8D2-F7FB-48A4-9501-6522C8BDABD8}" name="Value Certainty"/>
    <tableColumn id="17" xr3:uid="{FB50B58D-88AA-49B3-962C-2CF28E8BFF9E}" name="Value (Million)"/>
    <tableColumn id="18" xr3:uid="{D4FB78B1-8E09-4CBE-BCDF-583D40D96E7F}" name="Currency"/>
    <tableColumn id="19" xr3:uid="{ADDFFD73-A769-40F4-85BA-B07A18FCE8C4}" name="Value (US$ Million)"/>
    <tableColumn id="20" xr3:uid="{24C52F98-2740-4B77-B45F-E110AC395879}" name="G2G/B2G"/>
    <tableColumn id="21" xr3:uid="{1E01CA08-D180-4EC7-B95C-B013AB2F405F}" name="Month"/>
    <tableColumn id="22" xr3:uid="{E9653EBC-0897-4481-8D82-CD020881FE65}" name="Year"/>
    <tableColumn id="23" xr3:uid="{DC286A59-85ED-4E3E-B9BA-12864B497734}" name="Description of Contract"/>
    <tableColumn id="24" xr3:uid="{9E281CC1-8B85-45B3-9BA5-50E42090215C}" name="Additional Notes (Internal Only)"/>
    <tableColumn id="25" xr3:uid="{DA1F95E6-0B98-4242-866E-E581169936A4}" name="Source Link(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CF4443D-E2C4-47E2-A51F-659F2EC88D47}" name="Table7" displayName="Table7" ref="A1:Y101" totalsRowShown="0">
  <autoFilter ref="A1:Y101" xr:uid="{7CF4443D-E2C4-47E2-A51F-659F2EC88D47}"/>
  <tableColumns count="25">
    <tableColumn id="1" xr3:uid="{57A027D5-98B9-4B15-B07E-AFBA825CBCEA}" name="Customer Region"/>
    <tableColumn id="2" xr3:uid="{AF52F810-2CCA-4B63-95D4-C4E59EE11436}" name="Customer Country"/>
    <tableColumn id="3" xr3:uid="{69C8597F-5BA1-40CF-877F-22329F789E72}" name="Customer Operator"/>
    <tableColumn id="4" xr3:uid="{BEE1AC50-F29D-4684-B775-8BF3F64FAD04}" name="Supplier Region"/>
    <tableColumn id="5" xr3:uid="{261F6A75-9190-46D0-AD8C-51A472219664}" name="Supplier Country"/>
    <tableColumn id="6" xr3:uid="{77A7B5C1-FBCE-4B75-B28F-176A21B27528}" name="Domestic Content"/>
    <tableColumn id="7" xr3:uid="{E813B985-3496-48DD-BAF1-BBE07ACF9A39}" name="Market Segment"/>
    <tableColumn id="8" xr3:uid="{22CB291F-E3E6-42B2-8986-785D9DE224E2}" name="System Type (General)"/>
    <tableColumn id="9" xr3:uid="{CBFEFA0F-CD0A-45DD-9D4A-8C853F3DEAC7}" name="System Type (Specific)"/>
    <tableColumn id="10" xr3:uid="{18A34B8D-D507-4EE6-86E9-FFCCAD594BB9}" name="System Name (General)"/>
    <tableColumn id="11" xr3:uid="{7409C0EB-3A73-4DB0-A6CD-28F6C5693093}" name="System Name (Specific)"/>
    <tableColumn id="12" xr3:uid="{0C8C120D-F17B-4507-8E44-827BAAC58590}" name="System Piloting"/>
    <tableColumn id="13" xr3:uid="{9D235D8A-032C-4EB7-8F2F-67D47FA80E94}" name="Supplier Name"/>
    <tableColumn id="14" xr3:uid="{787AF5FC-3F5E-4D5B-981D-A096ACD56309}" name="Program Type"/>
    <tableColumn id="15" xr3:uid="{ECC8FE82-7C3F-4CAD-81D7-741D31BC1B1C}" name="Quantity"/>
    <tableColumn id="16" xr3:uid="{5EF255A4-7077-4E81-A3AC-2AB38493027A}" name="Value Certainty"/>
    <tableColumn id="17" xr3:uid="{3D31BC60-20BA-4E5D-88D3-59095C113878}" name="Value (Million)"/>
    <tableColumn id="18" xr3:uid="{AC1EF33E-67AD-44AA-9B7D-538959E4320E}" name="Currency"/>
    <tableColumn id="19" xr3:uid="{B273C7AF-BF66-42D1-B89C-F4E12494660C}" name="Value (US$ Million)"/>
    <tableColumn id="20" xr3:uid="{D8D66597-0C77-4F56-8F3F-63C2583C85AD}" name="G2G/B2G"/>
    <tableColumn id="21" xr3:uid="{D78364BE-87FE-4981-AD8A-484CF19C5493}" name="Month"/>
    <tableColumn id="22" xr3:uid="{59ECB3B8-4F7E-422B-B893-75A6A826FCB8}" name="Year"/>
    <tableColumn id="23" xr3:uid="{793884FF-D883-478B-8D98-A2EADD4E1008}" name="Description of Contract"/>
    <tableColumn id="24" xr3:uid="{81199B12-5939-49DF-A9B4-0181F56CCDFA}" name="Additional Notes (Internal Only)"/>
    <tableColumn id="25" xr3:uid="{D64BBDFE-0430-47C5-A410-F62C3337E474}" name="Source Link(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E18909-3203-437B-B75C-55938CD0E91F}" name="Table8" displayName="Table8" ref="A1:Y45" totalsRowShown="0">
  <autoFilter ref="A1:Y45" xr:uid="{B2E18909-3203-437B-B75C-55938CD0E91F}"/>
  <tableColumns count="25">
    <tableColumn id="1" xr3:uid="{825DF5EE-206F-4433-A61A-2ED8A6114643}" name="Customer Region"/>
    <tableColumn id="2" xr3:uid="{B6034957-22BC-43D6-9DA0-0694DB2F1A7D}" name="Customer Country"/>
    <tableColumn id="3" xr3:uid="{0CFBD382-B808-469E-8C8F-1A1E3A84601C}" name="Customer Operator"/>
    <tableColumn id="4" xr3:uid="{A6AD355A-0724-4435-9F83-A20AE31CD1CF}" name="Supplier Region"/>
    <tableColumn id="5" xr3:uid="{7AD785DD-90AB-4B72-8D15-5D8F33416E17}" name="Supplier Country"/>
    <tableColumn id="6" xr3:uid="{5E8D7EB0-8191-47DE-A2B0-119CB3DC7F0F}" name="Domestic Content"/>
    <tableColumn id="7" xr3:uid="{925E3805-9819-461B-8D44-DE56F40BFF82}" name="Market Segment"/>
    <tableColumn id="8" xr3:uid="{560FD2E6-D9CD-445D-8E21-56FDCF6DDD20}" name="System Type (General)"/>
    <tableColumn id="9" xr3:uid="{AAAC9ABF-78A7-4F46-9498-26AB32E95412}" name="System Type (Specific)"/>
    <tableColumn id="10" xr3:uid="{E2EA3101-EF03-4760-877D-59CE3EAFB2B1}" name="System Name (General)"/>
    <tableColumn id="11" xr3:uid="{79E459B7-0966-4B84-8F43-F80D582AB024}" name="System Name (Specific)"/>
    <tableColumn id="12" xr3:uid="{178BF985-21AA-4EFF-B611-2C506B8F7752}" name="System Piloting"/>
    <tableColumn id="13" xr3:uid="{CA8F4239-82F6-4F41-89E4-D866AF6A1007}" name="Supplier Name"/>
    <tableColumn id="14" xr3:uid="{98933CBE-0CD2-4016-8901-DFC17E881176}" name="Program Type"/>
    <tableColumn id="15" xr3:uid="{9121F641-CCFA-4384-B48C-315BBFC77309}" name="Quantity"/>
    <tableColumn id="16" xr3:uid="{63860177-A842-43F0-ABAE-CC9753A0BD1E}" name="Value Certainty"/>
    <tableColumn id="17" xr3:uid="{6D4EFE6F-3521-4EDA-B194-6B58CA44551B}" name="Value (Million)"/>
    <tableColumn id="18" xr3:uid="{777430B5-FEFE-4813-A2A9-6FF4F75C8332}" name="Currency"/>
    <tableColumn id="19" xr3:uid="{EC2DA9BB-704B-4C63-9251-77E0E16DE139}" name="Value (US$ Million)"/>
    <tableColumn id="20" xr3:uid="{D1D1AE45-D44F-4716-A349-2B615D915E8F}" name="G2G/B2G"/>
    <tableColumn id="21" xr3:uid="{7FC2DEA8-D6C4-4EFE-86B7-F6C4091080A6}" name="Month"/>
    <tableColumn id="22" xr3:uid="{588B1D9A-8771-432E-91D3-D1B4EACCC4EA}" name="Year"/>
    <tableColumn id="23" xr3:uid="{48F6A486-8311-4C2A-940F-3A816ACDF139}" name="Description of Contract"/>
    <tableColumn id="24" xr3:uid="{A44A4B18-AA0C-485D-878D-CB4A151BEB3C}" name="Additional Notes (Internal Only)"/>
    <tableColumn id="25" xr3:uid="{6D7C7B9C-6B3B-4E7C-A484-11E68B3BFB92}" name="Source Lin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02244"/>
      </a:dk2>
      <a:lt2>
        <a:srgbClr val="D72F30"/>
      </a:lt2>
      <a:accent1>
        <a:srgbClr val="1D632C"/>
      </a:accent1>
      <a:accent2>
        <a:srgbClr val="62A776"/>
      </a:accent2>
      <a:accent3>
        <a:srgbClr val="698F00"/>
      </a:accent3>
      <a:accent4>
        <a:srgbClr val="4A6D69"/>
      </a:accent4>
      <a:accent5>
        <a:srgbClr val="2BB68E"/>
      </a:accent5>
      <a:accent6>
        <a:srgbClr val="655560"/>
      </a:accent6>
      <a:hlink>
        <a:srgbClr val="7F6F6F"/>
      </a:hlink>
      <a:folHlink>
        <a:srgbClr val="8E58B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1" dT="2025-08-18T06:58:23.93" personId="{729955BA-7B95-4B5E-BB41-5F130C32F4FF}" id="{A402B3FA-24B4-40CD-862D-20E0CB122A95}">
    <text xml:space="preserve">Tyonek  Services Overhaul Facility </text>
  </threadedComment>
  <threadedComment ref="M14" dT="2025-08-18T07:40:03.50" personId="{729955BA-7B95-4B5E-BB41-5F130C32F4FF}" id="{A3C7A3A8-FB1E-4F8E-B4F7-7163AFC3A3D0}">
    <text xml:space="preserve">Mayvin Inc. </text>
  </threadedComment>
  <threadedComment ref="M17" dT="2025-08-18T08:05:55.97" personId="{729955BA-7B95-4B5E-BB41-5F130C32F4FF}" id="{61B3D1EA-C37A-47F9-B59F-DC289850070D}">
    <text xml:space="preserve">Global, A 1st Flagship Co. </text>
  </threadedComment>
  <threadedComment ref="M22" dT="2025-08-18T09:45:10.09" personId="{729955BA-7B95-4B5E-BB41-5F130C32F4FF}" id="{CA8BFD03-139B-4DBF-B768-B8B249CBC0BB}">
    <text xml:space="preserve">Jacobs/HDR JV </text>
  </threadedComment>
  <threadedComment ref="M93" dT="2025-08-20T05:53:33.50" personId="{729955BA-7B95-4B5E-BB41-5F130C32F4FF}" id="{E8A24C43-8202-4451-8666-38804420C39F}">
    <text xml:space="preserve">Vigor Marine LLC </text>
  </threadedComment>
  <threadedComment ref="M94" dT="2025-08-20T06:04:30.08" personId="{729955BA-7B95-4B5E-BB41-5F130C32F4FF}" id="{75D6675C-AB6E-49D9-BF6C-F4518A1F59F9}">
    <text xml:space="preserve">Vanquish Worldwide LLC </text>
  </threadedComment>
  <threadedComment ref="M99" dT="2025-08-20T06:58:02.64" personId="{729955BA-7B95-4B5E-BB41-5F130C32F4FF}" id="{222F139E-81F9-4DF1-97FE-63F6825BD68B}">
    <text xml:space="preserve">Merck, Sharp &amp; Dohme Corp. </text>
  </threadedComment>
  <threadedComment ref="M101" dT="2025-08-20T07:08:16.23" personId="{729955BA-7B95-4B5E-BB41-5F130C32F4FF}" id="{DE57FE83-23AC-49E5-A015-477B0F7A751E}">
    <text xml:space="preserve">Precise Systems Inc. </text>
  </threadedComment>
  <threadedComment ref="M103" dT="2025-08-20T07:18:45.99" personId="{729955BA-7B95-4B5E-BB41-5F130C32F4FF}" id="{35896B01-BB23-43E9-BB64-806702560CEB}">
    <text xml:space="preserve">Harris Global Communications Inc. </text>
  </threadedComment>
  <threadedComment ref="M105" dT="2025-08-20T07:26:54.58" personId="{729955BA-7B95-4B5E-BB41-5F130C32F4FF}" id="{603AF143-A365-4A0F-9FC8-587EDE615822}">
    <text xml:space="preserve">Fulcrum Concepts LLC </text>
  </threadedComment>
  <threadedComment ref="M110" dT="2025-08-20T09:42:00.08" personId="{729955BA-7B95-4B5E-BB41-5F130C32F4FF}" id="{242B9312-AFE6-49F8-8F14-C3A052FC5906}">
    <text xml:space="preserve">Q.E.D. Systems Inc. </text>
  </threadedComment>
  <threadedComment ref="M111" dT="2025-08-20T09:48:57.86" personId="{729955BA-7B95-4B5E-BB41-5F130C32F4FF}" id="{F4942E7C-103D-4FF3-BB25-4FFE1C13BDD2}">
    <text xml:space="preserve">Lyon Shipyard Inc. </text>
  </threadedComment>
  <threadedComment ref="M114" dT="2025-08-20T10:19:40.73" personId="{729955BA-7B95-4B5E-BB41-5F130C32F4FF}" id="{4C77CA26-17E3-45E5-A7F5-EFC4D0223715}">
    <text xml:space="preserve">Defender Contracting &amp; Construction Services </text>
  </threadedComment>
  <threadedComment ref="M121" dT="2025-08-21T06:40:16.09" personId="{729955BA-7B95-4B5E-BB41-5F130C32F4FF}" id="{CF7D9970-5D66-4E62-9C29-229E714976CF}">
    <text xml:space="preserve">International Marine &amp; Industrial Applicators LLC </text>
  </threadedComment>
  <threadedComment ref="M131" dT="2025-08-21T09:37:56.72" personId="{729955BA-7B95-4B5E-BB41-5F130C32F4FF}" id="{7692166A-EADE-4FCF-92B6-D766B8B6F440}">
    <text xml:space="preserve">Colonna’s Shipyard Inc. </text>
  </threadedComment>
  <threadedComment ref="M132" dT="2025-08-21T09:45:14.09" personId="{729955BA-7B95-4B5E-BB41-5F130C32F4FF}" id="{9AC6DA39-D663-4FB2-815E-9E9FC538A160}">
    <text xml:space="preserve">East Coast Repair &amp; Fabrication </text>
  </threadedComment>
  <threadedComment ref="M137" dT="2025-08-22T04:57:16.88" personId="{729955BA-7B95-4B5E-BB41-5F130C32F4FF}" id="{1CA0C0D2-A788-49B5-A416-1EB9E9550D2A}">
    <text xml:space="preserve">Zodiac-Poettker HBZ JV II LLC </text>
  </threadedComment>
  <threadedComment ref="M139" dT="2025-08-22T05:14:24.87" personId="{729955BA-7B95-4B5E-BB41-5F130C32F4FF}" id="{195DAFD8-6701-4CF3-A5AB-2D75ACB5E9AD}">
    <text xml:space="preserve">DigiFlight Inc. </text>
  </threadedComment>
  <threadedComment ref="M143" dT="2025-08-22T07:40:14.01" personId="{729955BA-7B95-4B5E-BB41-5F130C32F4FF}" id="{484B083B-E41F-4D02-A402-D424D91CA0EB}">
    <text xml:space="preserve">Mobius Parsons Solutions LLC </text>
  </threadedComment>
  <threadedComment ref="M146" dT="2025-08-22T08:11:03.49" personId="{729955BA-7B95-4B5E-BB41-5F130C32F4FF}" id="{F6471ABA-F9AE-4E14-9D53-43227888D675}">
    <text xml:space="preserve">Meggitt Polymers and Composites </text>
  </threadedComment>
  <threadedComment ref="M148" dT="2025-08-22T08:37:59.01" personId="{729955BA-7B95-4B5E-BB41-5F130C32F4FF}" id="{BBB9631C-6CAB-44A2-AE85-77F92695FD42}">
    <text xml:space="preserve">Environet Inc. </text>
  </threadedComment>
  <threadedComment ref="M154" dT="2025-08-22T09:17:59.58" personId="{729955BA-7B95-4B5E-BB41-5F130C32F4FF}" id="{AF1ACBD9-0D3B-44F6-8B87-F68A3E064B6B}">
    <text xml:space="preserve">Weatherhaven Resources Inc., </text>
  </threadedComment>
  <threadedComment ref="M162" dT="2025-08-25T05:25:43.93" personId="{729955BA-7B95-4B5E-BB41-5F130C32F4FF}" id="{F9B3AB82-17C7-42D5-A29A-CA4097290CE3}">
    <text xml:space="preserve">Insight Public Sector Inc. </text>
  </threadedComment>
  <threadedComment ref="M176" dT="2025-08-25T08:52:43.61" personId="{729955BA-7B95-4B5E-BB41-5F130C32F4FF}" id="{F1DBBB6B-1CB0-4033-90C6-F076529FC738}">
    <text xml:space="preserve">Aechelon Technology </text>
  </threadedComment>
  <threadedComment ref="M179" dT="2025-08-25T11:10:20.74" personId="{729955BA-7B95-4B5E-BB41-5F130C32F4FF}" id="{EC6C9923-555D-4B7E-8FD5-DBA40D3D1600}">
    <text xml:space="preserve">Aktarius LLC </text>
  </threadedComment>
  <threadedComment ref="M182" dT="2025-08-26T04:57:39.81" personId="{729955BA-7B95-4B5E-BB41-5F130C32F4FF}" id="{DBF0B590-63BB-4683-A2B8-AB7C0ED389D3}">
    <text xml:space="preserve">Mobius Consulting LLC </text>
  </threadedComment>
  <threadedComment ref="M193" dT="2025-08-26T08:10:57.02" personId="{729955BA-7B95-4B5E-BB41-5F130C32F4FF}" id="{3096E369-80C2-4569-80F8-9BD2EE8176CA}">
    <text xml:space="preserve">Webcor Construction LP  </text>
  </threadedComment>
  <threadedComment ref="M196" dT="2025-08-26T08:26:08.13" personId="{729955BA-7B95-4B5E-BB41-5F130C32F4FF}" id="{FA9D9492-C115-4526-B505-BAC10F2B0DC6}">
    <text xml:space="preserve">Leading Technology Composites Inc. </text>
  </threadedComment>
  <threadedComment ref="M198" dT="2025-08-26T09:27:38.77" personId="{729955BA-7B95-4B5E-BB41-5F130C32F4FF}" id="{ED7AD51D-AE3A-4B64-94B7-CF91AF046061}">
    <text xml:space="preserve">Clark/Bryne Aquatics JV </text>
  </threadedComment>
  <threadedComment ref="M199" dT="2025-08-26T09:31:20.86" personId="{729955BA-7B95-4B5E-BB41-5F130C32F4FF}" id="{95540B80-E732-4648-884B-D55C1A3C17B5}">
    <text xml:space="preserve">Comcast Government Services LLC </text>
  </threadedComment>
  <threadedComment ref="M203" dT="2025-08-28T05:43:24.95" personId="{729955BA-7B95-4B5E-BB41-5F130C32F4FF}" id="{DF2BA8FE-1902-49D6-B3C7-D53568DC3566}">
    <text xml:space="preserve">ASRC Earthworks LLC </text>
  </threadedComment>
  <threadedComment ref="M221" dT="2025-08-28T09:32:42.97" personId="{729955BA-7B95-4B5E-BB41-5F130C32F4FF}" id="{709D50F6-F285-411F-BC39-097B87DE8912}">
    <text xml:space="preserve">United Kingdom Ministry of Defence </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defense.gov/News/Contracts/Contract/Article/2678227/"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3"/>
  <sheetViews>
    <sheetView workbookViewId="0"/>
  </sheetViews>
  <sheetFormatPr defaultColWidth="8.765625" defaultRowHeight="14.5" x14ac:dyDescent="0.4"/>
  <cols>
    <col min="1" max="1" width="2.3046875" style="1" customWidth="1"/>
    <col min="2" max="2" width="10.4609375" style="1" customWidth="1"/>
    <col min="3" max="21" width="9.765625" style="24" customWidth="1"/>
    <col min="22" max="22" width="2.23046875" style="1" customWidth="1"/>
    <col min="23" max="24" width="8.765625" style="2"/>
    <col min="25" max="25" width="19.765625" style="2" customWidth="1"/>
    <col min="26" max="26" width="3.765625" style="2" customWidth="1"/>
    <col min="27" max="27" width="51.4609375" style="2" customWidth="1"/>
    <col min="28" max="16384" width="8.765625" style="2"/>
  </cols>
  <sheetData>
    <row r="1" spans="2:27" ht="15" thickBot="1" x14ac:dyDescent="0.45">
      <c r="C1" s="18"/>
      <c r="D1" s="18"/>
      <c r="E1" s="18"/>
      <c r="F1" s="18"/>
      <c r="G1" s="18"/>
      <c r="H1" s="18"/>
      <c r="I1" s="25" t="s">
        <v>0</v>
      </c>
      <c r="J1" s="25"/>
      <c r="K1" s="25"/>
      <c r="L1" s="25"/>
      <c r="M1" s="18"/>
      <c r="N1" s="18"/>
      <c r="O1" s="18"/>
      <c r="P1" s="18"/>
      <c r="Q1" s="18"/>
      <c r="R1" s="18"/>
      <c r="S1" s="18"/>
      <c r="T1" s="18"/>
      <c r="U1" s="18"/>
    </row>
    <row r="2" spans="2:27" ht="58.5" thickBot="1" x14ac:dyDescent="0.45">
      <c r="B2" s="19" t="s">
        <v>1</v>
      </c>
      <c r="C2" s="20" t="s">
        <v>2</v>
      </c>
      <c r="D2" s="21" t="s">
        <v>3</v>
      </c>
      <c r="E2" s="21" t="s">
        <v>4</v>
      </c>
      <c r="F2" s="21" t="s">
        <v>5</v>
      </c>
      <c r="G2" s="21" t="s">
        <v>6</v>
      </c>
      <c r="H2" s="21" t="s">
        <v>7</v>
      </c>
      <c r="I2" s="21" t="s">
        <v>8</v>
      </c>
      <c r="J2" s="21" t="s">
        <v>9</v>
      </c>
      <c r="K2" s="21" t="s">
        <v>10</v>
      </c>
      <c r="L2" s="21" t="s">
        <v>11</v>
      </c>
      <c r="M2" s="21" t="s">
        <v>12</v>
      </c>
      <c r="N2" s="21" t="s">
        <v>13</v>
      </c>
      <c r="O2" s="21" t="s">
        <v>14</v>
      </c>
      <c r="P2" s="21" t="s">
        <v>15</v>
      </c>
      <c r="Q2" s="21" t="s">
        <v>16</v>
      </c>
      <c r="R2" s="21" t="s">
        <v>17</v>
      </c>
      <c r="S2" s="21" t="s">
        <v>18</v>
      </c>
      <c r="T2" s="21" t="s">
        <v>19</v>
      </c>
      <c r="U2" s="22" t="s">
        <v>20</v>
      </c>
      <c r="X2" s="23" t="s">
        <v>21</v>
      </c>
      <c r="AA2" s="2" t="s">
        <v>22</v>
      </c>
    </row>
    <row r="3" spans="2:27" ht="58" x14ac:dyDescent="0.4">
      <c r="B3" s="19" t="s">
        <v>23</v>
      </c>
      <c r="C3" s="24" t="s">
        <v>24</v>
      </c>
      <c r="D3" s="24" t="s">
        <v>25</v>
      </c>
      <c r="G3" s="24" t="s">
        <v>26</v>
      </c>
      <c r="H3" s="24" t="s">
        <v>27</v>
      </c>
      <c r="I3" s="24" t="s">
        <v>28</v>
      </c>
      <c r="J3" s="24" t="s">
        <v>29</v>
      </c>
      <c r="K3" s="24" t="s">
        <v>30</v>
      </c>
      <c r="L3" s="24" t="s">
        <v>31</v>
      </c>
      <c r="M3" s="24" t="s">
        <v>32</v>
      </c>
      <c r="N3" s="24" t="s">
        <v>33</v>
      </c>
      <c r="P3" s="24" t="s">
        <v>34</v>
      </c>
      <c r="Q3" s="24" t="s">
        <v>35</v>
      </c>
      <c r="R3" s="24" t="s">
        <v>36</v>
      </c>
      <c r="S3" s="24" t="s">
        <v>37</v>
      </c>
      <c r="T3" s="24" t="s">
        <v>38</v>
      </c>
      <c r="U3" s="24" t="s">
        <v>39</v>
      </c>
      <c r="X3" s="23" t="s">
        <v>40</v>
      </c>
      <c r="Y3" s="23" t="s">
        <v>41</v>
      </c>
      <c r="AA3" s="24" t="s">
        <v>42</v>
      </c>
    </row>
    <row r="4" spans="2:27" ht="58" x14ac:dyDescent="0.4">
      <c r="C4" s="24" t="s">
        <v>43</v>
      </c>
      <c r="D4" s="24" t="s">
        <v>44</v>
      </c>
      <c r="G4" s="24" t="s">
        <v>45</v>
      </c>
      <c r="H4" s="24" t="s">
        <v>46</v>
      </c>
      <c r="I4" s="24" t="s">
        <v>47</v>
      </c>
      <c r="J4" s="24" t="s">
        <v>48</v>
      </c>
      <c r="M4" s="24" t="s">
        <v>49</v>
      </c>
      <c r="N4" s="24" t="s">
        <v>50</v>
      </c>
      <c r="P4" s="24" t="s">
        <v>51</v>
      </c>
      <c r="Q4" s="24" t="s">
        <v>52</v>
      </c>
      <c r="R4" s="24" t="s">
        <v>53</v>
      </c>
      <c r="S4" s="24" t="s">
        <v>54</v>
      </c>
      <c r="U4" s="24" t="s">
        <v>55</v>
      </c>
      <c r="X4" s="2" t="s">
        <v>56</v>
      </c>
      <c r="Y4" s="2" t="s">
        <v>57</v>
      </c>
      <c r="AA4" s="26" t="s">
        <v>58</v>
      </c>
    </row>
    <row r="5" spans="2:27" ht="43.5" x14ac:dyDescent="0.4">
      <c r="G5" s="24" t="s">
        <v>59</v>
      </c>
      <c r="I5" s="24" t="s">
        <v>60</v>
      </c>
      <c r="J5" s="24" t="s">
        <v>61</v>
      </c>
      <c r="M5" s="24" t="s">
        <v>62</v>
      </c>
      <c r="N5" s="24" t="s">
        <v>63</v>
      </c>
      <c r="P5" s="24" t="s">
        <v>64</v>
      </c>
      <c r="Q5" s="24" t="s">
        <v>65</v>
      </c>
      <c r="S5" s="24" t="s">
        <v>66</v>
      </c>
      <c r="U5" s="24" t="s">
        <v>67</v>
      </c>
      <c r="X5" s="2" t="s">
        <v>68</v>
      </c>
      <c r="Y5" s="2" t="s">
        <v>69</v>
      </c>
      <c r="AA5" s="26"/>
    </row>
    <row r="6" spans="2:27" ht="43.5" x14ac:dyDescent="0.4">
      <c r="G6" s="24" t="s">
        <v>70</v>
      </c>
      <c r="I6" s="24" t="s">
        <v>71</v>
      </c>
      <c r="J6" s="24" t="s">
        <v>72</v>
      </c>
      <c r="M6" s="24" t="s">
        <v>73</v>
      </c>
      <c r="N6" s="24" t="s">
        <v>74</v>
      </c>
      <c r="Q6" s="24" t="s">
        <v>75</v>
      </c>
      <c r="S6" s="24" t="s">
        <v>76</v>
      </c>
      <c r="U6" s="24" t="s">
        <v>77</v>
      </c>
      <c r="X6" s="2" t="s">
        <v>78</v>
      </c>
      <c r="Y6" s="2" t="s">
        <v>79</v>
      </c>
      <c r="AA6" s="26" t="s">
        <v>80</v>
      </c>
    </row>
    <row r="7" spans="2:27" ht="29" x14ac:dyDescent="0.4">
      <c r="G7" s="24" t="s">
        <v>81</v>
      </c>
      <c r="I7" s="24" t="s">
        <v>82</v>
      </c>
      <c r="J7" s="24" t="s">
        <v>83</v>
      </c>
      <c r="M7" s="24" t="s">
        <v>84</v>
      </c>
      <c r="Q7" s="24" t="s">
        <v>85</v>
      </c>
      <c r="S7" s="2" t="s">
        <v>86</v>
      </c>
      <c r="X7" s="2" t="s">
        <v>87</v>
      </c>
      <c r="Y7" s="2" t="s">
        <v>88</v>
      </c>
      <c r="AA7" s="26"/>
    </row>
    <row r="8" spans="2:27" ht="29" x14ac:dyDescent="0.4">
      <c r="I8" s="24" t="s">
        <v>89</v>
      </c>
      <c r="M8" s="24" t="s">
        <v>90</v>
      </c>
      <c r="Q8" s="24" t="s">
        <v>91</v>
      </c>
      <c r="S8" s="2" t="s">
        <v>92</v>
      </c>
      <c r="X8" s="2" t="s">
        <v>93</v>
      </c>
      <c r="Y8" s="2" t="s">
        <v>94</v>
      </c>
      <c r="AA8" s="26"/>
    </row>
    <row r="9" spans="2:27" ht="43.5" x14ac:dyDescent="0.4">
      <c r="I9" s="24" t="s">
        <v>95</v>
      </c>
      <c r="M9" s="24" t="s">
        <v>96</v>
      </c>
      <c r="Q9" s="24" t="s">
        <v>97</v>
      </c>
      <c r="S9" s="2" t="s">
        <v>98</v>
      </c>
      <c r="X9" s="2" t="s">
        <v>99</v>
      </c>
    </row>
    <row r="10" spans="2:27" ht="43.5" x14ac:dyDescent="0.4">
      <c r="I10" s="24" t="s">
        <v>100</v>
      </c>
      <c r="M10" s="24" t="s">
        <v>101</v>
      </c>
      <c r="Q10" s="24" t="s">
        <v>102</v>
      </c>
      <c r="S10" s="2" t="s">
        <v>103</v>
      </c>
      <c r="X10" s="2" t="s">
        <v>104</v>
      </c>
    </row>
    <row r="11" spans="2:27" ht="43.5" x14ac:dyDescent="0.4">
      <c r="I11" s="24" t="s">
        <v>105</v>
      </c>
      <c r="S11" s="24" t="s">
        <v>106</v>
      </c>
      <c r="X11" s="2" t="s">
        <v>107</v>
      </c>
    </row>
    <row r="12" spans="2:27" ht="43.5" x14ac:dyDescent="0.4">
      <c r="I12" s="24" t="s">
        <v>108</v>
      </c>
      <c r="X12" s="2" t="s">
        <v>109</v>
      </c>
    </row>
    <row r="13" spans="2:27" x14ac:dyDescent="0.4">
      <c r="X13" s="2" t="s">
        <v>110</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Footer>&amp;L_x000D_&amp;1#&amp;"Calibri"&amp;9&amp;K0078D7 Information Classification: General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70"/>
  <sheetViews>
    <sheetView tabSelected="1" zoomScale="58" zoomScaleNormal="58" workbookViewId="0">
      <pane ySplit="2" topLeftCell="A162" activePane="bottomLeft" state="frozen"/>
      <selection pane="bottomLeft" activeCell="K253" sqref="K253"/>
    </sheetView>
  </sheetViews>
  <sheetFormatPr defaultColWidth="8.765625" defaultRowHeight="15" customHeight="1" x14ac:dyDescent="0.45"/>
  <cols>
    <col min="1" max="7" width="17" style="134" customWidth="1"/>
    <col min="8" max="8" width="23.4609375" style="134" customWidth="1"/>
    <col min="9" max="9" width="24.07421875" style="134" customWidth="1"/>
    <col min="10" max="10" width="21.765625" style="134" customWidth="1"/>
    <col min="11" max="11" width="22.4609375" style="134" customWidth="1"/>
    <col min="12" max="12" width="17" style="134" customWidth="1"/>
    <col min="13" max="13" width="21.23046875" style="134" customWidth="1"/>
    <col min="14" max="14" width="17" style="134" customWidth="1"/>
    <col min="15" max="15" width="14.07421875" style="134" customWidth="1"/>
    <col min="16" max="16" width="13.765625" style="153" customWidth="1"/>
    <col min="17" max="17" width="10.23046875" style="134" customWidth="1"/>
    <col min="18" max="18" width="14.23046875" style="154" customWidth="1"/>
    <col min="19" max="19" width="7.3046875" style="134" customWidth="1"/>
    <col min="20" max="20" width="11.23046875" style="134" bestFit="1" customWidth="1"/>
    <col min="21" max="21" width="11.23046875" style="134" customWidth="1"/>
    <col min="22" max="22" width="12.765625" style="134" customWidth="1"/>
    <col min="23" max="23" width="9.84375" style="134" customWidth="1"/>
    <col min="24" max="24" width="8" style="134" customWidth="1"/>
    <col min="25" max="25" width="34.84375" style="151" customWidth="1"/>
    <col min="26" max="26" width="20.69140625" style="134" customWidth="1"/>
    <col min="27" max="27" width="55.4609375" style="134" customWidth="1"/>
    <col min="28" max="28" width="17" style="149" customWidth="1"/>
    <col min="29" max="29" width="23.69140625" style="149" customWidth="1"/>
    <col min="30" max="259" width="17" style="134" customWidth="1"/>
    <col min="260" max="16384" width="8.765625" style="134"/>
  </cols>
  <sheetData>
    <row r="1" spans="1:29" ht="15" customHeight="1" x14ac:dyDescent="0.45">
      <c r="A1" s="169"/>
      <c r="B1" s="169"/>
      <c r="C1" s="169"/>
      <c r="D1" s="169"/>
      <c r="E1" s="169"/>
      <c r="F1" s="169"/>
      <c r="G1" s="170" t="s">
        <v>111</v>
      </c>
      <c r="H1" s="170"/>
      <c r="I1" s="170"/>
      <c r="J1" s="170"/>
      <c r="K1" s="170"/>
      <c r="L1" s="170"/>
      <c r="M1" s="171" t="s">
        <v>112</v>
      </c>
      <c r="N1" s="171"/>
      <c r="O1" s="171"/>
      <c r="P1" s="171"/>
      <c r="Q1" s="171"/>
      <c r="R1" s="171"/>
      <c r="S1" s="171"/>
      <c r="T1" s="171"/>
      <c r="U1" s="171"/>
      <c r="V1" s="171"/>
      <c r="W1" s="171"/>
      <c r="X1" s="171"/>
      <c r="Y1" s="172" t="s">
        <v>113</v>
      </c>
      <c r="Z1" s="172"/>
      <c r="AA1" s="172"/>
      <c r="AB1" s="172"/>
      <c r="AC1" s="133"/>
    </row>
    <row r="2" spans="1:29" s="145" customFormat="1" ht="26.5" customHeight="1" x14ac:dyDescent="0.45">
      <c r="A2" s="135" t="s">
        <v>114</v>
      </c>
      <c r="B2" s="136" t="s">
        <v>115</v>
      </c>
      <c r="C2" s="136" t="s">
        <v>116</v>
      </c>
      <c r="D2" s="136" t="s">
        <v>117</v>
      </c>
      <c r="E2" s="136" t="s">
        <v>118</v>
      </c>
      <c r="F2" s="136" t="s">
        <v>119</v>
      </c>
      <c r="G2" s="137" t="s">
        <v>120</v>
      </c>
      <c r="H2" s="137" t="s">
        <v>121</v>
      </c>
      <c r="I2" s="137" t="s">
        <v>122</v>
      </c>
      <c r="J2" s="138" t="s">
        <v>123</v>
      </c>
      <c r="K2" s="138" t="s">
        <v>124</v>
      </c>
      <c r="L2" s="138" t="s">
        <v>125</v>
      </c>
      <c r="M2" s="139" t="s">
        <v>126</v>
      </c>
      <c r="N2" s="139" t="s">
        <v>127</v>
      </c>
      <c r="O2" s="155" t="s">
        <v>128</v>
      </c>
      <c r="P2" s="140" t="s">
        <v>129</v>
      </c>
      <c r="Q2" s="139" t="s">
        <v>130</v>
      </c>
      <c r="R2" s="141" t="s">
        <v>131</v>
      </c>
      <c r="S2" s="142" t="s">
        <v>132</v>
      </c>
      <c r="T2" s="142" t="s">
        <v>133</v>
      </c>
      <c r="U2" s="162" t="s">
        <v>3051</v>
      </c>
      <c r="V2" s="142" t="s">
        <v>134</v>
      </c>
      <c r="W2" s="143" t="s">
        <v>135</v>
      </c>
      <c r="X2" s="143" t="s">
        <v>136</v>
      </c>
      <c r="Y2" s="161" t="s">
        <v>137</v>
      </c>
      <c r="Z2" s="144" t="s">
        <v>138</v>
      </c>
      <c r="AA2" s="144" t="s">
        <v>139</v>
      </c>
      <c r="AB2" s="132" t="s">
        <v>140</v>
      </c>
      <c r="AC2" s="133" t="s">
        <v>141</v>
      </c>
    </row>
    <row r="3" spans="1:29" ht="15" customHeight="1" x14ac:dyDescent="0.45">
      <c r="A3" s="134" t="s">
        <v>142</v>
      </c>
      <c r="B3" s="134" t="s">
        <v>143</v>
      </c>
      <c r="C3" s="134" t="s">
        <v>144</v>
      </c>
      <c r="D3" s="134" t="s">
        <v>142</v>
      </c>
      <c r="E3" s="134" t="s">
        <v>143</v>
      </c>
      <c r="F3" s="134" t="s">
        <v>166</v>
      </c>
      <c r="G3" s="134" t="s">
        <v>160</v>
      </c>
      <c r="H3" s="134" t="s">
        <v>161</v>
      </c>
      <c r="I3" s="134" t="s">
        <v>95</v>
      </c>
      <c r="J3" s="134" t="s">
        <v>3083</v>
      </c>
      <c r="K3" s="134" t="s">
        <v>3084</v>
      </c>
      <c r="L3" s="134" t="s">
        <v>149</v>
      </c>
      <c r="M3" s="134" t="s">
        <v>387</v>
      </c>
      <c r="N3" s="134" t="s">
        <v>170</v>
      </c>
      <c r="P3" s="134" t="s">
        <v>171</v>
      </c>
      <c r="Q3" s="134" t="s">
        <v>153</v>
      </c>
      <c r="R3" s="146">
        <v>12.015000000000001</v>
      </c>
      <c r="S3" s="134" t="s">
        <v>154</v>
      </c>
      <c r="T3" s="146">
        <v>12.015000000000001</v>
      </c>
      <c r="U3" s="146"/>
      <c r="V3" s="134" t="s">
        <v>155</v>
      </c>
      <c r="W3" s="147" t="s">
        <v>299</v>
      </c>
      <c r="X3" s="134">
        <v>2021</v>
      </c>
      <c r="Y3" s="151" t="s">
        <v>3085</v>
      </c>
      <c r="AA3" s="160" t="s">
        <v>3086</v>
      </c>
      <c r="AB3" s="163">
        <v>44350</v>
      </c>
      <c r="AC3" s="150">
        <v>45887</v>
      </c>
    </row>
    <row r="4" spans="1:29" ht="15" customHeight="1" x14ac:dyDescent="0.45">
      <c r="A4" s="134" t="s">
        <v>142</v>
      </c>
      <c r="B4" s="134" t="s">
        <v>143</v>
      </c>
      <c r="C4" s="134" t="s">
        <v>144</v>
      </c>
      <c r="D4" s="134" t="s">
        <v>142</v>
      </c>
      <c r="E4" s="134" t="s">
        <v>143</v>
      </c>
      <c r="F4" s="134" t="s">
        <v>166</v>
      </c>
      <c r="G4" s="134" t="s">
        <v>152</v>
      </c>
      <c r="H4" s="134" t="s">
        <v>171</v>
      </c>
      <c r="I4" s="134" t="s">
        <v>171</v>
      </c>
      <c r="J4" s="134" t="s">
        <v>3087</v>
      </c>
      <c r="K4" s="134" t="s">
        <v>3087</v>
      </c>
      <c r="L4" s="134" t="s">
        <v>171</v>
      </c>
      <c r="M4" s="134" t="s">
        <v>1396</v>
      </c>
      <c r="N4" s="134" t="s">
        <v>170</v>
      </c>
      <c r="P4" s="134" t="s">
        <v>171</v>
      </c>
      <c r="Q4" s="134" t="s">
        <v>153</v>
      </c>
      <c r="R4" s="146">
        <v>2493</v>
      </c>
      <c r="S4" s="134" t="s">
        <v>154</v>
      </c>
      <c r="T4" s="146">
        <v>2493</v>
      </c>
      <c r="U4" s="146"/>
      <c r="V4" s="134" t="s">
        <v>155</v>
      </c>
      <c r="W4" s="147" t="s">
        <v>299</v>
      </c>
      <c r="X4" s="134">
        <v>2021</v>
      </c>
      <c r="Y4" s="151" t="s">
        <v>3088</v>
      </c>
      <c r="AA4" s="160" t="s">
        <v>3089</v>
      </c>
      <c r="AB4" s="163">
        <v>44351</v>
      </c>
      <c r="AC4" s="150">
        <v>45887</v>
      </c>
    </row>
    <row r="5" spans="1:29" ht="15" customHeight="1" x14ac:dyDescent="0.45">
      <c r="A5" s="134" t="s">
        <v>142</v>
      </c>
      <c r="B5" s="134" t="s">
        <v>143</v>
      </c>
      <c r="C5" s="134" t="s">
        <v>144</v>
      </c>
      <c r="D5" s="134" t="s">
        <v>142</v>
      </c>
      <c r="E5" s="134" t="s">
        <v>143</v>
      </c>
      <c r="F5" s="134" t="s">
        <v>166</v>
      </c>
      <c r="G5" s="134" t="s">
        <v>146</v>
      </c>
      <c r="H5" s="134" t="s">
        <v>147</v>
      </c>
      <c r="I5" s="134" t="s">
        <v>426</v>
      </c>
      <c r="J5" s="134" t="s">
        <v>3090</v>
      </c>
      <c r="K5" s="134" t="s">
        <v>3090</v>
      </c>
      <c r="L5" s="134" t="s">
        <v>149</v>
      </c>
      <c r="M5" s="134" t="s">
        <v>568</v>
      </c>
      <c r="N5" s="134" t="s">
        <v>170</v>
      </c>
      <c r="P5" s="134">
        <v>1</v>
      </c>
      <c r="Q5" s="134" t="s">
        <v>153</v>
      </c>
      <c r="R5" s="146">
        <v>149.053</v>
      </c>
      <c r="S5" s="134" t="s">
        <v>154</v>
      </c>
      <c r="T5" s="146">
        <v>149.053</v>
      </c>
      <c r="U5" s="146"/>
      <c r="V5" s="134" t="s">
        <v>155</v>
      </c>
      <c r="W5" s="147" t="s">
        <v>299</v>
      </c>
      <c r="X5" s="134">
        <v>2021</v>
      </c>
      <c r="Y5" s="151" t="s">
        <v>3091</v>
      </c>
      <c r="AA5" s="160" t="s">
        <v>3089</v>
      </c>
      <c r="AB5" s="163">
        <v>44351</v>
      </c>
      <c r="AC5" s="150">
        <v>45887</v>
      </c>
    </row>
    <row r="6" spans="1:29" ht="15" customHeight="1" x14ac:dyDescent="0.45">
      <c r="A6" s="134" t="s">
        <v>142</v>
      </c>
      <c r="B6" s="134" t="s">
        <v>143</v>
      </c>
      <c r="C6" s="134" t="s">
        <v>144</v>
      </c>
      <c r="D6" s="134" t="s">
        <v>142</v>
      </c>
      <c r="E6" s="134" t="s">
        <v>143</v>
      </c>
      <c r="F6" s="134" t="s">
        <v>166</v>
      </c>
      <c r="G6" s="134" t="s">
        <v>146</v>
      </c>
      <c r="H6" s="134" t="s">
        <v>231</v>
      </c>
      <c r="I6" s="134" t="s">
        <v>301</v>
      </c>
      <c r="J6" s="134" t="s">
        <v>3092</v>
      </c>
      <c r="K6" s="134" t="s">
        <v>3093</v>
      </c>
      <c r="L6" s="134" t="s">
        <v>149</v>
      </c>
      <c r="M6" s="134" t="s">
        <v>199</v>
      </c>
      <c r="N6" s="134" t="s">
        <v>151</v>
      </c>
      <c r="O6" s="134">
        <v>25</v>
      </c>
      <c r="P6" s="134" t="s">
        <v>171</v>
      </c>
      <c r="Q6" s="134" t="s">
        <v>153</v>
      </c>
      <c r="R6" s="146">
        <v>98.748999999999995</v>
      </c>
      <c r="S6" s="134" t="s">
        <v>154</v>
      </c>
      <c r="T6" s="146">
        <v>98.748999999999995</v>
      </c>
      <c r="U6" s="146"/>
      <c r="V6" s="134" t="s">
        <v>155</v>
      </c>
      <c r="W6" s="147" t="s">
        <v>299</v>
      </c>
      <c r="X6" s="134">
        <v>2021</v>
      </c>
      <c r="Y6" s="151" t="s">
        <v>3094</v>
      </c>
      <c r="AA6" s="160" t="s">
        <v>3089</v>
      </c>
      <c r="AB6" s="163">
        <v>44351</v>
      </c>
      <c r="AC6" s="150">
        <v>45887</v>
      </c>
    </row>
    <row r="7" spans="1:29" ht="15" customHeight="1" x14ac:dyDescent="0.45">
      <c r="A7" s="134" t="s">
        <v>142</v>
      </c>
      <c r="B7" s="134" t="s">
        <v>143</v>
      </c>
      <c r="C7" s="134" t="s">
        <v>144</v>
      </c>
      <c r="D7" s="134" t="s">
        <v>142</v>
      </c>
      <c r="E7" s="134" t="s">
        <v>143</v>
      </c>
      <c r="F7" s="134" t="s">
        <v>166</v>
      </c>
      <c r="G7" s="134" t="s">
        <v>146</v>
      </c>
      <c r="H7" s="134" t="s">
        <v>236</v>
      </c>
      <c r="I7" s="134" t="s">
        <v>243</v>
      </c>
      <c r="J7" s="134" t="s">
        <v>3095</v>
      </c>
      <c r="K7" s="134" t="s">
        <v>3096</v>
      </c>
      <c r="L7" s="134" t="s">
        <v>149</v>
      </c>
      <c r="M7" s="134" t="s">
        <v>302</v>
      </c>
      <c r="N7" s="134" t="s">
        <v>151</v>
      </c>
      <c r="O7" s="134">
        <v>8</v>
      </c>
      <c r="P7" s="134" t="s">
        <v>171</v>
      </c>
      <c r="Q7" s="134" t="s">
        <v>153</v>
      </c>
      <c r="R7" s="146">
        <v>63.805</v>
      </c>
      <c r="S7" s="134" t="s">
        <v>154</v>
      </c>
      <c r="T7" s="146">
        <v>63.805</v>
      </c>
      <c r="U7" s="146"/>
      <c r="V7" s="134" t="s">
        <v>155</v>
      </c>
      <c r="W7" s="147" t="s">
        <v>299</v>
      </c>
      <c r="X7" s="134">
        <v>2021</v>
      </c>
      <c r="Y7" s="151" t="s">
        <v>3097</v>
      </c>
      <c r="AA7" s="160" t="s">
        <v>3089</v>
      </c>
      <c r="AB7" s="163">
        <v>44351</v>
      </c>
      <c r="AC7" s="150">
        <v>45887</v>
      </c>
    </row>
    <row r="8" spans="1:29" ht="15" customHeight="1" x14ac:dyDescent="0.45">
      <c r="A8" s="134" t="s">
        <v>142</v>
      </c>
      <c r="B8" s="134" t="s">
        <v>143</v>
      </c>
      <c r="C8" s="134" t="s">
        <v>144</v>
      </c>
      <c r="D8" s="134" t="s">
        <v>142</v>
      </c>
      <c r="E8" s="134" t="s">
        <v>143</v>
      </c>
      <c r="F8" s="134" t="s">
        <v>166</v>
      </c>
      <c r="G8" s="134" t="s">
        <v>146</v>
      </c>
      <c r="H8" s="134" t="s">
        <v>236</v>
      </c>
      <c r="I8" s="134" t="s">
        <v>243</v>
      </c>
      <c r="J8" s="134" t="s">
        <v>3098</v>
      </c>
      <c r="K8" s="134" t="s">
        <v>3099</v>
      </c>
      <c r="L8" s="134" t="s">
        <v>149</v>
      </c>
      <c r="M8" s="134" t="s">
        <v>196</v>
      </c>
      <c r="N8" s="134" t="s">
        <v>170</v>
      </c>
      <c r="P8" s="134" t="s">
        <v>152</v>
      </c>
      <c r="Q8" s="134" t="s">
        <v>153</v>
      </c>
      <c r="R8" s="146">
        <v>18.693999999999999</v>
      </c>
      <c r="S8" s="134" t="s">
        <v>154</v>
      </c>
      <c r="T8" s="146">
        <v>18.693999999999999</v>
      </c>
      <c r="U8" s="146"/>
      <c r="V8" s="134" t="s">
        <v>155</v>
      </c>
      <c r="W8" s="147" t="s">
        <v>299</v>
      </c>
      <c r="X8" s="134">
        <v>2021</v>
      </c>
      <c r="Y8" s="151" t="s">
        <v>3100</v>
      </c>
      <c r="AA8" s="160" t="s">
        <v>3089</v>
      </c>
      <c r="AB8" s="163">
        <v>44351</v>
      </c>
      <c r="AC8" s="150">
        <v>45887</v>
      </c>
    </row>
    <row r="9" spans="1:29" ht="15" customHeight="1" x14ac:dyDescent="0.45">
      <c r="A9" s="134" t="s">
        <v>142</v>
      </c>
      <c r="B9" s="134" t="s">
        <v>143</v>
      </c>
      <c r="C9" s="134" t="s">
        <v>159</v>
      </c>
      <c r="D9" s="134" t="s">
        <v>142</v>
      </c>
      <c r="E9" s="134" t="s">
        <v>143</v>
      </c>
      <c r="F9" s="134" t="s">
        <v>166</v>
      </c>
      <c r="G9" s="134" t="s">
        <v>172</v>
      </c>
      <c r="H9" s="134" t="s">
        <v>173</v>
      </c>
      <c r="I9" s="134" t="s">
        <v>173</v>
      </c>
      <c r="J9" s="134" t="s">
        <v>3101</v>
      </c>
      <c r="K9" s="134" t="s">
        <v>3102</v>
      </c>
      <c r="L9" s="134" t="s">
        <v>171</v>
      </c>
      <c r="M9" s="134" t="s">
        <v>210</v>
      </c>
      <c r="N9" s="134" t="s">
        <v>151</v>
      </c>
      <c r="O9" s="134">
        <v>60</v>
      </c>
      <c r="P9" s="134" t="s">
        <v>171</v>
      </c>
      <c r="Q9" s="134" t="s">
        <v>153</v>
      </c>
      <c r="R9" s="146">
        <v>1010</v>
      </c>
      <c r="S9" s="134" t="s">
        <v>154</v>
      </c>
      <c r="T9" s="146">
        <v>1010</v>
      </c>
      <c r="U9" s="146"/>
      <c r="V9" s="134" t="s">
        <v>155</v>
      </c>
      <c r="W9" s="147" t="s">
        <v>299</v>
      </c>
      <c r="X9" s="134">
        <v>2021</v>
      </c>
      <c r="Y9" s="151" t="s">
        <v>3103</v>
      </c>
      <c r="AA9" s="160" t="s">
        <v>3089</v>
      </c>
      <c r="AB9" s="163">
        <v>44351</v>
      </c>
      <c r="AC9" s="150">
        <v>45887</v>
      </c>
    </row>
    <row r="10" spans="1:29" ht="15" customHeight="1" x14ac:dyDescent="0.45">
      <c r="A10" s="134" t="s">
        <v>142</v>
      </c>
      <c r="B10" s="134" t="s">
        <v>143</v>
      </c>
      <c r="C10" s="134" t="s">
        <v>159</v>
      </c>
      <c r="D10" s="134" t="s">
        <v>142</v>
      </c>
      <c r="E10" s="134" t="s">
        <v>143</v>
      </c>
      <c r="F10" s="134" t="s">
        <v>166</v>
      </c>
      <c r="G10" s="134" t="s">
        <v>152</v>
      </c>
      <c r="H10" s="134" t="s">
        <v>171</v>
      </c>
      <c r="I10" s="134" t="s">
        <v>171</v>
      </c>
      <c r="J10" s="134" t="s">
        <v>3104</v>
      </c>
      <c r="K10" s="134" t="s">
        <v>3104</v>
      </c>
      <c r="L10" s="134" t="s">
        <v>171</v>
      </c>
      <c r="M10" s="134" t="s">
        <v>208</v>
      </c>
      <c r="N10" s="134" t="s">
        <v>175</v>
      </c>
      <c r="P10" s="134" t="s">
        <v>171</v>
      </c>
      <c r="Q10" s="134" t="s">
        <v>153</v>
      </c>
      <c r="R10" s="146">
        <v>92</v>
      </c>
      <c r="S10" s="134" t="s">
        <v>154</v>
      </c>
      <c r="T10" s="146">
        <v>92</v>
      </c>
      <c r="U10" s="146"/>
      <c r="V10" s="134" t="s">
        <v>155</v>
      </c>
      <c r="W10" s="147" t="s">
        <v>299</v>
      </c>
      <c r="X10" s="134">
        <v>2021</v>
      </c>
      <c r="Y10" s="151" t="s">
        <v>3105</v>
      </c>
      <c r="AA10" s="160" t="s">
        <v>3089</v>
      </c>
      <c r="AB10" s="163">
        <v>44351</v>
      </c>
      <c r="AC10" s="150">
        <v>45887</v>
      </c>
    </row>
    <row r="11" spans="1:29" ht="15" customHeight="1" x14ac:dyDescent="0.45">
      <c r="A11" s="134" t="s">
        <v>265</v>
      </c>
      <c r="B11" s="134" t="s">
        <v>904</v>
      </c>
      <c r="C11" s="134" t="s">
        <v>159</v>
      </c>
      <c r="D11" s="134" t="s">
        <v>142</v>
      </c>
      <c r="E11" s="134" t="s">
        <v>143</v>
      </c>
      <c r="F11" s="134" t="s">
        <v>145</v>
      </c>
      <c r="G11" s="134" t="s">
        <v>160</v>
      </c>
      <c r="H11" s="134" t="s">
        <v>161</v>
      </c>
      <c r="I11" s="134" t="s">
        <v>162</v>
      </c>
      <c r="J11" s="134" t="s">
        <v>3106</v>
      </c>
      <c r="K11" s="134" t="s">
        <v>3107</v>
      </c>
      <c r="L11" s="134" t="s">
        <v>149</v>
      </c>
      <c r="N11" s="134" t="s">
        <v>151</v>
      </c>
      <c r="O11" s="134">
        <v>18</v>
      </c>
      <c r="P11" s="134" t="s">
        <v>171</v>
      </c>
      <c r="Q11" s="134" t="s">
        <v>153</v>
      </c>
      <c r="R11" s="146">
        <v>24.988</v>
      </c>
      <c r="S11" s="134" t="s">
        <v>154</v>
      </c>
      <c r="T11" s="146">
        <v>24.988</v>
      </c>
      <c r="U11" s="146"/>
      <c r="V11" s="134" t="s">
        <v>181</v>
      </c>
      <c r="W11" s="147" t="s">
        <v>299</v>
      </c>
      <c r="X11" s="134">
        <v>2021</v>
      </c>
      <c r="Y11" s="151" t="s">
        <v>3108</v>
      </c>
      <c r="AA11" s="160" t="s">
        <v>3089</v>
      </c>
      <c r="AB11" s="163">
        <v>44351</v>
      </c>
      <c r="AC11" s="150">
        <v>45887</v>
      </c>
    </row>
    <row r="12" spans="1:29" ht="15" customHeight="1" x14ac:dyDescent="0.45">
      <c r="A12" s="134" t="s">
        <v>142</v>
      </c>
      <c r="B12" s="134" t="s">
        <v>143</v>
      </c>
      <c r="C12" s="134" t="s">
        <v>189</v>
      </c>
      <c r="D12" s="134" t="s">
        <v>142</v>
      </c>
      <c r="E12" s="134" t="s">
        <v>143</v>
      </c>
      <c r="F12" s="134" t="s">
        <v>166</v>
      </c>
      <c r="G12" s="134" t="s">
        <v>176</v>
      </c>
      <c r="H12" s="134" t="s">
        <v>215</v>
      </c>
      <c r="I12" s="134" t="s">
        <v>351</v>
      </c>
      <c r="J12" s="134" t="s">
        <v>3109</v>
      </c>
      <c r="K12" s="134" t="s">
        <v>3110</v>
      </c>
      <c r="L12" s="134" t="s">
        <v>171</v>
      </c>
      <c r="M12" s="134" t="s">
        <v>210</v>
      </c>
      <c r="N12" s="134" t="s">
        <v>170</v>
      </c>
      <c r="P12" s="134" t="s">
        <v>171</v>
      </c>
      <c r="Q12" s="134" t="s">
        <v>153</v>
      </c>
      <c r="R12" s="146">
        <v>172.357</v>
      </c>
      <c r="S12" s="134" t="s">
        <v>154</v>
      </c>
      <c r="T12" s="146">
        <v>172.357</v>
      </c>
      <c r="U12" s="146"/>
      <c r="V12" s="134" t="s">
        <v>155</v>
      </c>
      <c r="W12" s="147" t="s">
        <v>299</v>
      </c>
      <c r="X12" s="134">
        <v>2021</v>
      </c>
      <c r="Y12" s="151" t="s">
        <v>3111</v>
      </c>
      <c r="AA12" s="160" t="s">
        <v>3089</v>
      </c>
      <c r="AB12" s="163">
        <v>44351</v>
      </c>
      <c r="AC12" s="150">
        <v>45887</v>
      </c>
    </row>
    <row r="13" spans="1:29" ht="15" customHeight="1" x14ac:dyDescent="0.45">
      <c r="A13" s="134" t="s">
        <v>142</v>
      </c>
      <c r="B13" s="134" t="s">
        <v>143</v>
      </c>
      <c r="C13" s="134" t="s">
        <v>189</v>
      </c>
      <c r="D13" s="134" t="s">
        <v>142</v>
      </c>
      <c r="E13" s="134" t="s">
        <v>143</v>
      </c>
      <c r="F13" s="134" t="s">
        <v>166</v>
      </c>
      <c r="G13" s="134" t="s">
        <v>160</v>
      </c>
      <c r="H13" s="134" t="s">
        <v>221</v>
      </c>
      <c r="I13" s="134" t="s">
        <v>222</v>
      </c>
      <c r="J13" s="134" t="s">
        <v>3112</v>
      </c>
      <c r="K13" s="134" t="s">
        <v>3113</v>
      </c>
      <c r="L13" s="134" t="s">
        <v>149</v>
      </c>
      <c r="M13" s="134" t="s">
        <v>304</v>
      </c>
      <c r="N13" s="134" t="s">
        <v>151</v>
      </c>
      <c r="O13" s="134">
        <v>12</v>
      </c>
      <c r="P13" s="134" t="s">
        <v>171</v>
      </c>
      <c r="Q13" s="134" t="s">
        <v>153</v>
      </c>
      <c r="R13" s="146">
        <v>119.789</v>
      </c>
      <c r="S13" s="134" t="s">
        <v>154</v>
      </c>
      <c r="T13" s="146">
        <v>119.789</v>
      </c>
      <c r="U13" s="146"/>
      <c r="V13" s="134" t="s">
        <v>155</v>
      </c>
      <c r="W13" s="147" t="s">
        <v>299</v>
      </c>
      <c r="X13" s="134">
        <v>2021</v>
      </c>
      <c r="Y13" s="151" t="s">
        <v>3114</v>
      </c>
      <c r="AA13" s="134" t="s">
        <v>3115</v>
      </c>
      <c r="AB13" s="163">
        <v>44354</v>
      </c>
      <c r="AC13" s="150">
        <v>45887</v>
      </c>
    </row>
    <row r="14" spans="1:29" ht="15" customHeight="1" x14ac:dyDescent="0.45">
      <c r="A14" s="134" t="s">
        <v>142</v>
      </c>
      <c r="B14" s="134" t="s">
        <v>143</v>
      </c>
      <c r="C14" s="134" t="s">
        <v>189</v>
      </c>
      <c r="D14" s="134" t="s">
        <v>142</v>
      </c>
      <c r="E14" s="134" t="s">
        <v>143</v>
      </c>
      <c r="F14" s="134" t="s">
        <v>166</v>
      </c>
      <c r="G14" s="134" t="s">
        <v>176</v>
      </c>
      <c r="H14" s="134" t="s">
        <v>171</v>
      </c>
      <c r="I14" s="134" t="s">
        <v>171</v>
      </c>
      <c r="J14" s="134" t="s">
        <v>3116</v>
      </c>
      <c r="K14" s="134" t="s">
        <v>3116</v>
      </c>
      <c r="L14" s="134" t="s">
        <v>171</v>
      </c>
      <c r="N14" s="134" t="s">
        <v>170</v>
      </c>
      <c r="P14" s="134" t="s">
        <v>171</v>
      </c>
      <c r="Q14" s="134" t="s">
        <v>153</v>
      </c>
      <c r="R14" s="146">
        <v>95</v>
      </c>
      <c r="S14" s="134" t="s">
        <v>154</v>
      </c>
      <c r="T14" s="146">
        <v>95</v>
      </c>
      <c r="U14" s="146"/>
      <c r="V14" s="134" t="s">
        <v>155</v>
      </c>
      <c r="W14" s="147" t="s">
        <v>299</v>
      </c>
      <c r="X14" s="134">
        <v>2021</v>
      </c>
      <c r="Y14" s="151" t="s">
        <v>3117</v>
      </c>
      <c r="AA14" s="134" t="s">
        <v>3115</v>
      </c>
      <c r="AB14" s="163">
        <v>44354</v>
      </c>
      <c r="AC14" s="150">
        <v>45887</v>
      </c>
    </row>
    <row r="15" spans="1:29" ht="15" customHeight="1" x14ac:dyDescent="0.45">
      <c r="A15" s="134" t="s">
        <v>142</v>
      </c>
      <c r="B15" s="134" t="s">
        <v>143</v>
      </c>
      <c r="C15" s="134" t="s">
        <v>159</v>
      </c>
      <c r="D15" s="134" t="s">
        <v>142</v>
      </c>
      <c r="E15" s="134" t="s">
        <v>143</v>
      </c>
      <c r="F15" s="134" t="s">
        <v>166</v>
      </c>
      <c r="G15" s="134" t="s">
        <v>182</v>
      </c>
      <c r="H15" s="134" t="s">
        <v>278</v>
      </c>
      <c r="I15" s="134" t="s">
        <v>279</v>
      </c>
      <c r="J15" s="134" t="s">
        <v>3118</v>
      </c>
      <c r="K15" s="134" t="s">
        <v>3119</v>
      </c>
      <c r="L15" s="134" t="s">
        <v>171</v>
      </c>
      <c r="M15" s="134" t="s">
        <v>180</v>
      </c>
      <c r="N15" s="134" t="s">
        <v>151</v>
      </c>
      <c r="O15" s="134">
        <v>119</v>
      </c>
      <c r="P15" s="134" t="s">
        <v>171</v>
      </c>
      <c r="Q15" s="134" t="s">
        <v>153</v>
      </c>
      <c r="R15" s="146">
        <v>8.8520000000000003</v>
      </c>
      <c r="S15" s="134" t="s">
        <v>154</v>
      </c>
      <c r="T15" s="146">
        <v>8.8520000000000003</v>
      </c>
      <c r="U15" s="146"/>
      <c r="V15" s="134" t="s">
        <v>155</v>
      </c>
      <c r="W15" s="147" t="s">
        <v>299</v>
      </c>
      <c r="X15" s="134">
        <v>2021</v>
      </c>
      <c r="Y15" s="151" t="s">
        <v>3120</v>
      </c>
      <c r="AA15" s="134" t="s">
        <v>3115</v>
      </c>
      <c r="AB15" s="163">
        <v>44354</v>
      </c>
      <c r="AC15" s="150">
        <v>45887</v>
      </c>
    </row>
    <row r="16" spans="1:29" ht="15" customHeight="1" x14ac:dyDescent="0.45">
      <c r="A16" s="134" t="s">
        <v>142</v>
      </c>
      <c r="B16" s="134" t="s">
        <v>143</v>
      </c>
      <c r="C16" s="134" t="s">
        <v>144</v>
      </c>
      <c r="D16" s="134" t="s">
        <v>142</v>
      </c>
      <c r="E16" s="134" t="s">
        <v>143</v>
      </c>
      <c r="F16" s="134" t="s">
        <v>166</v>
      </c>
      <c r="G16" s="134" t="s">
        <v>146</v>
      </c>
      <c r="H16" s="134" t="s">
        <v>147</v>
      </c>
      <c r="I16" s="134" t="s">
        <v>903</v>
      </c>
      <c r="J16" s="134" t="s">
        <v>3121</v>
      </c>
      <c r="K16" s="134" t="s">
        <v>3122</v>
      </c>
      <c r="L16" s="134" t="s">
        <v>187</v>
      </c>
      <c r="M16" s="134" t="s">
        <v>455</v>
      </c>
      <c r="N16" s="134" t="s">
        <v>170</v>
      </c>
      <c r="P16" s="134" t="s">
        <v>171</v>
      </c>
      <c r="Q16" s="134" t="s">
        <v>153</v>
      </c>
      <c r="R16" s="146">
        <v>44</v>
      </c>
      <c r="S16" s="134" t="s">
        <v>154</v>
      </c>
      <c r="T16" s="146">
        <v>44</v>
      </c>
      <c r="U16" s="146"/>
      <c r="V16" s="134" t="s">
        <v>155</v>
      </c>
      <c r="W16" s="147" t="s">
        <v>299</v>
      </c>
      <c r="X16" s="134">
        <v>2021</v>
      </c>
      <c r="Y16" s="151" t="s">
        <v>3123</v>
      </c>
      <c r="AA16" s="134" t="s">
        <v>3115</v>
      </c>
      <c r="AB16" s="163">
        <v>44354</v>
      </c>
      <c r="AC16" s="150">
        <v>45887</v>
      </c>
    </row>
    <row r="17" spans="1:29" ht="15" customHeight="1" x14ac:dyDescent="0.45">
      <c r="A17" s="134" t="s">
        <v>142</v>
      </c>
      <c r="B17" s="134" t="s">
        <v>143</v>
      </c>
      <c r="C17" s="134" t="s">
        <v>144</v>
      </c>
      <c r="D17" s="134" t="s">
        <v>142</v>
      </c>
      <c r="E17" s="134" t="s">
        <v>143</v>
      </c>
      <c r="F17" s="134" t="s">
        <v>166</v>
      </c>
      <c r="G17" s="134" t="s">
        <v>146</v>
      </c>
      <c r="H17" s="134" t="s">
        <v>171</v>
      </c>
      <c r="I17" s="134" t="s">
        <v>171</v>
      </c>
      <c r="J17" s="134" t="s">
        <v>3124</v>
      </c>
      <c r="K17" s="134" t="s">
        <v>3124</v>
      </c>
      <c r="L17" s="134" t="s">
        <v>149</v>
      </c>
      <c r="N17" s="134" t="s">
        <v>151</v>
      </c>
      <c r="O17" s="134">
        <v>13</v>
      </c>
      <c r="P17" s="134" t="s">
        <v>171</v>
      </c>
      <c r="Q17" s="134" t="s">
        <v>153</v>
      </c>
      <c r="R17" s="146">
        <v>10.834</v>
      </c>
      <c r="S17" s="134" t="s">
        <v>154</v>
      </c>
      <c r="T17" s="146">
        <v>10.834</v>
      </c>
      <c r="U17" s="146"/>
      <c r="V17" s="134" t="s">
        <v>155</v>
      </c>
      <c r="W17" s="147" t="s">
        <v>299</v>
      </c>
      <c r="X17" s="134">
        <v>2021</v>
      </c>
      <c r="Y17" s="151" t="s">
        <v>3125</v>
      </c>
      <c r="AA17" s="134" t="s">
        <v>3115</v>
      </c>
      <c r="AB17" s="163">
        <v>44354</v>
      </c>
      <c r="AC17" s="150">
        <v>45887</v>
      </c>
    </row>
    <row r="18" spans="1:29" ht="15" customHeight="1" x14ac:dyDescent="0.45">
      <c r="A18" s="134" t="s">
        <v>142</v>
      </c>
      <c r="B18" s="134" t="s">
        <v>143</v>
      </c>
      <c r="C18" s="134" t="s">
        <v>144</v>
      </c>
      <c r="D18" s="134" t="s">
        <v>142</v>
      </c>
      <c r="E18" s="134" t="s">
        <v>143</v>
      </c>
      <c r="F18" s="134" t="s">
        <v>166</v>
      </c>
      <c r="G18" s="134" t="s">
        <v>167</v>
      </c>
      <c r="H18" s="134" t="s">
        <v>171</v>
      </c>
      <c r="I18" s="134" t="s">
        <v>171</v>
      </c>
      <c r="J18" s="134" t="s">
        <v>3126</v>
      </c>
      <c r="K18" s="134" t="s">
        <v>3126</v>
      </c>
      <c r="L18" s="134" t="s">
        <v>171</v>
      </c>
      <c r="M18" s="134" t="s">
        <v>384</v>
      </c>
      <c r="N18" s="134" t="s">
        <v>170</v>
      </c>
      <c r="P18" s="134" t="s">
        <v>171</v>
      </c>
      <c r="Q18" s="134" t="s">
        <v>153</v>
      </c>
      <c r="R18" s="146">
        <v>495</v>
      </c>
      <c r="S18" s="134" t="s">
        <v>154</v>
      </c>
      <c r="T18" s="146">
        <v>495</v>
      </c>
      <c r="U18" s="146"/>
      <c r="V18" s="134" t="s">
        <v>155</v>
      </c>
      <c r="W18" s="147" t="s">
        <v>299</v>
      </c>
      <c r="X18" s="134">
        <v>2021</v>
      </c>
      <c r="Y18" s="151" t="s">
        <v>3127</v>
      </c>
      <c r="AA18" s="134" t="s">
        <v>3128</v>
      </c>
      <c r="AB18" s="163">
        <v>44355</v>
      </c>
      <c r="AC18" s="150">
        <v>45887</v>
      </c>
    </row>
    <row r="19" spans="1:29" ht="15" customHeight="1" x14ac:dyDescent="0.45">
      <c r="A19" s="134" t="s">
        <v>152</v>
      </c>
      <c r="B19" s="134" t="s">
        <v>152</v>
      </c>
      <c r="C19" s="134" t="s">
        <v>144</v>
      </c>
      <c r="D19" s="134" t="s">
        <v>142</v>
      </c>
      <c r="E19" s="134" t="s">
        <v>143</v>
      </c>
      <c r="F19" s="134" t="s">
        <v>145</v>
      </c>
      <c r="G19" s="134" t="s">
        <v>160</v>
      </c>
      <c r="H19" s="134" t="s">
        <v>161</v>
      </c>
      <c r="I19" s="134" t="s">
        <v>218</v>
      </c>
      <c r="J19" s="134" t="s">
        <v>3129</v>
      </c>
      <c r="K19" s="134" t="s">
        <v>3130</v>
      </c>
      <c r="L19" s="134" t="s">
        <v>149</v>
      </c>
      <c r="M19" s="134" t="s">
        <v>210</v>
      </c>
      <c r="N19" s="134" t="s">
        <v>170</v>
      </c>
      <c r="P19" s="134" t="s">
        <v>171</v>
      </c>
      <c r="Q19" s="134" t="s">
        <v>153</v>
      </c>
      <c r="R19" s="146">
        <v>137.68100000000001</v>
      </c>
      <c r="S19" s="134" t="s">
        <v>154</v>
      </c>
      <c r="T19" s="146">
        <v>137.68100000000001</v>
      </c>
      <c r="U19" s="146"/>
      <c r="V19" s="134" t="s">
        <v>181</v>
      </c>
      <c r="W19" s="147" t="s">
        <v>299</v>
      </c>
      <c r="X19" s="134">
        <v>2021</v>
      </c>
      <c r="Y19" s="151" t="s">
        <v>3131</v>
      </c>
      <c r="AA19" s="134" t="s">
        <v>3128</v>
      </c>
      <c r="AB19" s="163">
        <v>44355</v>
      </c>
      <c r="AC19" s="150">
        <v>45887</v>
      </c>
    </row>
    <row r="20" spans="1:29" ht="15" customHeight="1" x14ac:dyDescent="0.45">
      <c r="A20" s="134" t="s">
        <v>142</v>
      </c>
      <c r="B20" s="134" t="s">
        <v>143</v>
      </c>
      <c r="C20" s="134" t="s">
        <v>144</v>
      </c>
      <c r="D20" s="134" t="s">
        <v>142</v>
      </c>
      <c r="E20" s="134" t="s">
        <v>143</v>
      </c>
      <c r="F20" s="134" t="s">
        <v>166</v>
      </c>
      <c r="G20" s="134" t="s">
        <v>182</v>
      </c>
      <c r="H20" s="134" t="s">
        <v>171</v>
      </c>
      <c r="I20" s="134" t="s">
        <v>171</v>
      </c>
      <c r="J20" s="134" t="s">
        <v>3132</v>
      </c>
      <c r="K20" s="134" t="s">
        <v>3132</v>
      </c>
      <c r="L20" s="134" t="s">
        <v>171</v>
      </c>
      <c r="M20" s="134" t="s">
        <v>384</v>
      </c>
      <c r="N20" s="134" t="s">
        <v>170</v>
      </c>
      <c r="P20" s="134" t="s">
        <v>171</v>
      </c>
      <c r="Q20" s="134" t="s">
        <v>153</v>
      </c>
      <c r="R20" s="146">
        <v>100</v>
      </c>
      <c r="S20" s="134" t="s">
        <v>154</v>
      </c>
      <c r="T20" s="146">
        <v>100</v>
      </c>
      <c r="U20" s="146"/>
      <c r="V20" s="134" t="s">
        <v>155</v>
      </c>
      <c r="W20" s="147" t="s">
        <v>299</v>
      </c>
      <c r="X20" s="134">
        <v>2021</v>
      </c>
      <c r="Y20" s="151" t="s">
        <v>3134</v>
      </c>
      <c r="AA20" s="134" t="s">
        <v>3128</v>
      </c>
      <c r="AB20" s="163">
        <v>44355</v>
      </c>
      <c r="AC20" s="150">
        <v>45887</v>
      </c>
    </row>
    <row r="21" spans="1:29" ht="15" customHeight="1" x14ac:dyDescent="0.45">
      <c r="A21" s="134" t="s">
        <v>142</v>
      </c>
      <c r="B21" s="134" t="s">
        <v>143</v>
      </c>
      <c r="C21" s="134" t="s">
        <v>144</v>
      </c>
      <c r="D21" s="134" t="s">
        <v>142</v>
      </c>
      <c r="E21" s="134" t="s">
        <v>143</v>
      </c>
      <c r="F21" s="134" t="s">
        <v>166</v>
      </c>
      <c r="G21" s="134" t="s">
        <v>152</v>
      </c>
      <c r="H21" s="134" t="s">
        <v>171</v>
      </c>
      <c r="I21" s="134" t="s">
        <v>171</v>
      </c>
      <c r="J21" s="134" t="s">
        <v>3135</v>
      </c>
      <c r="K21" s="134" t="s">
        <v>3135</v>
      </c>
      <c r="L21" s="134" t="s">
        <v>171</v>
      </c>
      <c r="M21" s="134" t="s">
        <v>1256</v>
      </c>
      <c r="N21" s="134" t="s">
        <v>398</v>
      </c>
      <c r="P21" s="134" t="s">
        <v>171</v>
      </c>
      <c r="Q21" s="134" t="s">
        <v>153</v>
      </c>
      <c r="R21" s="146">
        <v>92.308000000000007</v>
      </c>
      <c r="S21" s="134" t="s">
        <v>154</v>
      </c>
      <c r="T21" s="146">
        <v>92.308000000000007</v>
      </c>
      <c r="U21" s="146"/>
      <c r="V21" s="134" t="s">
        <v>155</v>
      </c>
      <c r="W21" s="147" t="s">
        <v>299</v>
      </c>
      <c r="X21" s="134">
        <v>2021</v>
      </c>
      <c r="Y21" s="151" t="s">
        <v>3136</v>
      </c>
      <c r="AA21" s="134" t="s">
        <v>3128</v>
      </c>
      <c r="AB21" s="163">
        <v>44355</v>
      </c>
      <c r="AC21" s="150">
        <v>45887</v>
      </c>
    </row>
    <row r="22" spans="1:29" ht="15" customHeight="1" x14ac:dyDescent="0.45">
      <c r="A22" s="134" t="s">
        <v>142</v>
      </c>
      <c r="B22" s="134" t="s">
        <v>143</v>
      </c>
      <c r="C22" s="134" t="s">
        <v>144</v>
      </c>
      <c r="D22" s="134" t="s">
        <v>142</v>
      </c>
      <c r="E22" s="134" t="s">
        <v>143</v>
      </c>
      <c r="F22" s="134" t="s">
        <v>166</v>
      </c>
      <c r="G22" s="134" t="s">
        <v>167</v>
      </c>
      <c r="H22" s="134" t="s">
        <v>207</v>
      </c>
      <c r="I22" s="134" t="s">
        <v>171</v>
      </c>
      <c r="J22" s="134" t="s">
        <v>3137</v>
      </c>
      <c r="K22" s="134" t="s">
        <v>3137</v>
      </c>
      <c r="L22" s="134" t="s">
        <v>171</v>
      </c>
      <c r="N22" s="134" t="s">
        <v>398</v>
      </c>
      <c r="P22" s="134" t="s">
        <v>171</v>
      </c>
      <c r="Q22" s="134" t="s">
        <v>153</v>
      </c>
      <c r="R22" s="146">
        <v>90</v>
      </c>
      <c r="S22" s="134" t="s">
        <v>154</v>
      </c>
      <c r="T22" s="146">
        <v>90</v>
      </c>
      <c r="U22" s="146"/>
      <c r="V22" s="134" t="s">
        <v>155</v>
      </c>
      <c r="W22" s="147" t="s">
        <v>299</v>
      </c>
      <c r="X22" s="134">
        <v>2021</v>
      </c>
      <c r="Y22" s="151" t="s">
        <v>3133</v>
      </c>
      <c r="AA22" s="134" t="s">
        <v>3128</v>
      </c>
      <c r="AB22" s="163">
        <v>44355</v>
      </c>
      <c r="AC22" s="150">
        <v>45887</v>
      </c>
    </row>
    <row r="23" spans="1:29" ht="15" customHeight="1" x14ac:dyDescent="0.45">
      <c r="A23" s="134" t="s">
        <v>142</v>
      </c>
      <c r="B23" s="134" t="s">
        <v>143</v>
      </c>
      <c r="C23" s="134" t="s">
        <v>144</v>
      </c>
      <c r="D23" s="134" t="s">
        <v>142</v>
      </c>
      <c r="E23" s="134" t="s">
        <v>143</v>
      </c>
      <c r="F23" s="134" t="s">
        <v>166</v>
      </c>
      <c r="G23" s="134" t="s">
        <v>167</v>
      </c>
      <c r="H23" s="134" t="s">
        <v>444</v>
      </c>
      <c r="I23" s="134" t="s">
        <v>171</v>
      </c>
      <c r="J23" s="134" t="s">
        <v>3138</v>
      </c>
      <c r="K23" s="134" t="s">
        <v>3138</v>
      </c>
      <c r="L23" s="134" t="s">
        <v>171</v>
      </c>
      <c r="M23" s="134" t="s">
        <v>1885</v>
      </c>
      <c r="N23" s="134" t="s">
        <v>170</v>
      </c>
      <c r="P23" s="134" t="s">
        <v>171</v>
      </c>
      <c r="Q23" s="134" t="s">
        <v>153</v>
      </c>
      <c r="R23" s="146">
        <v>81.489999999999995</v>
      </c>
      <c r="S23" s="134" t="s">
        <v>154</v>
      </c>
      <c r="T23" s="146">
        <v>81.489999999999995</v>
      </c>
      <c r="U23" s="146"/>
      <c r="V23" s="134" t="s">
        <v>155</v>
      </c>
      <c r="W23" s="147" t="s">
        <v>299</v>
      </c>
      <c r="X23" s="134">
        <v>2021</v>
      </c>
      <c r="Y23" s="151" t="s">
        <v>3139</v>
      </c>
      <c r="Z23" s="134" t="s">
        <v>3140</v>
      </c>
      <c r="AA23" s="134" t="s">
        <v>3128</v>
      </c>
      <c r="AB23" s="163">
        <v>44355</v>
      </c>
      <c r="AC23" s="150">
        <v>45887</v>
      </c>
    </row>
    <row r="24" spans="1:29" ht="15" customHeight="1" x14ac:dyDescent="0.45">
      <c r="A24" s="134" t="s">
        <v>142</v>
      </c>
      <c r="B24" s="134" t="s">
        <v>143</v>
      </c>
      <c r="C24" s="134" t="s">
        <v>144</v>
      </c>
      <c r="D24" s="134" t="s">
        <v>142</v>
      </c>
      <c r="E24" s="134" t="s">
        <v>143</v>
      </c>
      <c r="F24" s="134" t="s">
        <v>166</v>
      </c>
      <c r="G24" s="134" t="s">
        <v>146</v>
      </c>
      <c r="H24" s="134" t="s">
        <v>231</v>
      </c>
      <c r="I24" s="134" t="s">
        <v>301</v>
      </c>
      <c r="J24" s="134" t="s">
        <v>3092</v>
      </c>
      <c r="K24" s="134" t="s">
        <v>3141</v>
      </c>
      <c r="L24" s="134" t="s">
        <v>149</v>
      </c>
      <c r="M24" s="134" t="s">
        <v>570</v>
      </c>
      <c r="N24" s="134" t="s">
        <v>170</v>
      </c>
      <c r="P24" s="134" t="s">
        <v>171</v>
      </c>
      <c r="Q24" s="134" t="s">
        <v>153</v>
      </c>
      <c r="R24" s="146">
        <v>55.119</v>
      </c>
      <c r="S24" s="134" t="s">
        <v>154</v>
      </c>
      <c r="T24" s="146">
        <v>55.119</v>
      </c>
      <c r="U24" s="146"/>
      <c r="V24" s="134" t="s">
        <v>155</v>
      </c>
      <c r="W24" s="147" t="s">
        <v>299</v>
      </c>
      <c r="X24" s="134">
        <v>2021</v>
      </c>
      <c r="Y24" s="151" t="s">
        <v>3142</v>
      </c>
      <c r="AA24" s="134" t="s">
        <v>3128</v>
      </c>
      <c r="AB24" s="163">
        <v>44355</v>
      </c>
      <c r="AC24" s="150">
        <v>45887</v>
      </c>
    </row>
    <row r="25" spans="1:29" ht="15" customHeight="1" x14ac:dyDescent="0.45">
      <c r="A25" s="164" t="s">
        <v>142</v>
      </c>
      <c r="B25" s="134" t="s">
        <v>143</v>
      </c>
      <c r="C25" s="134" t="s">
        <v>144</v>
      </c>
      <c r="D25" s="134" t="s">
        <v>142</v>
      </c>
      <c r="E25" s="134" t="s">
        <v>143</v>
      </c>
      <c r="F25" s="134" t="s">
        <v>166</v>
      </c>
      <c r="G25" s="134" t="s">
        <v>176</v>
      </c>
      <c r="H25" s="134" t="s">
        <v>259</v>
      </c>
      <c r="I25" s="134" t="s">
        <v>331</v>
      </c>
      <c r="J25" s="134" t="s">
        <v>3143</v>
      </c>
      <c r="K25" s="134" t="s">
        <v>3144</v>
      </c>
      <c r="L25" s="134" t="s">
        <v>171</v>
      </c>
      <c r="M25" s="134" t="s">
        <v>332</v>
      </c>
      <c r="N25" s="134" t="s">
        <v>170</v>
      </c>
      <c r="P25" s="134">
        <v>212</v>
      </c>
      <c r="Q25" s="134" t="s">
        <v>153</v>
      </c>
      <c r="R25" s="146">
        <v>98.313000000000002</v>
      </c>
      <c r="S25" s="134" t="s">
        <v>154</v>
      </c>
      <c r="T25" s="146">
        <v>98.313000000000002</v>
      </c>
      <c r="U25" s="146" t="s">
        <v>3165</v>
      </c>
      <c r="V25" s="134" t="s">
        <v>155</v>
      </c>
      <c r="W25" s="147" t="s">
        <v>299</v>
      </c>
      <c r="X25" s="134">
        <v>2021</v>
      </c>
      <c r="Y25" s="151" t="s">
        <v>3168</v>
      </c>
      <c r="Z25" s="134" t="s">
        <v>3169</v>
      </c>
      <c r="AA25" s="160" t="s">
        <v>3170</v>
      </c>
      <c r="AB25" s="163">
        <v>44377</v>
      </c>
      <c r="AC25" s="150">
        <v>45888</v>
      </c>
    </row>
    <row r="26" spans="1:29" ht="15" customHeight="1" x14ac:dyDescent="0.45">
      <c r="A26" s="134" t="s">
        <v>142</v>
      </c>
      <c r="B26" s="134" t="s">
        <v>143</v>
      </c>
      <c r="C26" s="134" t="s">
        <v>159</v>
      </c>
      <c r="D26" s="134" t="s">
        <v>142</v>
      </c>
      <c r="E26" s="134" t="s">
        <v>143</v>
      </c>
      <c r="F26" s="134" t="s">
        <v>166</v>
      </c>
      <c r="G26" s="134" t="s">
        <v>176</v>
      </c>
      <c r="H26" s="134" t="s">
        <v>259</v>
      </c>
      <c r="I26" s="134" t="s">
        <v>331</v>
      </c>
      <c r="J26" s="134" t="s">
        <v>3143</v>
      </c>
      <c r="K26" s="134" t="s">
        <v>3144</v>
      </c>
      <c r="L26" s="134" t="s">
        <v>171</v>
      </c>
      <c r="M26" s="134" t="s">
        <v>332</v>
      </c>
      <c r="N26" s="134" t="s">
        <v>170</v>
      </c>
      <c r="P26" s="134">
        <v>187</v>
      </c>
      <c r="Q26" s="134" t="s">
        <v>153</v>
      </c>
      <c r="R26" s="146">
        <v>104.03700000000001</v>
      </c>
      <c r="S26" s="134" t="s">
        <v>154</v>
      </c>
      <c r="T26" s="146">
        <v>104.03700000000001</v>
      </c>
      <c r="U26" s="146" t="s">
        <v>3166</v>
      </c>
      <c r="V26" s="134" t="s">
        <v>155</v>
      </c>
      <c r="W26" s="147" t="s">
        <v>299</v>
      </c>
      <c r="X26" s="134">
        <v>2021</v>
      </c>
      <c r="Y26" s="151" t="s">
        <v>3168</v>
      </c>
      <c r="AA26" s="160" t="s">
        <v>3170</v>
      </c>
      <c r="AB26" s="163">
        <v>44377</v>
      </c>
      <c r="AC26" s="150">
        <v>45888</v>
      </c>
    </row>
    <row r="27" spans="1:29" ht="15" customHeight="1" x14ac:dyDescent="0.45">
      <c r="A27" s="134" t="s">
        <v>152</v>
      </c>
      <c r="B27" s="134" t="s">
        <v>152</v>
      </c>
      <c r="C27" s="134" t="s">
        <v>144</v>
      </c>
      <c r="D27" s="134" t="s">
        <v>142</v>
      </c>
      <c r="E27" s="134" t="s">
        <v>143</v>
      </c>
      <c r="F27" s="134" t="s">
        <v>145</v>
      </c>
      <c r="G27" s="134" t="s">
        <v>176</v>
      </c>
      <c r="H27" s="134" t="s">
        <v>259</v>
      </c>
      <c r="I27" s="134" t="s">
        <v>331</v>
      </c>
      <c r="J27" s="134" t="s">
        <v>3143</v>
      </c>
      <c r="K27" s="134" t="s">
        <v>3144</v>
      </c>
      <c r="L27" s="134" t="s">
        <v>171</v>
      </c>
      <c r="M27" s="134" t="s">
        <v>332</v>
      </c>
      <c r="N27" s="134" t="s">
        <v>170</v>
      </c>
      <c r="P27" s="134">
        <v>84</v>
      </c>
      <c r="Q27" s="134" t="s">
        <v>153</v>
      </c>
      <c r="R27" s="146">
        <v>125.806</v>
      </c>
      <c r="S27" s="134" t="s">
        <v>154</v>
      </c>
      <c r="T27" s="146">
        <v>125.806</v>
      </c>
      <c r="U27" s="146" t="s">
        <v>3167</v>
      </c>
      <c r="V27" s="134" t="s">
        <v>181</v>
      </c>
      <c r="W27" s="147" t="s">
        <v>299</v>
      </c>
      <c r="X27" s="134">
        <v>2021</v>
      </c>
      <c r="Y27" s="151" t="s">
        <v>3168</v>
      </c>
      <c r="AA27" s="160" t="s">
        <v>3170</v>
      </c>
      <c r="AB27" s="163">
        <v>44377</v>
      </c>
      <c r="AC27" s="150">
        <v>45888</v>
      </c>
    </row>
    <row r="28" spans="1:29" ht="15" customHeight="1" x14ac:dyDescent="0.45">
      <c r="A28" s="134" t="s">
        <v>142</v>
      </c>
      <c r="B28" s="134" t="s">
        <v>143</v>
      </c>
      <c r="C28" s="134" t="s">
        <v>144</v>
      </c>
      <c r="D28" s="134" t="s">
        <v>142</v>
      </c>
      <c r="E28" s="134" t="s">
        <v>143</v>
      </c>
      <c r="F28" s="134" t="s">
        <v>166</v>
      </c>
      <c r="G28" s="134" t="s">
        <v>176</v>
      </c>
      <c r="H28" s="134" t="s">
        <v>259</v>
      </c>
      <c r="I28" s="134" t="s">
        <v>331</v>
      </c>
      <c r="J28" s="134" t="s">
        <v>3143</v>
      </c>
      <c r="K28" s="134" t="s">
        <v>3145</v>
      </c>
      <c r="L28" s="134" t="s">
        <v>171</v>
      </c>
      <c r="M28" s="134" t="s">
        <v>332</v>
      </c>
      <c r="N28" s="134" t="s">
        <v>170</v>
      </c>
      <c r="P28" s="134">
        <v>8</v>
      </c>
      <c r="Q28" s="134" t="s">
        <v>153</v>
      </c>
      <c r="R28" s="146"/>
      <c r="T28" s="146"/>
      <c r="U28" s="146"/>
      <c r="V28" s="134" t="s">
        <v>155</v>
      </c>
      <c r="W28" s="147" t="s">
        <v>299</v>
      </c>
      <c r="X28" s="134">
        <v>2021</v>
      </c>
      <c r="Y28" s="151" t="s">
        <v>3168</v>
      </c>
      <c r="AA28" s="160" t="s">
        <v>3170</v>
      </c>
      <c r="AB28" s="163">
        <v>44377</v>
      </c>
      <c r="AC28" s="150">
        <v>45888</v>
      </c>
    </row>
    <row r="29" spans="1:29" ht="15" customHeight="1" x14ac:dyDescent="0.45">
      <c r="A29" s="134" t="s">
        <v>142</v>
      </c>
      <c r="B29" s="134" t="s">
        <v>143</v>
      </c>
      <c r="C29" s="134" t="s">
        <v>159</v>
      </c>
      <c r="D29" s="134" t="s">
        <v>142</v>
      </c>
      <c r="E29" s="134" t="s">
        <v>143</v>
      </c>
      <c r="F29" s="134" t="s">
        <v>166</v>
      </c>
      <c r="G29" s="134" t="s">
        <v>176</v>
      </c>
      <c r="H29" s="134" t="s">
        <v>259</v>
      </c>
      <c r="I29" s="134" t="s">
        <v>331</v>
      </c>
      <c r="J29" s="134" t="s">
        <v>3143</v>
      </c>
      <c r="K29" s="134" t="s">
        <v>3145</v>
      </c>
      <c r="L29" s="134" t="s">
        <v>171</v>
      </c>
      <c r="M29" s="134" t="s">
        <v>332</v>
      </c>
      <c r="N29" s="134" t="s">
        <v>170</v>
      </c>
      <c r="P29" s="134">
        <v>8</v>
      </c>
      <c r="Q29" s="134" t="s">
        <v>153</v>
      </c>
      <c r="R29" s="146"/>
      <c r="T29" s="146"/>
      <c r="U29" s="146"/>
      <c r="V29" s="134" t="s">
        <v>155</v>
      </c>
      <c r="W29" s="147" t="s">
        <v>299</v>
      </c>
      <c r="X29" s="134">
        <v>2021</v>
      </c>
      <c r="Y29" s="151" t="s">
        <v>3168</v>
      </c>
      <c r="AA29" s="160" t="s">
        <v>3170</v>
      </c>
      <c r="AB29" s="163">
        <v>44377</v>
      </c>
      <c r="AC29" s="150">
        <v>45888</v>
      </c>
    </row>
    <row r="30" spans="1:29" ht="15" customHeight="1" x14ac:dyDescent="0.45">
      <c r="A30" s="134" t="s">
        <v>152</v>
      </c>
      <c r="B30" s="134" t="s">
        <v>152</v>
      </c>
      <c r="C30" s="134" t="s">
        <v>144</v>
      </c>
      <c r="D30" s="134" t="s">
        <v>142</v>
      </c>
      <c r="E30" s="134" t="s">
        <v>143</v>
      </c>
      <c r="F30" s="134" t="s">
        <v>145</v>
      </c>
      <c r="G30" s="134" t="s">
        <v>176</v>
      </c>
      <c r="H30" s="134" t="s">
        <v>259</v>
      </c>
      <c r="I30" s="134" t="s">
        <v>331</v>
      </c>
      <c r="J30" s="134" t="s">
        <v>3143</v>
      </c>
      <c r="K30" s="134" t="s">
        <v>3145</v>
      </c>
      <c r="L30" s="134" t="s">
        <v>171</v>
      </c>
      <c r="M30" s="134" t="s">
        <v>332</v>
      </c>
      <c r="N30" s="134" t="s">
        <v>170</v>
      </c>
      <c r="P30" s="134">
        <v>66</v>
      </c>
      <c r="Q30" s="134" t="s">
        <v>153</v>
      </c>
      <c r="R30" s="146"/>
      <c r="T30" s="146"/>
      <c r="U30" s="146"/>
      <c r="V30" s="134" t="s">
        <v>181</v>
      </c>
      <c r="W30" s="147" t="s">
        <v>299</v>
      </c>
      <c r="X30" s="134">
        <v>2021</v>
      </c>
      <c r="Y30" s="151" t="s">
        <v>3168</v>
      </c>
      <c r="AA30" s="160" t="s">
        <v>3170</v>
      </c>
      <c r="AB30" s="163">
        <v>44377</v>
      </c>
      <c r="AC30" s="150">
        <v>45888</v>
      </c>
    </row>
    <row r="31" spans="1:29" ht="15" customHeight="1" x14ac:dyDescent="0.45">
      <c r="A31" s="134" t="s">
        <v>142</v>
      </c>
      <c r="B31" s="134" t="s">
        <v>143</v>
      </c>
      <c r="C31" s="134" t="s">
        <v>159</v>
      </c>
      <c r="D31" s="134" t="s">
        <v>142</v>
      </c>
      <c r="E31" s="134" t="s">
        <v>143</v>
      </c>
      <c r="F31" s="134" t="s">
        <v>166</v>
      </c>
      <c r="G31" s="134" t="s">
        <v>176</v>
      </c>
      <c r="H31" s="134" t="s">
        <v>259</v>
      </c>
      <c r="I31" s="134" t="s">
        <v>331</v>
      </c>
      <c r="J31" s="134" t="s">
        <v>3146</v>
      </c>
      <c r="K31" s="134" t="s">
        <v>3147</v>
      </c>
      <c r="L31" s="134" t="s">
        <v>171</v>
      </c>
      <c r="M31" s="134" t="s">
        <v>332</v>
      </c>
      <c r="N31" s="134" t="s">
        <v>170</v>
      </c>
      <c r="P31" s="134">
        <v>82</v>
      </c>
      <c r="Q31" s="134" t="s">
        <v>153</v>
      </c>
      <c r="R31" s="146"/>
      <c r="T31" s="146"/>
      <c r="U31" s="146"/>
      <c r="V31" s="134" t="s">
        <v>155</v>
      </c>
      <c r="W31" s="147" t="s">
        <v>299</v>
      </c>
      <c r="X31" s="134">
        <v>2021</v>
      </c>
      <c r="Y31" s="151" t="s">
        <v>3168</v>
      </c>
      <c r="AA31" s="160" t="s">
        <v>3170</v>
      </c>
      <c r="AB31" s="163">
        <v>44377</v>
      </c>
      <c r="AC31" s="150">
        <v>45888</v>
      </c>
    </row>
    <row r="32" spans="1:29" ht="15" customHeight="1" x14ac:dyDescent="0.45">
      <c r="A32" s="134" t="s">
        <v>152</v>
      </c>
      <c r="B32" s="134" t="s">
        <v>152</v>
      </c>
      <c r="C32" s="134" t="s">
        <v>144</v>
      </c>
      <c r="D32" s="134" t="s">
        <v>142</v>
      </c>
      <c r="E32" s="134" t="s">
        <v>143</v>
      </c>
      <c r="F32" s="134" t="s">
        <v>145</v>
      </c>
      <c r="G32" s="134" t="s">
        <v>176</v>
      </c>
      <c r="H32" s="134" t="s">
        <v>259</v>
      </c>
      <c r="I32" s="134" t="s">
        <v>331</v>
      </c>
      <c r="J32" s="134" t="s">
        <v>3146</v>
      </c>
      <c r="K32" s="134" t="s">
        <v>3147</v>
      </c>
      <c r="L32" s="134" t="s">
        <v>171</v>
      </c>
      <c r="M32" s="134" t="s">
        <v>332</v>
      </c>
      <c r="N32" s="134" t="s">
        <v>170</v>
      </c>
      <c r="P32" s="134">
        <v>74</v>
      </c>
      <c r="Q32" s="134" t="s">
        <v>153</v>
      </c>
      <c r="R32" s="146"/>
      <c r="T32" s="146"/>
      <c r="U32" s="146"/>
      <c r="V32" s="134" t="s">
        <v>181</v>
      </c>
      <c r="W32" s="147" t="s">
        <v>299</v>
      </c>
      <c r="X32" s="134">
        <v>2021</v>
      </c>
      <c r="Y32" s="151" t="s">
        <v>3168</v>
      </c>
      <c r="AA32" s="160" t="s">
        <v>3170</v>
      </c>
      <c r="AB32" s="163">
        <v>44377</v>
      </c>
      <c r="AC32" s="150">
        <v>45888</v>
      </c>
    </row>
    <row r="33" spans="1:29" ht="15" customHeight="1" x14ac:dyDescent="0.45">
      <c r="A33" s="134" t="s">
        <v>142</v>
      </c>
      <c r="B33" s="134" t="s">
        <v>143</v>
      </c>
      <c r="C33" s="134" t="s">
        <v>159</v>
      </c>
      <c r="D33" s="134" t="s">
        <v>142</v>
      </c>
      <c r="E33" s="134" t="s">
        <v>143</v>
      </c>
      <c r="F33" s="134" t="s">
        <v>166</v>
      </c>
      <c r="G33" s="134" t="s">
        <v>176</v>
      </c>
      <c r="H33" s="134" t="s">
        <v>259</v>
      </c>
      <c r="I33" s="134" t="s">
        <v>331</v>
      </c>
      <c r="J33" s="134" t="s">
        <v>3146</v>
      </c>
      <c r="K33" s="134" t="s">
        <v>3148</v>
      </c>
      <c r="L33" s="134" t="s">
        <v>171</v>
      </c>
      <c r="M33" s="134" t="s">
        <v>332</v>
      </c>
      <c r="N33" s="134" t="s">
        <v>170</v>
      </c>
      <c r="P33" s="134">
        <v>2</v>
      </c>
      <c r="Q33" s="134" t="s">
        <v>153</v>
      </c>
      <c r="R33" s="146"/>
      <c r="T33" s="146"/>
      <c r="U33" s="146"/>
      <c r="V33" s="134" t="s">
        <v>155</v>
      </c>
      <c r="W33" s="147" t="s">
        <v>299</v>
      </c>
      <c r="X33" s="134">
        <v>2021</v>
      </c>
      <c r="Y33" s="151" t="s">
        <v>3168</v>
      </c>
      <c r="AA33" s="160" t="s">
        <v>3170</v>
      </c>
      <c r="AB33" s="163">
        <v>44377</v>
      </c>
      <c r="AC33" s="150">
        <v>45888</v>
      </c>
    </row>
    <row r="34" spans="1:29" ht="15" customHeight="1" x14ac:dyDescent="0.45">
      <c r="A34" s="134" t="s">
        <v>152</v>
      </c>
      <c r="B34" s="134" t="s">
        <v>152</v>
      </c>
      <c r="C34" s="134" t="s">
        <v>144</v>
      </c>
      <c r="D34" s="134" t="s">
        <v>142</v>
      </c>
      <c r="E34" s="134" t="s">
        <v>143</v>
      </c>
      <c r="F34" s="134" t="s">
        <v>145</v>
      </c>
      <c r="G34" s="134" t="s">
        <v>176</v>
      </c>
      <c r="H34" s="134" t="s">
        <v>259</v>
      </c>
      <c r="I34" s="134" t="s">
        <v>331</v>
      </c>
      <c r="J34" s="134" t="s">
        <v>3146</v>
      </c>
      <c r="K34" s="134" t="s">
        <v>3148</v>
      </c>
      <c r="L34" s="134" t="s">
        <v>171</v>
      </c>
      <c r="M34" s="134" t="s">
        <v>332</v>
      </c>
      <c r="N34" s="134" t="s">
        <v>170</v>
      </c>
      <c r="P34" s="134">
        <v>6</v>
      </c>
      <c r="Q34" s="134" t="s">
        <v>153</v>
      </c>
      <c r="R34" s="146"/>
      <c r="T34" s="146"/>
      <c r="U34" s="146"/>
      <c r="V34" s="134" t="s">
        <v>181</v>
      </c>
      <c r="W34" s="147" t="s">
        <v>299</v>
      </c>
      <c r="X34" s="134">
        <v>2021</v>
      </c>
      <c r="Y34" s="151" t="s">
        <v>3168</v>
      </c>
      <c r="AA34" s="160" t="s">
        <v>3170</v>
      </c>
      <c r="AB34" s="163">
        <v>44377</v>
      </c>
      <c r="AC34" s="150">
        <v>45888</v>
      </c>
    </row>
    <row r="35" spans="1:29" ht="15" customHeight="1" x14ac:dyDescent="0.45">
      <c r="A35" s="134" t="s">
        <v>142</v>
      </c>
      <c r="B35" s="134" t="s">
        <v>143</v>
      </c>
      <c r="C35" s="134" t="s">
        <v>144</v>
      </c>
      <c r="D35" s="134" t="s">
        <v>142</v>
      </c>
      <c r="E35" s="134" t="s">
        <v>143</v>
      </c>
      <c r="F35" s="134" t="s">
        <v>166</v>
      </c>
      <c r="G35" s="134" t="s">
        <v>176</v>
      </c>
      <c r="H35" s="134" t="s">
        <v>259</v>
      </c>
      <c r="I35" s="134" t="s">
        <v>331</v>
      </c>
      <c r="J35" s="134" t="s">
        <v>3149</v>
      </c>
      <c r="K35" s="134" t="s">
        <v>3149</v>
      </c>
      <c r="L35" s="134" t="s">
        <v>171</v>
      </c>
      <c r="M35" s="134" t="s">
        <v>332</v>
      </c>
      <c r="N35" s="134" t="s">
        <v>170</v>
      </c>
      <c r="P35" s="134">
        <v>75</v>
      </c>
      <c r="Q35" s="134" t="s">
        <v>153</v>
      </c>
      <c r="R35" s="146"/>
      <c r="T35" s="146"/>
      <c r="U35" s="146"/>
      <c r="V35" s="134" t="s">
        <v>155</v>
      </c>
      <c r="W35" s="147" t="s">
        <v>299</v>
      </c>
      <c r="X35" s="134">
        <v>2021</v>
      </c>
      <c r="Y35" s="151" t="s">
        <v>3168</v>
      </c>
      <c r="AA35" s="160" t="s">
        <v>3170</v>
      </c>
      <c r="AB35" s="163">
        <v>44377</v>
      </c>
      <c r="AC35" s="150">
        <v>45888</v>
      </c>
    </row>
    <row r="36" spans="1:29" ht="15" customHeight="1" x14ac:dyDescent="0.45">
      <c r="A36" s="134" t="s">
        <v>142</v>
      </c>
      <c r="B36" s="134" t="s">
        <v>143</v>
      </c>
      <c r="C36" s="134" t="s">
        <v>159</v>
      </c>
      <c r="D36" s="134" t="s">
        <v>142</v>
      </c>
      <c r="E36" s="134" t="s">
        <v>143</v>
      </c>
      <c r="F36" s="134" t="s">
        <v>166</v>
      </c>
      <c r="G36" s="134" t="s">
        <v>176</v>
      </c>
      <c r="H36" s="134" t="s">
        <v>259</v>
      </c>
      <c r="I36" s="134" t="s">
        <v>331</v>
      </c>
      <c r="J36" s="134" t="s">
        <v>3149</v>
      </c>
      <c r="K36" s="134" t="s">
        <v>3149</v>
      </c>
      <c r="L36" s="134" t="s">
        <v>171</v>
      </c>
      <c r="M36" s="134" t="s">
        <v>332</v>
      </c>
      <c r="N36" s="134" t="s">
        <v>170</v>
      </c>
      <c r="P36" s="134">
        <v>73</v>
      </c>
      <c r="Q36" s="134" t="s">
        <v>153</v>
      </c>
      <c r="R36" s="146"/>
      <c r="T36" s="146"/>
      <c r="U36" s="146"/>
      <c r="V36" s="134" t="s">
        <v>155</v>
      </c>
      <c r="W36" s="147" t="s">
        <v>299</v>
      </c>
      <c r="X36" s="134">
        <v>2021</v>
      </c>
      <c r="Y36" s="151" t="s">
        <v>3168</v>
      </c>
      <c r="AA36" s="160" t="s">
        <v>3170</v>
      </c>
      <c r="AB36" s="163">
        <v>44377</v>
      </c>
      <c r="AC36" s="150">
        <v>45888</v>
      </c>
    </row>
    <row r="37" spans="1:29" ht="15" customHeight="1" x14ac:dyDescent="0.45">
      <c r="A37" s="134" t="s">
        <v>152</v>
      </c>
      <c r="B37" s="134" t="s">
        <v>152</v>
      </c>
      <c r="C37" s="134" t="s">
        <v>144</v>
      </c>
      <c r="D37" s="134" t="s">
        <v>142</v>
      </c>
      <c r="E37" s="134" t="s">
        <v>143</v>
      </c>
      <c r="F37" s="134" t="s">
        <v>145</v>
      </c>
      <c r="G37" s="134" t="s">
        <v>176</v>
      </c>
      <c r="H37" s="134" t="s">
        <v>259</v>
      </c>
      <c r="I37" s="134" t="s">
        <v>331</v>
      </c>
      <c r="J37" s="134" t="s">
        <v>3149</v>
      </c>
      <c r="K37" s="134" t="s">
        <v>3149</v>
      </c>
      <c r="L37" s="134" t="s">
        <v>171</v>
      </c>
      <c r="M37" s="134" t="s">
        <v>332</v>
      </c>
      <c r="N37" s="134" t="s">
        <v>170</v>
      </c>
      <c r="P37" s="134">
        <v>50</v>
      </c>
      <c r="Q37" s="134" t="s">
        <v>153</v>
      </c>
      <c r="R37" s="146"/>
      <c r="T37" s="146"/>
      <c r="U37" s="146"/>
      <c r="V37" s="134" t="s">
        <v>181</v>
      </c>
      <c r="W37" s="147" t="s">
        <v>299</v>
      </c>
      <c r="X37" s="134">
        <v>2021</v>
      </c>
      <c r="Y37" s="151" t="s">
        <v>3168</v>
      </c>
      <c r="AA37" s="160" t="s">
        <v>3170</v>
      </c>
      <c r="AB37" s="163">
        <v>44377</v>
      </c>
      <c r="AC37" s="150">
        <v>45888</v>
      </c>
    </row>
    <row r="38" spans="1:29" ht="15" customHeight="1" x14ac:dyDescent="0.45">
      <c r="A38" s="134" t="s">
        <v>142</v>
      </c>
      <c r="B38" s="134" t="s">
        <v>143</v>
      </c>
      <c r="C38" s="134" t="s">
        <v>159</v>
      </c>
      <c r="D38" s="134" t="s">
        <v>142</v>
      </c>
      <c r="E38" s="134" t="s">
        <v>143</v>
      </c>
      <c r="F38" s="134" t="s">
        <v>166</v>
      </c>
      <c r="G38" s="134" t="s">
        <v>176</v>
      </c>
      <c r="H38" s="134" t="s">
        <v>259</v>
      </c>
      <c r="I38" s="134" t="s">
        <v>331</v>
      </c>
      <c r="J38" s="134" t="s">
        <v>3150</v>
      </c>
      <c r="K38" s="134" t="s">
        <v>3150</v>
      </c>
      <c r="L38" s="134" t="s">
        <v>171</v>
      </c>
      <c r="M38" s="134" t="s">
        <v>332</v>
      </c>
      <c r="N38" s="134" t="s">
        <v>170</v>
      </c>
      <c r="P38" s="134">
        <v>2</v>
      </c>
      <c r="Q38" s="134" t="s">
        <v>153</v>
      </c>
      <c r="R38" s="146"/>
      <c r="T38" s="146"/>
      <c r="U38" s="146"/>
      <c r="V38" s="134" t="s">
        <v>155</v>
      </c>
      <c r="W38" s="147" t="s">
        <v>299</v>
      </c>
      <c r="X38" s="134">
        <v>2021</v>
      </c>
      <c r="Y38" s="151" t="s">
        <v>3168</v>
      </c>
      <c r="AA38" s="160" t="s">
        <v>3170</v>
      </c>
      <c r="AB38" s="163">
        <v>44377</v>
      </c>
      <c r="AC38" s="150">
        <v>45888</v>
      </c>
    </row>
    <row r="39" spans="1:29" ht="15" customHeight="1" x14ac:dyDescent="0.45">
      <c r="A39" s="134" t="s">
        <v>152</v>
      </c>
      <c r="B39" s="134" t="s">
        <v>152</v>
      </c>
      <c r="C39" s="134" t="s">
        <v>144</v>
      </c>
      <c r="D39" s="134" t="s">
        <v>142</v>
      </c>
      <c r="E39" s="134" t="s">
        <v>143</v>
      </c>
      <c r="F39" s="134" t="s">
        <v>145</v>
      </c>
      <c r="G39" s="134" t="s">
        <v>176</v>
      </c>
      <c r="H39" s="134" t="s">
        <v>259</v>
      </c>
      <c r="I39" s="134" t="s">
        <v>331</v>
      </c>
      <c r="J39" s="134" t="s">
        <v>3150</v>
      </c>
      <c r="K39" s="134" t="s">
        <v>3150</v>
      </c>
      <c r="L39" s="134" t="s">
        <v>171</v>
      </c>
      <c r="M39" s="134" t="s">
        <v>332</v>
      </c>
      <c r="N39" s="134" t="s">
        <v>170</v>
      </c>
      <c r="P39" s="134">
        <v>4</v>
      </c>
      <c r="Q39" s="134" t="s">
        <v>153</v>
      </c>
      <c r="R39" s="146"/>
      <c r="T39" s="146"/>
      <c r="U39" s="146"/>
      <c r="V39" s="134" t="s">
        <v>181</v>
      </c>
      <c r="W39" s="147" t="s">
        <v>299</v>
      </c>
      <c r="X39" s="134">
        <v>2021</v>
      </c>
      <c r="Y39" s="151" t="s">
        <v>3168</v>
      </c>
      <c r="AA39" s="160" t="s">
        <v>3170</v>
      </c>
      <c r="AB39" s="163">
        <v>44377</v>
      </c>
      <c r="AC39" s="150">
        <v>45888</v>
      </c>
    </row>
    <row r="40" spans="1:29" ht="15" customHeight="1" x14ac:dyDescent="0.45">
      <c r="A40" s="134" t="s">
        <v>142</v>
      </c>
      <c r="B40" s="134" t="s">
        <v>143</v>
      </c>
      <c r="C40" s="134" t="s">
        <v>159</v>
      </c>
      <c r="D40" s="134" t="s">
        <v>142</v>
      </c>
      <c r="E40" s="134" t="s">
        <v>143</v>
      </c>
      <c r="F40" s="134" t="s">
        <v>166</v>
      </c>
      <c r="G40" s="134" t="s">
        <v>176</v>
      </c>
      <c r="H40" s="134" t="s">
        <v>259</v>
      </c>
      <c r="I40" s="134" t="s">
        <v>331</v>
      </c>
      <c r="J40" s="134" t="s">
        <v>3151</v>
      </c>
      <c r="K40" s="134" t="s">
        <v>3151</v>
      </c>
      <c r="L40" s="134" t="s">
        <v>171</v>
      </c>
      <c r="M40" s="134" t="s">
        <v>332</v>
      </c>
      <c r="N40" s="134" t="s">
        <v>170</v>
      </c>
      <c r="P40" s="134">
        <v>2</v>
      </c>
      <c r="Q40" s="134" t="s">
        <v>153</v>
      </c>
      <c r="R40" s="146"/>
      <c r="T40" s="146"/>
      <c r="U40" s="146"/>
      <c r="V40" s="134" t="s">
        <v>155</v>
      </c>
      <c r="W40" s="147" t="s">
        <v>299</v>
      </c>
      <c r="X40" s="134">
        <v>2021</v>
      </c>
      <c r="Y40" s="151" t="s">
        <v>3168</v>
      </c>
      <c r="AA40" s="160" t="s">
        <v>3170</v>
      </c>
      <c r="AB40" s="163">
        <v>44377</v>
      </c>
      <c r="AC40" s="150">
        <v>45888</v>
      </c>
    </row>
    <row r="41" spans="1:29" ht="15" customHeight="1" x14ac:dyDescent="0.45">
      <c r="A41" s="134" t="s">
        <v>152</v>
      </c>
      <c r="B41" s="134" t="s">
        <v>152</v>
      </c>
      <c r="C41" s="134" t="s">
        <v>144</v>
      </c>
      <c r="D41" s="134" t="s">
        <v>142</v>
      </c>
      <c r="E41" s="134" t="s">
        <v>143</v>
      </c>
      <c r="F41" s="134" t="s">
        <v>145</v>
      </c>
      <c r="G41" s="134" t="s">
        <v>176</v>
      </c>
      <c r="H41" s="134" t="s">
        <v>259</v>
      </c>
      <c r="I41" s="134" t="s">
        <v>331</v>
      </c>
      <c r="J41" s="134" t="s">
        <v>3151</v>
      </c>
      <c r="K41" s="134" t="s">
        <v>3151</v>
      </c>
      <c r="L41" s="134" t="s">
        <v>171</v>
      </c>
      <c r="M41" s="134" t="s">
        <v>332</v>
      </c>
      <c r="N41" s="134" t="s">
        <v>170</v>
      </c>
      <c r="P41" s="134">
        <v>3</v>
      </c>
      <c r="Q41" s="134" t="s">
        <v>153</v>
      </c>
      <c r="R41" s="146"/>
      <c r="T41" s="146"/>
      <c r="U41" s="146"/>
      <c r="V41" s="134" t="s">
        <v>181</v>
      </c>
      <c r="W41" s="147" t="s">
        <v>299</v>
      </c>
      <c r="X41" s="134">
        <v>2021</v>
      </c>
      <c r="Y41" s="151" t="s">
        <v>3168</v>
      </c>
      <c r="AA41" s="160" t="s">
        <v>3170</v>
      </c>
      <c r="AB41" s="163">
        <v>44377</v>
      </c>
      <c r="AC41" s="150">
        <v>45888</v>
      </c>
    </row>
    <row r="42" spans="1:29" ht="15" customHeight="1" x14ac:dyDescent="0.45">
      <c r="A42" s="134" t="s">
        <v>142</v>
      </c>
      <c r="B42" s="134" t="s">
        <v>143</v>
      </c>
      <c r="C42" s="134" t="s">
        <v>144</v>
      </c>
      <c r="D42" s="134" t="s">
        <v>142</v>
      </c>
      <c r="E42" s="134" t="s">
        <v>143</v>
      </c>
      <c r="F42" s="134" t="s">
        <v>166</v>
      </c>
      <c r="G42" s="134" t="s">
        <v>176</v>
      </c>
      <c r="H42" s="134" t="s">
        <v>259</v>
      </c>
      <c r="I42" s="134" t="s">
        <v>331</v>
      </c>
      <c r="J42" s="134" t="s">
        <v>3152</v>
      </c>
      <c r="K42" s="134" t="s">
        <v>3152</v>
      </c>
      <c r="L42" s="134" t="s">
        <v>171</v>
      </c>
      <c r="M42" s="134" t="s">
        <v>332</v>
      </c>
      <c r="N42" s="134" t="s">
        <v>170</v>
      </c>
      <c r="P42" s="134">
        <v>13</v>
      </c>
      <c r="Q42" s="134" t="s">
        <v>153</v>
      </c>
      <c r="R42" s="146"/>
      <c r="T42" s="146"/>
      <c r="U42" s="146"/>
      <c r="V42" s="134" t="s">
        <v>155</v>
      </c>
      <c r="W42" s="147" t="s">
        <v>299</v>
      </c>
      <c r="X42" s="134">
        <v>2021</v>
      </c>
      <c r="Y42" s="151" t="s">
        <v>3168</v>
      </c>
      <c r="AA42" s="160" t="s">
        <v>3170</v>
      </c>
      <c r="AB42" s="163">
        <v>44377</v>
      </c>
      <c r="AC42" s="150">
        <v>45888</v>
      </c>
    </row>
    <row r="43" spans="1:29" ht="15" customHeight="1" x14ac:dyDescent="0.45">
      <c r="A43" s="134" t="s">
        <v>142</v>
      </c>
      <c r="B43" s="134" t="s">
        <v>143</v>
      </c>
      <c r="C43" s="134" t="s">
        <v>159</v>
      </c>
      <c r="D43" s="134" t="s">
        <v>142</v>
      </c>
      <c r="E43" s="134" t="s">
        <v>143</v>
      </c>
      <c r="F43" s="134" t="s">
        <v>166</v>
      </c>
      <c r="G43" s="134" t="s">
        <v>176</v>
      </c>
      <c r="H43" s="134" t="s">
        <v>259</v>
      </c>
      <c r="I43" s="134" t="s">
        <v>331</v>
      </c>
      <c r="J43" s="134" t="s">
        <v>3152</v>
      </c>
      <c r="K43" s="134" t="s">
        <v>3152</v>
      </c>
      <c r="L43" s="134" t="s">
        <v>171</v>
      </c>
      <c r="M43" s="134" t="s">
        <v>332</v>
      </c>
      <c r="N43" s="134" t="s">
        <v>170</v>
      </c>
      <c r="P43" s="134">
        <v>4</v>
      </c>
      <c r="Q43" s="134" t="s">
        <v>153</v>
      </c>
      <c r="R43" s="146"/>
      <c r="T43" s="146"/>
      <c r="U43" s="146"/>
      <c r="V43" s="134" t="s">
        <v>155</v>
      </c>
      <c r="W43" s="147" t="s">
        <v>299</v>
      </c>
      <c r="X43" s="134">
        <v>2021</v>
      </c>
      <c r="Y43" s="151" t="s">
        <v>3168</v>
      </c>
      <c r="AA43" s="160" t="s">
        <v>3170</v>
      </c>
      <c r="AB43" s="163">
        <v>44377</v>
      </c>
      <c r="AC43" s="150">
        <v>45888</v>
      </c>
    </row>
    <row r="44" spans="1:29" ht="15" customHeight="1" x14ac:dyDescent="0.45">
      <c r="A44" s="134" t="s">
        <v>152</v>
      </c>
      <c r="B44" s="134" t="s">
        <v>152</v>
      </c>
      <c r="C44" s="134" t="s">
        <v>144</v>
      </c>
      <c r="D44" s="134" t="s">
        <v>142</v>
      </c>
      <c r="E44" s="134" t="s">
        <v>143</v>
      </c>
      <c r="F44" s="134" t="s">
        <v>145</v>
      </c>
      <c r="G44" s="134" t="s">
        <v>176</v>
      </c>
      <c r="H44" s="134" t="s">
        <v>259</v>
      </c>
      <c r="I44" s="134" t="s">
        <v>331</v>
      </c>
      <c r="J44" s="134" t="s">
        <v>3152</v>
      </c>
      <c r="K44" s="134" t="s">
        <v>3152</v>
      </c>
      <c r="L44" s="134" t="s">
        <v>171</v>
      </c>
      <c r="M44" s="134" t="s">
        <v>332</v>
      </c>
      <c r="N44" s="134" t="s">
        <v>170</v>
      </c>
      <c r="P44" s="134">
        <v>12</v>
      </c>
      <c r="Q44" s="134" t="s">
        <v>153</v>
      </c>
      <c r="R44" s="146"/>
      <c r="T44" s="146"/>
      <c r="U44" s="146"/>
      <c r="V44" s="134" t="s">
        <v>181</v>
      </c>
      <c r="W44" s="147" t="s">
        <v>299</v>
      </c>
      <c r="X44" s="134">
        <v>2021</v>
      </c>
      <c r="Y44" s="151" t="s">
        <v>3168</v>
      </c>
      <c r="AA44" s="160" t="s">
        <v>3170</v>
      </c>
      <c r="AB44" s="163">
        <v>44377</v>
      </c>
      <c r="AC44" s="150">
        <v>45888</v>
      </c>
    </row>
    <row r="45" spans="1:29" ht="15" customHeight="1" x14ac:dyDescent="0.45">
      <c r="A45" s="134" t="s">
        <v>152</v>
      </c>
      <c r="B45" s="134" t="s">
        <v>152</v>
      </c>
      <c r="C45" s="134" t="s">
        <v>144</v>
      </c>
      <c r="D45" s="134" t="s">
        <v>142</v>
      </c>
      <c r="E45" s="134" t="s">
        <v>143</v>
      </c>
      <c r="F45" s="134" t="s">
        <v>145</v>
      </c>
      <c r="G45" s="134" t="s">
        <v>176</v>
      </c>
      <c r="H45" s="134" t="s">
        <v>259</v>
      </c>
      <c r="I45" s="134" t="s">
        <v>331</v>
      </c>
      <c r="J45" s="134" t="s">
        <v>3153</v>
      </c>
      <c r="K45" s="134" t="s">
        <v>3153</v>
      </c>
      <c r="L45" s="134" t="s">
        <v>171</v>
      </c>
      <c r="M45" s="134" t="s">
        <v>332</v>
      </c>
      <c r="N45" s="134" t="s">
        <v>170</v>
      </c>
      <c r="P45" s="134">
        <v>6</v>
      </c>
      <c r="Q45" s="134" t="s">
        <v>153</v>
      </c>
      <c r="R45" s="146"/>
      <c r="T45" s="146"/>
      <c r="U45" s="146"/>
      <c r="V45" s="134" t="s">
        <v>181</v>
      </c>
      <c r="W45" s="147" t="s">
        <v>299</v>
      </c>
      <c r="X45" s="134">
        <v>2021</v>
      </c>
      <c r="Y45" s="151" t="s">
        <v>3168</v>
      </c>
      <c r="AA45" s="160" t="s">
        <v>3170</v>
      </c>
      <c r="AB45" s="163">
        <v>44377</v>
      </c>
      <c r="AC45" s="150">
        <v>45888</v>
      </c>
    </row>
    <row r="46" spans="1:29" ht="15" customHeight="1" x14ac:dyDescent="0.45">
      <c r="A46" s="134" t="s">
        <v>152</v>
      </c>
      <c r="B46" s="134" t="s">
        <v>152</v>
      </c>
      <c r="C46" s="134" t="s">
        <v>144</v>
      </c>
      <c r="D46" s="134" t="s">
        <v>142</v>
      </c>
      <c r="E46" s="134" t="s">
        <v>143</v>
      </c>
      <c r="F46" s="134" t="s">
        <v>145</v>
      </c>
      <c r="G46" s="134" t="s">
        <v>176</v>
      </c>
      <c r="H46" s="134" t="s">
        <v>259</v>
      </c>
      <c r="I46" s="134" t="s">
        <v>331</v>
      </c>
      <c r="J46" s="134" t="s">
        <v>3154</v>
      </c>
      <c r="K46" s="134" t="s">
        <v>3154</v>
      </c>
      <c r="L46" s="134" t="s">
        <v>171</v>
      </c>
      <c r="M46" s="134" t="s">
        <v>332</v>
      </c>
      <c r="N46" s="134" t="s">
        <v>170</v>
      </c>
      <c r="P46" s="134">
        <v>41</v>
      </c>
      <c r="Q46" s="134" t="s">
        <v>153</v>
      </c>
      <c r="R46" s="146"/>
      <c r="T46" s="146"/>
      <c r="U46" s="146"/>
      <c r="V46" s="134" t="s">
        <v>181</v>
      </c>
      <c r="W46" s="147" t="s">
        <v>299</v>
      </c>
      <c r="X46" s="134">
        <v>2021</v>
      </c>
      <c r="Y46" s="151" t="s">
        <v>3168</v>
      </c>
      <c r="AA46" s="160" t="s">
        <v>3170</v>
      </c>
      <c r="AB46" s="163">
        <v>44377</v>
      </c>
      <c r="AC46" s="150">
        <v>45888</v>
      </c>
    </row>
    <row r="47" spans="1:29" ht="15" customHeight="1" x14ac:dyDescent="0.45">
      <c r="A47" s="134" t="s">
        <v>142</v>
      </c>
      <c r="B47" s="134" t="s">
        <v>143</v>
      </c>
      <c r="C47" s="134" t="s">
        <v>144</v>
      </c>
      <c r="D47" s="134" t="s">
        <v>142</v>
      </c>
      <c r="E47" s="134" t="s">
        <v>143</v>
      </c>
      <c r="F47" s="134" t="s">
        <v>166</v>
      </c>
      <c r="G47" s="134" t="s">
        <v>176</v>
      </c>
      <c r="H47" s="134" t="s">
        <v>259</v>
      </c>
      <c r="I47" s="134" t="s">
        <v>331</v>
      </c>
      <c r="J47" s="134" t="s">
        <v>3155</v>
      </c>
      <c r="K47" s="134" t="s">
        <v>3155</v>
      </c>
      <c r="L47" s="134" t="s">
        <v>171</v>
      </c>
      <c r="M47" s="134" t="s">
        <v>332</v>
      </c>
      <c r="N47" s="134" t="s">
        <v>170</v>
      </c>
      <c r="P47" s="134">
        <v>22</v>
      </c>
      <c r="Q47" s="134" t="s">
        <v>153</v>
      </c>
      <c r="R47" s="146"/>
      <c r="T47" s="146"/>
      <c r="U47" s="146"/>
      <c r="V47" s="134" t="s">
        <v>155</v>
      </c>
      <c r="W47" s="147" t="s">
        <v>299</v>
      </c>
      <c r="X47" s="134">
        <v>2021</v>
      </c>
      <c r="Y47" s="151" t="s">
        <v>3168</v>
      </c>
      <c r="AA47" s="160" t="s">
        <v>3170</v>
      </c>
      <c r="AB47" s="163">
        <v>44377</v>
      </c>
      <c r="AC47" s="150">
        <v>45888</v>
      </c>
    </row>
    <row r="48" spans="1:29" ht="15" customHeight="1" x14ac:dyDescent="0.45">
      <c r="A48" s="134" t="s">
        <v>142</v>
      </c>
      <c r="B48" s="134" t="s">
        <v>143</v>
      </c>
      <c r="C48" s="134" t="s">
        <v>159</v>
      </c>
      <c r="D48" s="134" t="s">
        <v>142</v>
      </c>
      <c r="E48" s="134" t="s">
        <v>143</v>
      </c>
      <c r="F48" s="134" t="s">
        <v>166</v>
      </c>
      <c r="G48" s="134" t="s">
        <v>176</v>
      </c>
      <c r="H48" s="134" t="s">
        <v>259</v>
      </c>
      <c r="I48" s="134" t="s">
        <v>331</v>
      </c>
      <c r="J48" s="134" t="s">
        <v>3155</v>
      </c>
      <c r="K48" s="134" t="s">
        <v>3155</v>
      </c>
      <c r="L48" s="134" t="s">
        <v>171</v>
      </c>
      <c r="M48" s="134" t="s">
        <v>332</v>
      </c>
      <c r="N48" s="134" t="s">
        <v>170</v>
      </c>
      <c r="P48" s="134">
        <v>3</v>
      </c>
      <c r="Q48" s="134" t="s">
        <v>153</v>
      </c>
      <c r="R48" s="146"/>
      <c r="T48" s="146"/>
      <c r="U48" s="146"/>
      <c r="V48" s="134" t="s">
        <v>155</v>
      </c>
      <c r="W48" s="147" t="s">
        <v>299</v>
      </c>
      <c r="X48" s="134">
        <v>2021</v>
      </c>
      <c r="Y48" s="151" t="s">
        <v>3168</v>
      </c>
      <c r="AA48" s="160" t="s">
        <v>3170</v>
      </c>
      <c r="AB48" s="163">
        <v>44377</v>
      </c>
      <c r="AC48" s="150">
        <v>45888</v>
      </c>
    </row>
    <row r="49" spans="1:29" ht="15" customHeight="1" x14ac:dyDescent="0.45">
      <c r="A49" s="134" t="s">
        <v>152</v>
      </c>
      <c r="B49" s="134" t="s">
        <v>152</v>
      </c>
      <c r="C49" s="134" t="s">
        <v>144</v>
      </c>
      <c r="D49" s="134" t="s">
        <v>142</v>
      </c>
      <c r="E49" s="134" t="s">
        <v>143</v>
      </c>
      <c r="F49" s="134" t="s">
        <v>145</v>
      </c>
      <c r="G49" s="134" t="s">
        <v>176</v>
      </c>
      <c r="H49" s="134" t="s">
        <v>259</v>
      </c>
      <c r="I49" s="134" t="s">
        <v>331</v>
      </c>
      <c r="J49" s="134" t="s">
        <v>3155</v>
      </c>
      <c r="K49" s="134" t="s">
        <v>3155</v>
      </c>
      <c r="L49" s="134" t="s">
        <v>171</v>
      </c>
      <c r="M49" s="134" t="s">
        <v>332</v>
      </c>
      <c r="N49" s="134" t="s">
        <v>170</v>
      </c>
      <c r="P49" s="134">
        <v>47</v>
      </c>
      <c r="Q49" s="134" t="s">
        <v>153</v>
      </c>
      <c r="R49" s="146"/>
      <c r="T49" s="146"/>
      <c r="U49" s="146"/>
      <c r="V49" s="134" t="s">
        <v>181</v>
      </c>
      <c r="W49" s="147" t="s">
        <v>299</v>
      </c>
      <c r="X49" s="134">
        <v>2021</v>
      </c>
      <c r="Y49" s="151" t="s">
        <v>3168</v>
      </c>
      <c r="AA49" s="160" t="s">
        <v>3170</v>
      </c>
      <c r="AB49" s="163">
        <v>44377</v>
      </c>
      <c r="AC49" s="150">
        <v>45888</v>
      </c>
    </row>
    <row r="50" spans="1:29" ht="15" customHeight="1" x14ac:dyDescent="0.45">
      <c r="A50" s="134" t="s">
        <v>142</v>
      </c>
      <c r="B50" s="134" t="s">
        <v>143</v>
      </c>
      <c r="C50" s="134" t="s">
        <v>159</v>
      </c>
      <c r="D50" s="134" t="s">
        <v>142</v>
      </c>
      <c r="E50" s="134" t="s">
        <v>143</v>
      </c>
      <c r="F50" s="134" t="s">
        <v>166</v>
      </c>
      <c r="G50" s="134" t="s">
        <v>176</v>
      </c>
      <c r="H50" s="134" t="s">
        <v>259</v>
      </c>
      <c r="I50" s="134" t="s">
        <v>331</v>
      </c>
      <c r="J50" s="134" t="s">
        <v>3156</v>
      </c>
      <c r="K50" s="134" t="s">
        <v>3156</v>
      </c>
      <c r="L50" s="134" t="s">
        <v>171</v>
      </c>
      <c r="M50" s="134" t="s">
        <v>332</v>
      </c>
      <c r="N50" s="134" t="s">
        <v>170</v>
      </c>
      <c r="P50" s="134">
        <v>2</v>
      </c>
      <c r="Q50" s="134" t="s">
        <v>153</v>
      </c>
      <c r="R50" s="146"/>
      <c r="T50" s="146"/>
      <c r="U50" s="146"/>
      <c r="V50" s="134" t="s">
        <v>155</v>
      </c>
      <c r="W50" s="147" t="s">
        <v>299</v>
      </c>
      <c r="X50" s="134">
        <v>2021</v>
      </c>
      <c r="Y50" s="151" t="s">
        <v>3168</v>
      </c>
      <c r="AA50" s="160" t="s">
        <v>3170</v>
      </c>
      <c r="AB50" s="163">
        <v>44377</v>
      </c>
      <c r="AC50" s="150">
        <v>45888</v>
      </c>
    </row>
    <row r="51" spans="1:29" ht="15" customHeight="1" x14ac:dyDescent="0.45">
      <c r="A51" s="134" t="s">
        <v>142</v>
      </c>
      <c r="B51" s="134" t="s">
        <v>143</v>
      </c>
      <c r="C51" s="134" t="s">
        <v>144</v>
      </c>
      <c r="D51" s="134" t="s">
        <v>142</v>
      </c>
      <c r="E51" s="134" t="s">
        <v>143</v>
      </c>
      <c r="F51" s="134" t="s">
        <v>166</v>
      </c>
      <c r="G51" s="134" t="s">
        <v>176</v>
      </c>
      <c r="H51" s="134" t="s">
        <v>259</v>
      </c>
      <c r="I51" s="134" t="s">
        <v>331</v>
      </c>
      <c r="J51" s="134" t="s">
        <v>3157</v>
      </c>
      <c r="K51" s="134" t="s">
        <v>3157</v>
      </c>
      <c r="L51" s="134" t="s">
        <v>171</v>
      </c>
      <c r="M51" s="134" t="s">
        <v>332</v>
      </c>
      <c r="N51" s="134" t="s">
        <v>170</v>
      </c>
      <c r="P51" s="134">
        <v>2</v>
      </c>
      <c r="Q51" s="134" t="s">
        <v>153</v>
      </c>
      <c r="R51" s="146"/>
      <c r="T51" s="146"/>
      <c r="U51" s="146"/>
      <c r="V51" s="134" t="s">
        <v>155</v>
      </c>
      <c r="W51" s="147" t="s">
        <v>299</v>
      </c>
      <c r="X51" s="134">
        <v>2021</v>
      </c>
      <c r="Y51" s="151" t="s">
        <v>3168</v>
      </c>
      <c r="AA51" s="160" t="s">
        <v>3170</v>
      </c>
      <c r="AB51" s="163">
        <v>44377</v>
      </c>
      <c r="AC51" s="150">
        <v>45888</v>
      </c>
    </row>
    <row r="52" spans="1:29" ht="15" customHeight="1" x14ac:dyDescent="0.45">
      <c r="A52" s="134" t="s">
        <v>142</v>
      </c>
      <c r="B52" s="134" t="s">
        <v>143</v>
      </c>
      <c r="C52" s="134" t="s">
        <v>159</v>
      </c>
      <c r="D52" s="134" t="s">
        <v>142</v>
      </c>
      <c r="E52" s="134" t="s">
        <v>143</v>
      </c>
      <c r="F52" s="134" t="s">
        <v>166</v>
      </c>
      <c r="G52" s="134" t="s">
        <v>176</v>
      </c>
      <c r="H52" s="134" t="s">
        <v>259</v>
      </c>
      <c r="I52" s="134" t="s">
        <v>331</v>
      </c>
      <c r="J52" s="134" t="s">
        <v>3157</v>
      </c>
      <c r="K52" s="134" t="s">
        <v>3157</v>
      </c>
      <c r="L52" s="134" t="s">
        <v>171</v>
      </c>
      <c r="M52" s="134" t="s">
        <v>332</v>
      </c>
      <c r="N52" s="134" t="s">
        <v>170</v>
      </c>
      <c r="P52" s="134">
        <v>4</v>
      </c>
      <c r="Q52" s="134" t="s">
        <v>153</v>
      </c>
      <c r="R52" s="146"/>
      <c r="T52" s="146"/>
      <c r="U52" s="146"/>
      <c r="V52" s="134" t="s">
        <v>155</v>
      </c>
      <c r="W52" s="147" t="s">
        <v>299</v>
      </c>
      <c r="X52" s="134">
        <v>2021</v>
      </c>
      <c r="Y52" s="151" t="s">
        <v>3168</v>
      </c>
      <c r="AA52" s="160" t="s">
        <v>3170</v>
      </c>
      <c r="AB52" s="163">
        <v>44377</v>
      </c>
      <c r="AC52" s="150">
        <v>45888</v>
      </c>
    </row>
    <row r="53" spans="1:29" ht="15" customHeight="1" x14ac:dyDescent="0.45">
      <c r="A53" s="134" t="s">
        <v>152</v>
      </c>
      <c r="B53" s="134" t="s">
        <v>152</v>
      </c>
      <c r="C53" s="134" t="s">
        <v>144</v>
      </c>
      <c r="D53" s="134" t="s">
        <v>142</v>
      </c>
      <c r="E53" s="134" t="s">
        <v>143</v>
      </c>
      <c r="F53" s="134" t="s">
        <v>145</v>
      </c>
      <c r="G53" s="134" t="s">
        <v>176</v>
      </c>
      <c r="H53" s="134" t="s">
        <v>259</v>
      </c>
      <c r="I53" s="134" t="s">
        <v>331</v>
      </c>
      <c r="J53" s="134" t="s">
        <v>3157</v>
      </c>
      <c r="K53" s="134" t="s">
        <v>3157</v>
      </c>
      <c r="L53" s="134" t="s">
        <v>171</v>
      </c>
      <c r="M53" s="134" t="s">
        <v>332</v>
      </c>
      <c r="N53" s="134" t="s">
        <v>170</v>
      </c>
      <c r="P53" s="134">
        <v>1</v>
      </c>
      <c r="Q53" s="134" t="s">
        <v>153</v>
      </c>
      <c r="R53" s="146"/>
      <c r="T53" s="146"/>
      <c r="U53" s="146"/>
      <c r="V53" s="134" t="s">
        <v>181</v>
      </c>
      <c r="W53" s="147" t="s">
        <v>299</v>
      </c>
      <c r="X53" s="134">
        <v>2021</v>
      </c>
      <c r="Y53" s="151" t="s">
        <v>3168</v>
      </c>
      <c r="AA53" s="160" t="s">
        <v>3170</v>
      </c>
      <c r="AB53" s="163">
        <v>44377</v>
      </c>
      <c r="AC53" s="150">
        <v>45888</v>
      </c>
    </row>
    <row r="54" spans="1:29" ht="15" customHeight="1" x14ac:dyDescent="0.45">
      <c r="A54" s="134" t="s">
        <v>142</v>
      </c>
      <c r="B54" s="134" t="s">
        <v>143</v>
      </c>
      <c r="C54" s="134" t="s">
        <v>144</v>
      </c>
      <c r="D54" s="134" t="s">
        <v>142</v>
      </c>
      <c r="E54" s="134" t="s">
        <v>143</v>
      </c>
      <c r="F54" s="134" t="s">
        <v>166</v>
      </c>
      <c r="G54" s="134" t="s">
        <v>176</v>
      </c>
      <c r="H54" s="134" t="s">
        <v>259</v>
      </c>
      <c r="I54" s="134" t="s">
        <v>331</v>
      </c>
      <c r="J54" s="134" t="s">
        <v>3158</v>
      </c>
      <c r="K54" s="134" t="s">
        <v>3158</v>
      </c>
      <c r="L54" s="134" t="s">
        <v>171</v>
      </c>
      <c r="M54" s="134" t="s">
        <v>332</v>
      </c>
      <c r="N54" s="134" t="s">
        <v>170</v>
      </c>
      <c r="P54" s="134">
        <v>68</v>
      </c>
      <c r="Q54" s="134" t="s">
        <v>153</v>
      </c>
      <c r="R54" s="146"/>
      <c r="T54" s="146"/>
      <c r="U54" s="146"/>
      <c r="V54" s="134" t="s">
        <v>155</v>
      </c>
      <c r="W54" s="147" t="s">
        <v>299</v>
      </c>
      <c r="X54" s="134">
        <v>2021</v>
      </c>
      <c r="Y54" s="151" t="s">
        <v>3168</v>
      </c>
      <c r="AA54" s="160" t="s">
        <v>3170</v>
      </c>
      <c r="AB54" s="163">
        <v>44377</v>
      </c>
      <c r="AC54" s="150">
        <v>45888</v>
      </c>
    </row>
    <row r="55" spans="1:29" ht="15" customHeight="1" x14ac:dyDescent="0.45">
      <c r="A55" s="134" t="s">
        <v>142</v>
      </c>
      <c r="B55" s="134" t="s">
        <v>143</v>
      </c>
      <c r="C55" s="134" t="s">
        <v>159</v>
      </c>
      <c r="D55" s="134" t="s">
        <v>142</v>
      </c>
      <c r="E55" s="134" t="s">
        <v>143</v>
      </c>
      <c r="F55" s="134" t="s">
        <v>166</v>
      </c>
      <c r="G55" s="134" t="s">
        <v>176</v>
      </c>
      <c r="H55" s="134" t="s">
        <v>259</v>
      </c>
      <c r="I55" s="134" t="s">
        <v>331</v>
      </c>
      <c r="J55" s="134" t="s">
        <v>3158</v>
      </c>
      <c r="K55" s="134" t="s">
        <v>3158</v>
      </c>
      <c r="L55" s="134" t="s">
        <v>171</v>
      </c>
      <c r="M55" s="134" t="s">
        <v>332</v>
      </c>
      <c r="N55" s="134" t="s">
        <v>170</v>
      </c>
      <c r="P55" s="134">
        <v>4</v>
      </c>
      <c r="Q55" s="134" t="s">
        <v>153</v>
      </c>
      <c r="R55" s="146"/>
      <c r="T55" s="146"/>
      <c r="U55" s="146"/>
      <c r="V55" s="134" t="s">
        <v>155</v>
      </c>
      <c r="W55" s="147" t="s">
        <v>299</v>
      </c>
      <c r="X55" s="134">
        <v>2021</v>
      </c>
      <c r="Y55" s="151" t="s">
        <v>3168</v>
      </c>
      <c r="AA55" s="160" t="s">
        <v>3170</v>
      </c>
      <c r="AB55" s="163">
        <v>44377</v>
      </c>
      <c r="AC55" s="150">
        <v>45888</v>
      </c>
    </row>
    <row r="56" spans="1:29" ht="15" customHeight="1" x14ac:dyDescent="0.45">
      <c r="A56" s="134" t="s">
        <v>152</v>
      </c>
      <c r="B56" s="134" t="s">
        <v>152</v>
      </c>
      <c r="C56" s="134" t="s">
        <v>144</v>
      </c>
      <c r="D56" s="134" t="s">
        <v>142</v>
      </c>
      <c r="E56" s="134" t="s">
        <v>143</v>
      </c>
      <c r="F56" s="134" t="s">
        <v>145</v>
      </c>
      <c r="G56" s="134" t="s">
        <v>176</v>
      </c>
      <c r="H56" s="134" t="s">
        <v>259</v>
      </c>
      <c r="I56" s="134" t="s">
        <v>331</v>
      </c>
      <c r="J56" s="134" t="s">
        <v>3159</v>
      </c>
      <c r="K56" s="134" t="s">
        <v>3159</v>
      </c>
      <c r="L56" s="134" t="s">
        <v>171</v>
      </c>
      <c r="M56" s="134" t="s">
        <v>332</v>
      </c>
      <c r="N56" s="134" t="s">
        <v>170</v>
      </c>
      <c r="P56" s="148">
        <v>2</v>
      </c>
      <c r="Q56" s="134" t="s">
        <v>153</v>
      </c>
      <c r="R56" s="146"/>
      <c r="T56" s="146"/>
      <c r="U56" s="146"/>
      <c r="V56" s="134" t="s">
        <v>181</v>
      </c>
      <c r="W56" s="147" t="s">
        <v>299</v>
      </c>
      <c r="X56" s="134">
        <v>2021</v>
      </c>
      <c r="Y56" s="151" t="s">
        <v>3168</v>
      </c>
      <c r="AA56" s="160" t="s">
        <v>3170</v>
      </c>
      <c r="AB56" s="163">
        <v>44377</v>
      </c>
      <c r="AC56" s="150">
        <v>45888</v>
      </c>
    </row>
    <row r="57" spans="1:29" ht="15" customHeight="1" x14ac:dyDescent="0.45">
      <c r="A57" s="134" t="s">
        <v>152</v>
      </c>
      <c r="B57" s="134" t="s">
        <v>152</v>
      </c>
      <c r="C57" s="134" t="s">
        <v>144</v>
      </c>
      <c r="D57" s="134" t="s">
        <v>142</v>
      </c>
      <c r="E57" s="134" t="s">
        <v>143</v>
      </c>
      <c r="F57" s="134" t="s">
        <v>145</v>
      </c>
      <c r="G57" s="134" t="s">
        <v>176</v>
      </c>
      <c r="H57" s="134" t="s">
        <v>259</v>
      </c>
      <c r="I57" s="134" t="s">
        <v>331</v>
      </c>
      <c r="J57" s="134" t="s">
        <v>3160</v>
      </c>
      <c r="K57" s="134" t="s">
        <v>3160</v>
      </c>
      <c r="L57" s="134" t="s">
        <v>171</v>
      </c>
      <c r="M57" s="134" t="s">
        <v>332</v>
      </c>
      <c r="N57" s="134" t="s">
        <v>170</v>
      </c>
      <c r="P57" s="134">
        <v>1</v>
      </c>
      <c r="Q57" s="134" t="s">
        <v>153</v>
      </c>
      <c r="R57" s="146"/>
      <c r="T57" s="146"/>
      <c r="U57" s="146"/>
      <c r="V57" s="134" t="s">
        <v>181</v>
      </c>
      <c r="W57" s="147" t="s">
        <v>299</v>
      </c>
      <c r="X57" s="134">
        <v>2021</v>
      </c>
      <c r="Y57" s="151" t="s">
        <v>3168</v>
      </c>
      <c r="AA57" s="160" t="s">
        <v>3170</v>
      </c>
      <c r="AB57" s="163">
        <v>44377</v>
      </c>
      <c r="AC57" s="150">
        <v>45888</v>
      </c>
    </row>
    <row r="58" spans="1:29" ht="15" customHeight="1" x14ac:dyDescent="0.45">
      <c r="A58" s="134" t="s">
        <v>152</v>
      </c>
      <c r="B58" s="134" t="s">
        <v>152</v>
      </c>
      <c r="C58" s="134" t="s">
        <v>144</v>
      </c>
      <c r="D58" s="134" t="s">
        <v>142</v>
      </c>
      <c r="E58" s="134" t="s">
        <v>143</v>
      </c>
      <c r="F58" s="134" t="s">
        <v>145</v>
      </c>
      <c r="G58" s="134" t="s">
        <v>176</v>
      </c>
      <c r="H58" s="134" t="s">
        <v>259</v>
      </c>
      <c r="I58" s="134" t="s">
        <v>331</v>
      </c>
      <c r="J58" s="134" t="s">
        <v>3161</v>
      </c>
      <c r="K58" s="134" t="s">
        <v>3161</v>
      </c>
      <c r="L58" s="134" t="s">
        <v>171</v>
      </c>
      <c r="M58" s="134" t="s">
        <v>332</v>
      </c>
      <c r="N58" s="134" t="s">
        <v>170</v>
      </c>
      <c r="P58" s="134">
        <v>11</v>
      </c>
      <c r="Q58" s="134" t="s">
        <v>153</v>
      </c>
      <c r="R58" s="146"/>
      <c r="T58" s="146"/>
      <c r="U58" s="146"/>
      <c r="V58" s="134" t="s">
        <v>181</v>
      </c>
      <c r="W58" s="147" t="s">
        <v>299</v>
      </c>
      <c r="X58" s="134">
        <v>2021</v>
      </c>
      <c r="Y58" s="151" t="s">
        <v>3168</v>
      </c>
      <c r="AA58" s="160" t="s">
        <v>3170</v>
      </c>
      <c r="AB58" s="163">
        <v>44377</v>
      </c>
      <c r="AC58" s="150">
        <v>45888</v>
      </c>
    </row>
    <row r="59" spans="1:29" ht="15" customHeight="1" x14ac:dyDescent="0.45">
      <c r="A59" s="134" t="s">
        <v>142</v>
      </c>
      <c r="B59" s="134" t="s">
        <v>143</v>
      </c>
      <c r="C59" s="134" t="s">
        <v>144</v>
      </c>
      <c r="D59" s="134" t="s">
        <v>142</v>
      </c>
      <c r="E59" s="134" t="s">
        <v>143</v>
      </c>
      <c r="F59" s="134" t="s">
        <v>166</v>
      </c>
      <c r="G59" s="134" t="s">
        <v>176</v>
      </c>
      <c r="H59" s="134" t="s">
        <v>259</v>
      </c>
      <c r="I59" s="134" t="s">
        <v>331</v>
      </c>
      <c r="J59" s="134" t="s">
        <v>3162</v>
      </c>
      <c r="K59" s="134" t="s">
        <v>3162</v>
      </c>
      <c r="L59" s="134" t="s">
        <v>171</v>
      </c>
      <c r="M59" s="134" t="s">
        <v>332</v>
      </c>
      <c r="N59" s="134" t="s">
        <v>170</v>
      </c>
      <c r="P59" s="134">
        <v>8</v>
      </c>
      <c r="Q59" s="134" t="s">
        <v>153</v>
      </c>
      <c r="R59" s="146"/>
      <c r="T59" s="146"/>
      <c r="U59" s="146"/>
      <c r="V59" s="134" t="s">
        <v>155</v>
      </c>
      <c r="W59" s="147" t="s">
        <v>299</v>
      </c>
      <c r="X59" s="134">
        <v>2021</v>
      </c>
      <c r="Y59" s="151" t="s">
        <v>3168</v>
      </c>
      <c r="AA59" s="160" t="s">
        <v>3170</v>
      </c>
      <c r="AB59" s="163">
        <v>44377</v>
      </c>
      <c r="AC59" s="150">
        <v>45888</v>
      </c>
    </row>
    <row r="60" spans="1:29" ht="15" customHeight="1" x14ac:dyDescent="0.45">
      <c r="A60" s="134" t="s">
        <v>142</v>
      </c>
      <c r="B60" s="134" t="s">
        <v>143</v>
      </c>
      <c r="C60" s="134" t="s">
        <v>159</v>
      </c>
      <c r="D60" s="134" t="s">
        <v>142</v>
      </c>
      <c r="E60" s="134" t="s">
        <v>143</v>
      </c>
      <c r="F60" s="134" t="s">
        <v>166</v>
      </c>
      <c r="G60" s="134" t="s">
        <v>176</v>
      </c>
      <c r="H60" s="134" t="s">
        <v>259</v>
      </c>
      <c r="I60" s="134" t="s">
        <v>331</v>
      </c>
      <c r="J60" s="134" t="s">
        <v>3162</v>
      </c>
      <c r="K60" s="134" t="s">
        <v>3162</v>
      </c>
      <c r="L60" s="134" t="s">
        <v>171</v>
      </c>
      <c r="M60" s="134" t="s">
        <v>332</v>
      </c>
      <c r="N60" s="134" t="s">
        <v>170</v>
      </c>
      <c r="P60" s="134">
        <v>16</v>
      </c>
      <c r="Q60" s="134" t="s">
        <v>153</v>
      </c>
      <c r="R60" s="146"/>
      <c r="T60" s="146"/>
      <c r="U60" s="146"/>
      <c r="V60" s="134" t="s">
        <v>155</v>
      </c>
      <c r="W60" s="147" t="s">
        <v>299</v>
      </c>
      <c r="X60" s="134">
        <v>2021</v>
      </c>
      <c r="Y60" s="151" t="s">
        <v>3168</v>
      </c>
      <c r="AA60" s="160" t="s">
        <v>3170</v>
      </c>
      <c r="AB60" s="163">
        <v>44377</v>
      </c>
      <c r="AC60" s="150">
        <v>45888</v>
      </c>
    </row>
    <row r="61" spans="1:29" ht="15" customHeight="1" x14ac:dyDescent="0.45">
      <c r="A61" s="134" t="s">
        <v>152</v>
      </c>
      <c r="B61" s="134" t="s">
        <v>152</v>
      </c>
      <c r="C61" s="134" t="s">
        <v>144</v>
      </c>
      <c r="D61" s="134" t="s">
        <v>142</v>
      </c>
      <c r="E61" s="134" t="s">
        <v>143</v>
      </c>
      <c r="F61" s="134" t="s">
        <v>145</v>
      </c>
      <c r="G61" s="134" t="s">
        <v>176</v>
      </c>
      <c r="H61" s="134" t="s">
        <v>259</v>
      </c>
      <c r="I61" s="134" t="s">
        <v>331</v>
      </c>
      <c r="J61" s="134" t="s">
        <v>3162</v>
      </c>
      <c r="K61" s="134" t="s">
        <v>3162</v>
      </c>
      <c r="L61" s="134" t="s">
        <v>171</v>
      </c>
      <c r="M61" s="134" t="s">
        <v>332</v>
      </c>
      <c r="N61" s="134" t="s">
        <v>170</v>
      </c>
      <c r="P61" s="134">
        <v>111</v>
      </c>
      <c r="Q61" s="134" t="s">
        <v>153</v>
      </c>
      <c r="R61" s="146"/>
      <c r="T61" s="146"/>
      <c r="U61" s="146"/>
      <c r="V61" s="134" t="s">
        <v>181</v>
      </c>
      <c r="W61" s="147" t="s">
        <v>299</v>
      </c>
      <c r="X61" s="134">
        <v>2021</v>
      </c>
      <c r="Y61" s="151" t="s">
        <v>3168</v>
      </c>
      <c r="AA61" s="160" t="s">
        <v>3170</v>
      </c>
      <c r="AB61" s="163">
        <v>44377</v>
      </c>
      <c r="AC61" s="150">
        <v>45888</v>
      </c>
    </row>
    <row r="62" spans="1:29" ht="15" customHeight="1" x14ac:dyDescent="0.45">
      <c r="A62" s="134" t="s">
        <v>142</v>
      </c>
      <c r="B62" s="134" t="s">
        <v>143</v>
      </c>
      <c r="C62" s="134" t="s">
        <v>144</v>
      </c>
      <c r="D62" s="134" t="s">
        <v>142</v>
      </c>
      <c r="E62" s="134" t="s">
        <v>143</v>
      </c>
      <c r="F62" s="134" t="s">
        <v>166</v>
      </c>
      <c r="G62" s="134" t="s">
        <v>176</v>
      </c>
      <c r="H62" s="134" t="s">
        <v>259</v>
      </c>
      <c r="I62" s="134" t="s">
        <v>331</v>
      </c>
      <c r="J62" s="134" t="s">
        <v>3163</v>
      </c>
      <c r="K62" s="134" t="s">
        <v>3163</v>
      </c>
      <c r="L62" s="134" t="s">
        <v>171</v>
      </c>
      <c r="M62" s="134" t="s">
        <v>332</v>
      </c>
      <c r="N62" s="134" t="s">
        <v>170</v>
      </c>
      <c r="P62" s="134">
        <v>2</v>
      </c>
      <c r="Q62" s="134" t="s">
        <v>153</v>
      </c>
      <c r="R62" s="146"/>
      <c r="T62" s="146"/>
      <c r="U62" s="146"/>
      <c r="V62" s="134" t="s">
        <v>155</v>
      </c>
      <c r="W62" s="147" t="s">
        <v>299</v>
      </c>
      <c r="X62" s="134">
        <v>2021</v>
      </c>
      <c r="Y62" s="151" t="s">
        <v>3168</v>
      </c>
      <c r="AA62" s="160" t="s">
        <v>3170</v>
      </c>
      <c r="AB62" s="163">
        <v>44377</v>
      </c>
      <c r="AC62" s="150">
        <v>45888</v>
      </c>
    </row>
    <row r="63" spans="1:29" ht="15" customHeight="1" x14ac:dyDescent="0.45">
      <c r="A63" s="134" t="s">
        <v>142</v>
      </c>
      <c r="B63" s="134" t="s">
        <v>143</v>
      </c>
      <c r="C63" s="134" t="s">
        <v>159</v>
      </c>
      <c r="D63" s="134" t="s">
        <v>142</v>
      </c>
      <c r="E63" s="134" t="s">
        <v>143</v>
      </c>
      <c r="F63" s="134" t="s">
        <v>166</v>
      </c>
      <c r="G63" s="134" t="s">
        <v>176</v>
      </c>
      <c r="H63" s="134" t="s">
        <v>259</v>
      </c>
      <c r="I63" s="134" t="s">
        <v>331</v>
      </c>
      <c r="J63" s="134" t="s">
        <v>3163</v>
      </c>
      <c r="K63" s="134" t="s">
        <v>3163</v>
      </c>
      <c r="L63" s="134" t="s">
        <v>171</v>
      </c>
      <c r="M63" s="134" t="s">
        <v>332</v>
      </c>
      <c r="N63" s="134" t="s">
        <v>170</v>
      </c>
      <c r="P63" s="134">
        <v>4</v>
      </c>
      <c r="Q63" s="134" t="s">
        <v>153</v>
      </c>
      <c r="R63" s="146"/>
      <c r="T63" s="146"/>
      <c r="U63" s="146"/>
      <c r="V63" s="134" t="s">
        <v>155</v>
      </c>
      <c r="W63" s="147" t="s">
        <v>299</v>
      </c>
      <c r="X63" s="134">
        <v>2021</v>
      </c>
      <c r="Y63" s="151" t="s">
        <v>3168</v>
      </c>
      <c r="AA63" s="160" t="s">
        <v>3170</v>
      </c>
      <c r="AB63" s="163">
        <v>44377</v>
      </c>
      <c r="AC63" s="150">
        <v>45888</v>
      </c>
    </row>
    <row r="64" spans="1:29" ht="15" customHeight="1" x14ac:dyDescent="0.45">
      <c r="A64" s="134" t="s">
        <v>152</v>
      </c>
      <c r="B64" s="134" t="s">
        <v>152</v>
      </c>
      <c r="C64" s="134" t="s">
        <v>144</v>
      </c>
      <c r="D64" s="134" t="s">
        <v>142</v>
      </c>
      <c r="E64" s="134" t="s">
        <v>143</v>
      </c>
      <c r="F64" s="134" t="s">
        <v>145</v>
      </c>
      <c r="G64" s="134" t="s">
        <v>176</v>
      </c>
      <c r="H64" s="134" t="s">
        <v>259</v>
      </c>
      <c r="I64" s="134" t="s">
        <v>331</v>
      </c>
      <c r="J64" s="134" t="s">
        <v>3163</v>
      </c>
      <c r="K64" s="134" t="s">
        <v>3163</v>
      </c>
      <c r="L64" s="134" t="s">
        <v>171</v>
      </c>
      <c r="M64" s="134" t="s">
        <v>332</v>
      </c>
      <c r="N64" s="134" t="s">
        <v>170</v>
      </c>
      <c r="P64" s="134">
        <v>29</v>
      </c>
      <c r="Q64" s="134" t="s">
        <v>153</v>
      </c>
      <c r="R64" s="146"/>
      <c r="T64" s="146"/>
      <c r="U64" s="146"/>
      <c r="V64" s="134" t="s">
        <v>181</v>
      </c>
      <c r="W64" s="147" t="s">
        <v>299</v>
      </c>
      <c r="X64" s="134">
        <v>2021</v>
      </c>
      <c r="Y64" s="151" t="s">
        <v>3168</v>
      </c>
      <c r="AA64" s="160" t="s">
        <v>3170</v>
      </c>
      <c r="AB64" s="163">
        <v>44377</v>
      </c>
      <c r="AC64" s="150">
        <v>45888</v>
      </c>
    </row>
    <row r="65" spans="1:29" ht="15" customHeight="1" x14ac:dyDescent="0.45">
      <c r="A65" s="134" t="s">
        <v>142</v>
      </c>
      <c r="B65" s="134" t="s">
        <v>143</v>
      </c>
      <c r="C65" s="134" t="s">
        <v>144</v>
      </c>
      <c r="D65" s="134" t="s">
        <v>142</v>
      </c>
      <c r="E65" s="134" t="s">
        <v>143</v>
      </c>
      <c r="F65" s="134" t="s">
        <v>166</v>
      </c>
      <c r="G65" s="134" t="s">
        <v>176</v>
      </c>
      <c r="H65" s="134" t="s">
        <v>259</v>
      </c>
      <c r="I65" s="134" t="s">
        <v>331</v>
      </c>
      <c r="J65" s="134" t="s">
        <v>3164</v>
      </c>
      <c r="K65" s="134" t="s">
        <v>3164</v>
      </c>
      <c r="L65" s="134" t="s">
        <v>171</v>
      </c>
      <c r="M65" s="134" t="s">
        <v>332</v>
      </c>
      <c r="N65" s="134" t="s">
        <v>170</v>
      </c>
      <c r="P65" s="134">
        <v>1</v>
      </c>
      <c r="Q65" s="134" t="s">
        <v>153</v>
      </c>
      <c r="R65" s="146"/>
      <c r="T65" s="146"/>
      <c r="U65" s="146"/>
      <c r="V65" s="134" t="s">
        <v>155</v>
      </c>
      <c r="W65" s="147" t="s">
        <v>299</v>
      </c>
      <c r="X65" s="134">
        <v>2021</v>
      </c>
      <c r="Y65" s="151" t="s">
        <v>3168</v>
      </c>
      <c r="AA65" s="160" t="s">
        <v>3170</v>
      </c>
      <c r="AB65" s="163">
        <v>44377</v>
      </c>
      <c r="AC65" s="150">
        <v>45888</v>
      </c>
    </row>
    <row r="66" spans="1:29" ht="15" customHeight="1" x14ac:dyDescent="0.45">
      <c r="A66" s="134" t="s">
        <v>142</v>
      </c>
      <c r="B66" s="134" t="s">
        <v>143</v>
      </c>
      <c r="C66" s="134" t="s">
        <v>159</v>
      </c>
      <c r="D66" s="134" t="s">
        <v>142</v>
      </c>
      <c r="E66" s="134" t="s">
        <v>143</v>
      </c>
      <c r="F66" s="134" t="s">
        <v>166</v>
      </c>
      <c r="G66" s="134" t="s">
        <v>176</v>
      </c>
      <c r="H66" s="134" t="s">
        <v>259</v>
      </c>
      <c r="I66" s="134" t="s">
        <v>331</v>
      </c>
      <c r="J66" s="134" t="s">
        <v>3164</v>
      </c>
      <c r="K66" s="134" t="s">
        <v>3164</v>
      </c>
      <c r="L66" s="134" t="s">
        <v>171</v>
      </c>
      <c r="M66" s="134" t="s">
        <v>332</v>
      </c>
      <c r="N66" s="134" t="s">
        <v>170</v>
      </c>
      <c r="P66" s="134">
        <v>1</v>
      </c>
      <c r="Q66" s="134" t="s">
        <v>153</v>
      </c>
      <c r="R66" s="146"/>
      <c r="T66" s="146"/>
      <c r="U66" s="146"/>
      <c r="V66" s="134" t="s">
        <v>155</v>
      </c>
      <c r="W66" s="147" t="s">
        <v>299</v>
      </c>
      <c r="X66" s="134">
        <v>2021</v>
      </c>
      <c r="Y66" s="151" t="s">
        <v>3168</v>
      </c>
      <c r="AA66" s="160" t="s">
        <v>3170</v>
      </c>
      <c r="AB66" s="163">
        <v>44377</v>
      </c>
      <c r="AC66" s="150">
        <v>45888</v>
      </c>
    </row>
    <row r="67" spans="1:29" ht="15" customHeight="1" x14ac:dyDescent="0.45">
      <c r="A67" s="134" t="s">
        <v>265</v>
      </c>
      <c r="B67" s="134" t="s">
        <v>406</v>
      </c>
      <c r="C67" s="134" t="s">
        <v>144</v>
      </c>
      <c r="D67" s="134" t="s">
        <v>142</v>
      </c>
      <c r="E67" s="134" t="s">
        <v>143</v>
      </c>
      <c r="F67" s="134" t="s">
        <v>145</v>
      </c>
      <c r="G67" s="134" t="s">
        <v>176</v>
      </c>
      <c r="H67" s="134" t="s">
        <v>259</v>
      </c>
      <c r="I67" s="134" t="s">
        <v>331</v>
      </c>
      <c r="J67" s="134" t="s">
        <v>3164</v>
      </c>
      <c r="K67" s="134" t="s">
        <v>3164</v>
      </c>
      <c r="L67" s="134" t="s">
        <v>171</v>
      </c>
      <c r="M67" s="134" t="s">
        <v>332</v>
      </c>
      <c r="N67" s="134" t="s">
        <v>170</v>
      </c>
      <c r="P67" s="134">
        <v>1</v>
      </c>
      <c r="Q67" s="134" t="s">
        <v>153</v>
      </c>
      <c r="R67" s="146"/>
      <c r="T67" s="146"/>
      <c r="U67" s="146"/>
      <c r="V67" s="134" t="s">
        <v>181</v>
      </c>
      <c r="W67" s="147" t="s">
        <v>299</v>
      </c>
      <c r="X67" s="134">
        <v>2021</v>
      </c>
      <c r="Y67" s="151" t="s">
        <v>3168</v>
      </c>
      <c r="AA67" s="160" t="s">
        <v>3170</v>
      </c>
      <c r="AB67" s="163">
        <v>44377</v>
      </c>
      <c r="AC67" s="150">
        <v>45888</v>
      </c>
    </row>
    <row r="68" spans="1:29" ht="15" customHeight="1" x14ac:dyDescent="0.45">
      <c r="A68" s="134" t="s">
        <v>272</v>
      </c>
      <c r="B68" s="134" t="s">
        <v>495</v>
      </c>
      <c r="C68" s="134" t="s">
        <v>144</v>
      </c>
      <c r="D68" s="134" t="s">
        <v>142</v>
      </c>
      <c r="E68" s="134" t="s">
        <v>143</v>
      </c>
      <c r="F68" s="134" t="s">
        <v>145</v>
      </c>
      <c r="G68" s="134" t="s">
        <v>176</v>
      </c>
      <c r="H68" s="134" t="s">
        <v>259</v>
      </c>
      <c r="I68" s="134" t="s">
        <v>331</v>
      </c>
      <c r="J68" s="134" t="s">
        <v>3164</v>
      </c>
      <c r="K68" s="134" t="s">
        <v>3164</v>
      </c>
      <c r="L68" s="134" t="s">
        <v>171</v>
      </c>
      <c r="M68" s="134" t="s">
        <v>332</v>
      </c>
      <c r="N68" s="134" t="s">
        <v>170</v>
      </c>
      <c r="P68" s="134">
        <v>1</v>
      </c>
      <c r="Q68" s="134" t="s">
        <v>153</v>
      </c>
      <c r="R68" s="146"/>
      <c r="T68" s="146"/>
      <c r="U68" s="146"/>
      <c r="V68" s="134" t="s">
        <v>181</v>
      </c>
      <c r="W68" s="147" t="s">
        <v>299</v>
      </c>
      <c r="X68" s="134">
        <v>2021</v>
      </c>
      <c r="Y68" s="151" t="s">
        <v>3168</v>
      </c>
      <c r="AA68" s="160" t="s">
        <v>3170</v>
      </c>
      <c r="AB68" s="163">
        <v>44377</v>
      </c>
      <c r="AC68" s="150">
        <v>45888</v>
      </c>
    </row>
    <row r="69" spans="1:29" ht="15" customHeight="1" x14ac:dyDescent="0.45">
      <c r="A69" s="134" t="s">
        <v>157</v>
      </c>
      <c r="B69" s="134" t="s">
        <v>619</v>
      </c>
      <c r="C69" s="134" t="s">
        <v>144</v>
      </c>
      <c r="D69" s="134" t="s">
        <v>142</v>
      </c>
      <c r="E69" s="134" t="s">
        <v>143</v>
      </c>
      <c r="F69" s="134" t="s">
        <v>145</v>
      </c>
      <c r="G69" s="134" t="s">
        <v>176</v>
      </c>
      <c r="H69" s="134" t="s">
        <v>259</v>
      </c>
      <c r="I69" s="134" t="s">
        <v>331</v>
      </c>
      <c r="J69" s="134" t="s">
        <v>3164</v>
      </c>
      <c r="K69" s="134" t="s">
        <v>3164</v>
      </c>
      <c r="L69" s="134" t="s">
        <v>171</v>
      </c>
      <c r="M69" s="134" t="s">
        <v>332</v>
      </c>
      <c r="N69" s="134" t="s">
        <v>170</v>
      </c>
      <c r="P69" s="134">
        <v>1</v>
      </c>
      <c r="Q69" s="134" t="s">
        <v>153</v>
      </c>
      <c r="R69" s="146"/>
      <c r="T69" s="146"/>
      <c r="U69" s="146"/>
      <c r="V69" s="134" t="s">
        <v>181</v>
      </c>
      <c r="W69" s="147" t="s">
        <v>299</v>
      </c>
      <c r="X69" s="134">
        <v>2021</v>
      </c>
      <c r="Y69" s="151" t="s">
        <v>3168</v>
      </c>
      <c r="AA69" s="160" t="s">
        <v>3170</v>
      </c>
      <c r="AB69" s="163">
        <v>44377</v>
      </c>
      <c r="AC69" s="150">
        <v>45888</v>
      </c>
    </row>
    <row r="70" spans="1:29" ht="15" customHeight="1" x14ac:dyDescent="0.45">
      <c r="A70" s="134" t="s">
        <v>157</v>
      </c>
      <c r="B70" s="134" t="s">
        <v>486</v>
      </c>
      <c r="C70" s="134" t="s">
        <v>144</v>
      </c>
      <c r="D70" s="134" t="s">
        <v>142</v>
      </c>
      <c r="E70" s="134" t="s">
        <v>143</v>
      </c>
      <c r="F70" s="134" t="s">
        <v>145</v>
      </c>
      <c r="G70" s="134" t="s">
        <v>176</v>
      </c>
      <c r="H70" s="134" t="s">
        <v>259</v>
      </c>
      <c r="I70" s="134" t="s">
        <v>331</v>
      </c>
      <c r="J70" s="134" t="s">
        <v>3164</v>
      </c>
      <c r="K70" s="134" t="s">
        <v>3164</v>
      </c>
      <c r="L70" s="134" t="s">
        <v>171</v>
      </c>
      <c r="M70" s="134" t="s">
        <v>332</v>
      </c>
      <c r="N70" s="134" t="s">
        <v>170</v>
      </c>
      <c r="P70" s="134">
        <v>1</v>
      </c>
      <c r="Q70" s="134" t="s">
        <v>153</v>
      </c>
      <c r="R70" s="146"/>
      <c r="T70" s="146"/>
      <c r="U70" s="146"/>
      <c r="V70" s="134" t="s">
        <v>181</v>
      </c>
      <c r="W70" s="147" t="s">
        <v>299</v>
      </c>
      <c r="X70" s="134">
        <v>2021</v>
      </c>
      <c r="Y70" s="151" t="s">
        <v>3168</v>
      </c>
      <c r="AA70" s="160" t="s">
        <v>3170</v>
      </c>
      <c r="AB70" s="163">
        <v>44377</v>
      </c>
      <c r="AC70" s="150">
        <v>45888</v>
      </c>
    </row>
    <row r="71" spans="1:29" ht="15" customHeight="1" x14ac:dyDescent="0.45">
      <c r="A71" s="134" t="s">
        <v>142</v>
      </c>
      <c r="B71" s="134" t="s">
        <v>405</v>
      </c>
      <c r="C71" s="134" t="s">
        <v>144</v>
      </c>
      <c r="D71" s="134" t="s">
        <v>142</v>
      </c>
      <c r="E71" s="134" t="s">
        <v>143</v>
      </c>
      <c r="F71" s="134" t="s">
        <v>145</v>
      </c>
      <c r="G71" s="134" t="s">
        <v>176</v>
      </c>
      <c r="H71" s="134" t="s">
        <v>259</v>
      </c>
      <c r="I71" s="134" t="s">
        <v>331</v>
      </c>
      <c r="J71" s="134" t="s">
        <v>3164</v>
      </c>
      <c r="K71" s="134" t="s">
        <v>3164</v>
      </c>
      <c r="L71" s="134" t="s">
        <v>171</v>
      </c>
      <c r="M71" s="134" t="s">
        <v>332</v>
      </c>
      <c r="N71" s="134" t="s">
        <v>170</v>
      </c>
      <c r="P71" s="134">
        <v>1</v>
      </c>
      <c r="Q71" s="134" t="s">
        <v>153</v>
      </c>
      <c r="R71" s="146"/>
      <c r="T71" s="146"/>
      <c r="U71" s="146"/>
      <c r="V71" s="134" t="s">
        <v>155</v>
      </c>
      <c r="W71" s="147" t="s">
        <v>299</v>
      </c>
      <c r="X71" s="134">
        <v>2021</v>
      </c>
      <c r="Y71" s="151" t="s">
        <v>3168</v>
      </c>
      <c r="AA71" s="160" t="s">
        <v>3170</v>
      </c>
      <c r="AB71" s="163">
        <v>44377</v>
      </c>
      <c r="AC71" s="150">
        <v>45888</v>
      </c>
    </row>
    <row r="72" spans="1:29" ht="15" customHeight="1" x14ac:dyDescent="0.45">
      <c r="A72" s="134" t="s">
        <v>157</v>
      </c>
      <c r="B72" s="134" t="s">
        <v>723</v>
      </c>
      <c r="C72" s="134" t="s">
        <v>144</v>
      </c>
      <c r="D72" s="134" t="s">
        <v>142</v>
      </c>
      <c r="E72" s="134" t="s">
        <v>143</v>
      </c>
      <c r="F72" s="134" t="s">
        <v>145</v>
      </c>
      <c r="G72" s="134" t="s">
        <v>176</v>
      </c>
      <c r="H72" s="134" t="s">
        <v>259</v>
      </c>
      <c r="I72" s="134" t="s">
        <v>331</v>
      </c>
      <c r="J72" s="134" t="s">
        <v>3164</v>
      </c>
      <c r="K72" s="134" t="s">
        <v>3164</v>
      </c>
      <c r="L72" s="134" t="s">
        <v>171</v>
      </c>
      <c r="M72" s="134" t="s">
        <v>332</v>
      </c>
      <c r="N72" s="134" t="s">
        <v>170</v>
      </c>
      <c r="P72" s="134">
        <v>1</v>
      </c>
      <c r="Q72" s="134" t="s">
        <v>153</v>
      </c>
      <c r="R72" s="146"/>
      <c r="T72" s="146"/>
      <c r="U72" s="146"/>
      <c r="V72" s="134" t="s">
        <v>181</v>
      </c>
      <c r="W72" s="147" t="s">
        <v>299</v>
      </c>
      <c r="X72" s="134">
        <v>2021</v>
      </c>
      <c r="Y72" s="151" t="s">
        <v>3168</v>
      </c>
      <c r="AA72" s="160" t="s">
        <v>3170</v>
      </c>
      <c r="AB72" s="163">
        <v>44377</v>
      </c>
      <c r="AC72" s="150">
        <v>45888</v>
      </c>
    </row>
    <row r="73" spans="1:29" ht="15" customHeight="1" x14ac:dyDescent="0.45">
      <c r="A73" s="134" t="s">
        <v>157</v>
      </c>
      <c r="B73" s="134" t="s">
        <v>788</v>
      </c>
      <c r="C73" s="134" t="s">
        <v>144</v>
      </c>
      <c r="D73" s="134" t="s">
        <v>142</v>
      </c>
      <c r="E73" s="134" t="s">
        <v>143</v>
      </c>
      <c r="F73" s="134" t="s">
        <v>145</v>
      </c>
      <c r="G73" s="134" t="s">
        <v>176</v>
      </c>
      <c r="H73" s="134" t="s">
        <v>259</v>
      </c>
      <c r="I73" s="134" t="s">
        <v>331</v>
      </c>
      <c r="J73" s="134" t="s">
        <v>3164</v>
      </c>
      <c r="K73" s="134" t="s">
        <v>3164</v>
      </c>
      <c r="L73" s="134" t="s">
        <v>171</v>
      </c>
      <c r="M73" s="134" t="s">
        <v>332</v>
      </c>
      <c r="N73" s="134" t="s">
        <v>170</v>
      </c>
      <c r="P73" s="134">
        <v>1</v>
      </c>
      <c r="Q73" s="134" t="s">
        <v>153</v>
      </c>
      <c r="R73" s="146"/>
      <c r="T73" s="146"/>
      <c r="U73" s="146"/>
      <c r="V73" s="134" t="s">
        <v>181</v>
      </c>
      <c r="W73" s="147" t="s">
        <v>299</v>
      </c>
      <c r="X73" s="134">
        <v>2021</v>
      </c>
      <c r="Y73" s="151" t="s">
        <v>3168</v>
      </c>
      <c r="AA73" s="160" t="s">
        <v>3170</v>
      </c>
      <c r="AB73" s="163">
        <v>44377</v>
      </c>
      <c r="AC73" s="150">
        <v>45888</v>
      </c>
    </row>
    <row r="74" spans="1:29" ht="15" customHeight="1" x14ac:dyDescent="0.45">
      <c r="A74" s="134" t="s">
        <v>265</v>
      </c>
      <c r="B74" s="134" t="s">
        <v>895</v>
      </c>
      <c r="C74" s="134" t="s">
        <v>144</v>
      </c>
      <c r="D74" s="134" t="s">
        <v>142</v>
      </c>
      <c r="E74" s="134" t="s">
        <v>143</v>
      </c>
      <c r="F74" s="134" t="s">
        <v>145</v>
      </c>
      <c r="G74" s="134" t="s">
        <v>176</v>
      </c>
      <c r="H74" s="134" t="s">
        <v>259</v>
      </c>
      <c r="I74" s="134" t="s">
        <v>331</v>
      </c>
      <c r="J74" s="134" t="s">
        <v>3164</v>
      </c>
      <c r="K74" s="134" t="s">
        <v>3164</v>
      </c>
      <c r="L74" s="134" t="s">
        <v>171</v>
      </c>
      <c r="M74" s="134" t="s">
        <v>332</v>
      </c>
      <c r="N74" s="134" t="s">
        <v>170</v>
      </c>
      <c r="P74" s="134">
        <v>1</v>
      </c>
      <c r="Q74" s="134" t="s">
        <v>153</v>
      </c>
      <c r="R74" s="146"/>
      <c r="T74" s="146"/>
      <c r="U74" s="146"/>
      <c r="V74" s="134" t="s">
        <v>181</v>
      </c>
      <c r="W74" s="147" t="s">
        <v>299</v>
      </c>
      <c r="X74" s="134">
        <v>2021</v>
      </c>
      <c r="Y74" s="151" t="s">
        <v>3168</v>
      </c>
      <c r="AA74" s="160" t="s">
        <v>3170</v>
      </c>
      <c r="AB74" s="163">
        <v>44377</v>
      </c>
      <c r="AC74" s="150">
        <v>45888</v>
      </c>
    </row>
    <row r="75" spans="1:29" ht="15" customHeight="1" x14ac:dyDescent="0.45">
      <c r="A75" s="134" t="s">
        <v>272</v>
      </c>
      <c r="B75" s="134" t="s">
        <v>572</v>
      </c>
      <c r="C75" s="134" t="s">
        <v>144</v>
      </c>
      <c r="D75" s="134" t="s">
        <v>142</v>
      </c>
      <c r="E75" s="134" t="s">
        <v>143</v>
      </c>
      <c r="F75" s="134" t="s">
        <v>145</v>
      </c>
      <c r="G75" s="134" t="s">
        <v>176</v>
      </c>
      <c r="H75" s="134" t="s">
        <v>259</v>
      </c>
      <c r="I75" s="134" t="s">
        <v>331</v>
      </c>
      <c r="J75" s="134" t="s">
        <v>3164</v>
      </c>
      <c r="K75" s="134" t="s">
        <v>3164</v>
      </c>
      <c r="L75" s="134" t="s">
        <v>171</v>
      </c>
      <c r="M75" s="134" t="s">
        <v>332</v>
      </c>
      <c r="N75" s="134" t="s">
        <v>170</v>
      </c>
      <c r="P75" s="134">
        <v>1</v>
      </c>
      <c r="Q75" s="134" t="s">
        <v>153</v>
      </c>
      <c r="R75" s="146"/>
      <c r="T75" s="146"/>
      <c r="U75" s="146"/>
      <c r="V75" s="134" t="s">
        <v>181</v>
      </c>
      <c r="W75" s="147" t="s">
        <v>299</v>
      </c>
      <c r="X75" s="134">
        <v>2021</v>
      </c>
      <c r="Y75" s="151" t="s">
        <v>3168</v>
      </c>
      <c r="AA75" s="160" t="s">
        <v>3170</v>
      </c>
      <c r="AB75" s="163">
        <v>44377</v>
      </c>
      <c r="AC75" s="150">
        <v>45888</v>
      </c>
    </row>
    <row r="76" spans="1:29" ht="15" customHeight="1" x14ac:dyDescent="0.45">
      <c r="A76" s="134" t="s">
        <v>265</v>
      </c>
      <c r="B76" s="134" t="s">
        <v>277</v>
      </c>
      <c r="C76" s="134" t="s">
        <v>144</v>
      </c>
      <c r="D76" s="134" t="s">
        <v>142</v>
      </c>
      <c r="E76" s="134" t="s">
        <v>143</v>
      </c>
      <c r="F76" s="134" t="s">
        <v>145</v>
      </c>
      <c r="G76" s="134" t="s">
        <v>176</v>
      </c>
      <c r="H76" s="134" t="s">
        <v>259</v>
      </c>
      <c r="I76" s="134" t="s">
        <v>331</v>
      </c>
      <c r="J76" s="134" t="s">
        <v>3164</v>
      </c>
      <c r="K76" s="134" t="s">
        <v>3164</v>
      </c>
      <c r="L76" s="134" t="s">
        <v>171</v>
      </c>
      <c r="M76" s="134" t="s">
        <v>332</v>
      </c>
      <c r="N76" s="134" t="s">
        <v>170</v>
      </c>
      <c r="P76" s="134">
        <v>1</v>
      </c>
      <c r="Q76" s="134" t="s">
        <v>153</v>
      </c>
      <c r="R76" s="146"/>
      <c r="T76" s="146"/>
      <c r="U76" s="146"/>
      <c r="V76" s="134" t="s">
        <v>181</v>
      </c>
      <c r="W76" s="147" t="s">
        <v>299</v>
      </c>
      <c r="X76" s="134">
        <v>2021</v>
      </c>
      <c r="Y76" s="151" t="s">
        <v>3168</v>
      </c>
      <c r="AA76" s="160" t="s">
        <v>3170</v>
      </c>
      <c r="AB76" s="163">
        <v>44377</v>
      </c>
      <c r="AC76" s="150">
        <v>45888</v>
      </c>
    </row>
    <row r="77" spans="1:29" ht="15" customHeight="1" x14ac:dyDescent="0.45">
      <c r="A77" s="134" t="s">
        <v>272</v>
      </c>
      <c r="B77" s="134" t="s">
        <v>355</v>
      </c>
      <c r="C77" s="134" t="s">
        <v>144</v>
      </c>
      <c r="D77" s="134" t="s">
        <v>142</v>
      </c>
      <c r="E77" s="134" t="s">
        <v>143</v>
      </c>
      <c r="F77" s="134" t="s">
        <v>145</v>
      </c>
      <c r="G77" s="134" t="s">
        <v>176</v>
      </c>
      <c r="H77" s="134" t="s">
        <v>259</v>
      </c>
      <c r="I77" s="134" t="s">
        <v>331</v>
      </c>
      <c r="J77" s="134" t="s">
        <v>3164</v>
      </c>
      <c r="K77" s="134" t="s">
        <v>3164</v>
      </c>
      <c r="L77" s="134" t="s">
        <v>171</v>
      </c>
      <c r="M77" s="134" t="s">
        <v>332</v>
      </c>
      <c r="N77" s="134" t="s">
        <v>170</v>
      </c>
      <c r="P77" s="134">
        <v>1</v>
      </c>
      <c r="Q77" s="134" t="s">
        <v>153</v>
      </c>
      <c r="R77" s="146"/>
      <c r="T77" s="146"/>
      <c r="U77" s="146"/>
      <c r="V77" s="134" t="s">
        <v>181</v>
      </c>
      <c r="W77" s="147" t="s">
        <v>299</v>
      </c>
      <c r="X77" s="134">
        <v>2021</v>
      </c>
      <c r="Y77" s="151" t="s">
        <v>3168</v>
      </c>
      <c r="AA77" s="160" t="s">
        <v>3170</v>
      </c>
      <c r="AB77" s="163">
        <v>44377</v>
      </c>
      <c r="AC77" s="150">
        <v>45888</v>
      </c>
    </row>
    <row r="78" spans="1:29" ht="15" customHeight="1" x14ac:dyDescent="0.45">
      <c r="A78" s="134" t="s">
        <v>265</v>
      </c>
      <c r="B78" s="134" t="s">
        <v>897</v>
      </c>
      <c r="C78" s="134" t="s">
        <v>144</v>
      </c>
      <c r="D78" s="134" t="s">
        <v>142</v>
      </c>
      <c r="E78" s="134" t="s">
        <v>143</v>
      </c>
      <c r="F78" s="134" t="s">
        <v>145</v>
      </c>
      <c r="G78" s="134" t="s">
        <v>176</v>
      </c>
      <c r="H78" s="134" t="s">
        <v>259</v>
      </c>
      <c r="I78" s="134" t="s">
        <v>331</v>
      </c>
      <c r="J78" s="134" t="s">
        <v>3164</v>
      </c>
      <c r="K78" s="134" t="s">
        <v>3164</v>
      </c>
      <c r="L78" s="134" t="s">
        <v>171</v>
      </c>
      <c r="M78" s="134" t="s">
        <v>332</v>
      </c>
      <c r="N78" s="134" t="s">
        <v>170</v>
      </c>
      <c r="P78" s="134">
        <v>1</v>
      </c>
      <c r="Q78" s="134" t="s">
        <v>153</v>
      </c>
      <c r="R78" s="146"/>
      <c r="T78" s="146"/>
      <c r="U78" s="146"/>
      <c r="V78" s="134" t="s">
        <v>181</v>
      </c>
      <c r="W78" s="147" t="s">
        <v>299</v>
      </c>
      <c r="X78" s="134">
        <v>2021</v>
      </c>
      <c r="Y78" s="151" t="s">
        <v>3168</v>
      </c>
      <c r="AA78" s="160" t="s">
        <v>3170</v>
      </c>
      <c r="AB78" s="163">
        <v>44377</v>
      </c>
      <c r="AC78" s="150">
        <v>45888</v>
      </c>
    </row>
    <row r="79" spans="1:29" ht="15" customHeight="1" x14ac:dyDescent="0.45">
      <c r="A79" s="134" t="s">
        <v>272</v>
      </c>
      <c r="B79" s="134" t="s">
        <v>733</v>
      </c>
      <c r="C79" s="134" t="s">
        <v>144</v>
      </c>
      <c r="D79" s="134" t="s">
        <v>142</v>
      </c>
      <c r="E79" s="134" t="s">
        <v>143</v>
      </c>
      <c r="F79" s="134" t="s">
        <v>145</v>
      </c>
      <c r="G79" s="134" t="s">
        <v>176</v>
      </c>
      <c r="H79" s="134" t="s">
        <v>259</v>
      </c>
      <c r="I79" s="134" t="s">
        <v>331</v>
      </c>
      <c r="J79" s="134" t="s">
        <v>3164</v>
      </c>
      <c r="K79" s="134" t="s">
        <v>3164</v>
      </c>
      <c r="L79" s="134" t="s">
        <v>171</v>
      </c>
      <c r="M79" s="134" t="s">
        <v>332</v>
      </c>
      <c r="N79" s="134" t="s">
        <v>170</v>
      </c>
      <c r="P79" s="134">
        <v>1</v>
      </c>
      <c r="Q79" s="134" t="s">
        <v>153</v>
      </c>
      <c r="R79" s="146"/>
      <c r="T79" s="146"/>
      <c r="U79" s="146"/>
      <c r="V79" s="134" t="s">
        <v>181</v>
      </c>
      <c r="W79" s="147" t="s">
        <v>299</v>
      </c>
      <c r="X79" s="134">
        <v>2021</v>
      </c>
      <c r="Y79" s="151" t="s">
        <v>3168</v>
      </c>
      <c r="AA79" s="160" t="s">
        <v>3170</v>
      </c>
      <c r="AB79" s="163">
        <v>44377</v>
      </c>
      <c r="AC79" s="150">
        <v>45888</v>
      </c>
    </row>
    <row r="80" spans="1:29" ht="15" customHeight="1" x14ac:dyDescent="0.45">
      <c r="A80" s="134" t="s">
        <v>157</v>
      </c>
      <c r="B80" s="134" t="s">
        <v>580</v>
      </c>
      <c r="C80" s="134" t="s">
        <v>144</v>
      </c>
      <c r="D80" s="134" t="s">
        <v>142</v>
      </c>
      <c r="E80" s="134" t="s">
        <v>143</v>
      </c>
      <c r="F80" s="134" t="s">
        <v>145</v>
      </c>
      <c r="G80" s="134" t="s">
        <v>176</v>
      </c>
      <c r="H80" s="134" t="s">
        <v>259</v>
      </c>
      <c r="I80" s="134" t="s">
        <v>331</v>
      </c>
      <c r="J80" s="134" t="s">
        <v>3164</v>
      </c>
      <c r="K80" s="134" t="s">
        <v>3164</v>
      </c>
      <c r="L80" s="134" t="s">
        <v>171</v>
      </c>
      <c r="M80" s="134" t="s">
        <v>332</v>
      </c>
      <c r="N80" s="134" t="s">
        <v>170</v>
      </c>
      <c r="P80" s="134">
        <v>1</v>
      </c>
      <c r="Q80" s="134" t="s">
        <v>153</v>
      </c>
      <c r="R80" s="146"/>
      <c r="T80" s="146"/>
      <c r="U80" s="146"/>
      <c r="V80" s="134" t="s">
        <v>181</v>
      </c>
      <c r="W80" s="147" t="s">
        <v>299</v>
      </c>
      <c r="X80" s="134">
        <v>2021</v>
      </c>
      <c r="Y80" s="151" t="s">
        <v>3168</v>
      </c>
      <c r="AA80" s="160" t="s">
        <v>3170</v>
      </c>
      <c r="AB80" s="163">
        <v>44377</v>
      </c>
      <c r="AC80" s="150">
        <v>45888</v>
      </c>
    </row>
    <row r="81" spans="1:29" ht="15" customHeight="1" x14ac:dyDescent="0.45">
      <c r="A81" s="134" t="s">
        <v>157</v>
      </c>
      <c r="B81" s="134" t="s">
        <v>287</v>
      </c>
      <c r="C81" s="134" t="s">
        <v>144</v>
      </c>
      <c r="D81" s="134" t="s">
        <v>142</v>
      </c>
      <c r="E81" s="134" t="s">
        <v>143</v>
      </c>
      <c r="F81" s="134" t="s">
        <v>145</v>
      </c>
      <c r="G81" s="134" t="s">
        <v>176</v>
      </c>
      <c r="H81" s="134" t="s">
        <v>259</v>
      </c>
      <c r="I81" s="134" t="s">
        <v>331</v>
      </c>
      <c r="J81" s="134" t="s">
        <v>3164</v>
      </c>
      <c r="K81" s="134" t="s">
        <v>3164</v>
      </c>
      <c r="L81" s="134" t="s">
        <v>171</v>
      </c>
      <c r="M81" s="134" t="s">
        <v>332</v>
      </c>
      <c r="N81" s="134" t="s">
        <v>170</v>
      </c>
      <c r="P81" s="134">
        <v>1</v>
      </c>
      <c r="Q81" s="134" t="s">
        <v>153</v>
      </c>
      <c r="R81" s="146"/>
      <c r="T81" s="146"/>
      <c r="U81" s="146"/>
      <c r="V81" s="134" t="s">
        <v>181</v>
      </c>
      <c r="W81" s="147" t="s">
        <v>299</v>
      </c>
      <c r="X81" s="134">
        <v>2021</v>
      </c>
      <c r="Y81" s="151" t="s">
        <v>3168</v>
      </c>
      <c r="AA81" s="160" t="s">
        <v>3170</v>
      </c>
      <c r="AB81" s="163">
        <v>44377</v>
      </c>
      <c r="AC81" s="150">
        <v>45888</v>
      </c>
    </row>
    <row r="82" spans="1:29" ht="15" customHeight="1" x14ac:dyDescent="0.45">
      <c r="A82" s="134" t="s">
        <v>272</v>
      </c>
      <c r="B82" s="134" t="s">
        <v>967</v>
      </c>
      <c r="C82" s="134" t="s">
        <v>144</v>
      </c>
      <c r="D82" s="134" t="s">
        <v>142</v>
      </c>
      <c r="E82" s="134" t="s">
        <v>143</v>
      </c>
      <c r="F82" s="134" t="s">
        <v>145</v>
      </c>
      <c r="G82" s="134" t="s">
        <v>176</v>
      </c>
      <c r="H82" s="134" t="s">
        <v>259</v>
      </c>
      <c r="I82" s="134" t="s">
        <v>331</v>
      </c>
      <c r="J82" s="134" t="s">
        <v>3164</v>
      </c>
      <c r="K82" s="134" t="s">
        <v>3164</v>
      </c>
      <c r="L82" s="134" t="s">
        <v>171</v>
      </c>
      <c r="M82" s="134" t="s">
        <v>332</v>
      </c>
      <c r="N82" s="134" t="s">
        <v>170</v>
      </c>
      <c r="P82" s="134">
        <v>1</v>
      </c>
      <c r="Q82" s="134" t="s">
        <v>153</v>
      </c>
      <c r="R82" s="146"/>
      <c r="T82" s="146"/>
      <c r="U82" s="146"/>
      <c r="V82" s="134" t="s">
        <v>181</v>
      </c>
      <c r="W82" s="147" t="s">
        <v>299</v>
      </c>
      <c r="X82" s="134">
        <v>2021</v>
      </c>
      <c r="Y82" s="151" t="s">
        <v>3168</v>
      </c>
      <c r="AA82" s="160" t="s">
        <v>3170</v>
      </c>
      <c r="AB82" s="163">
        <v>44377</v>
      </c>
      <c r="AC82" s="150">
        <v>45888</v>
      </c>
    </row>
    <row r="83" spans="1:29" ht="15" customHeight="1" x14ac:dyDescent="0.45">
      <c r="A83" s="134" t="s">
        <v>157</v>
      </c>
      <c r="B83" s="134" t="s">
        <v>694</v>
      </c>
      <c r="C83" s="134" t="s">
        <v>144</v>
      </c>
      <c r="D83" s="134" t="s">
        <v>142</v>
      </c>
      <c r="E83" s="134" t="s">
        <v>143</v>
      </c>
      <c r="F83" s="134" t="s">
        <v>145</v>
      </c>
      <c r="G83" s="134" t="s">
        <v>176</v>
      </c>
      <c r="H83" s="134" t="s">
        <v>259</v>
      </c>
      <c r="I83" s="134" t="s">
        <v>331</v>
      </c>
      <c r="J83" s="134" t="s">
        <v>3164</v>
      </c>
      <c r="K83" s="134" t="s">
        <v>3164</v>
      </c>
      <c r="L83" s="134" t="s">
        <v>171</v>
      </c>
      <c r="M83" s="134" t="s">
        <v>332</v>
      </c>
      <c r="N83" s="134" t="s">
        <v>170</v>
      </c>
      <c r="P83" s="134">
        <v>1</v>
      </c>
      <c r="Q83" s="134" t="s">
        <v>153</v>
      </c>
      <c r="R83" s="146"/>
      <c r="T83" s="146"/>
      <c r="U83" s="146"/>
      <c r="V83" s="134" t="s">
        <v>181</v>
      </c>
      <c r="W83" s="147" t="s">
        <v>299</v>
      </c>
      <c r="X83" s="134">
        <v>2021</v>
      </c>
      <c r="Y83" s="151" t="s">
        <v>3168</v>
      </c>
      <c r="AA83" s="160" t="s">
        <v>3170</v>
      </c>
      <c r="AB83" s="163">
        <v>44377</v>
      </c>
      <c r="AC83" s="150">
        <v>45888</v>
      </c>
    </row>
    <row r="84" spans="1:29" ht="15" customHeight="1" x14ac:dyDescent="0.45">
      <c r="A84" s="134" t="s">
        <v>272</v>
      </c>
      <c r="B84" s="134" t="s">
        <v>968</v>
      </c>
      <c r="C84" s="134" t="s">
        <v>144</v>
      </c>
      <c r="D84" s="134" t="s">
        <v>142</v>
      </c>
      <c r="E84" s="134" t="s">
        <v>143</v>
      </c>
      <c r="F84" s="134" t="s">
        <v>145</v>
      </c>
      <c r="G84" s="134" t="s">
        <v>176</v>
      </c>
      <c r="H84" s="134" t="s">
        <v>259</v>
      </c>
      <c r="I84" s="134" t="s">
        <v>331</v>
      </c>
      <c r="J84" s="134" t="s">
        <v>3164</v>
      </c>
      <c r="K84" s="134" t="s">
        <v>3164</v>
      </c>
      <c r="L84" s="134" t="s">
        <v>171</v>
      </c>
      <c r="M84" s="134" t="s">
        <v>332</v>
      </c>
      <c r="N84" s="134" t="s">
        <v>170</v>
      </c>
      <c r="P84" s="134">
        <v>1</v>
      </c>
      <c r="Q84" s="134" t="s">
        <v>153</v>
      </c>
      <c r="R84" s="146"/>
      <c r="T84" s="146"/>
      <c r="U84" s="146"/>
      <c r="V84" s="134" t="s">
        <v>181</v>
      </c>
      <c r="W84" s="147" t="s">
        <v>299</v>
      </c>
      <c r="X84" s="134">
        <v>2021</v>
      </c>
      <c r="Y84" s="151" t="s">
        <v>3168</v>
      </c>
      <c r="AA84" s="160" t="s">
        <v>3170</v>
      </c>
      <c r="AB84" s="163">
        <v>44377</v>
      </c>
      <c r="AC84" s="150">
        <v>45888</v>
      </c>
    </row>
    <row r="85" spans="1:29" ht="15" customHeight="1" x14ac:dyDescent="0.45">
      <c r="A85" s="134" t="s">
        <v>157</v>
      </c>
      <c r="B85" s="134" t="s">
        <v>645</v>
      </c>
      <c r="C85" s="134" t="s">
        <v>144</v>
      </c>
      <c r="D85" s="134" t="s">
        <v>142</v>
      </c>
      <c r="E85" s="134" t="s">
        <v>143</v>
      </c>
      <c r="F85" s="134" t="s">
        <v>145</v>
      </c>
      <c r="G85" s="134" t="s">
        <v>176</v>
      </c>
      <c r="H85" s="134" t="s">
        <v>259</v>
      </c>
      <c r="I85" s="134" t="s">
        <v>331</v>
      </c>
      <c r="J85" s="134" t="s">
        <v>3164</v>
      </c>
      <c r="K85" s="134" t="s">
        <v>3164</v>
      </c>
      <c r="L85" s="134" t="s">
        <v>171</v>
      </c>
      <c r="M85" s="134" t="s">
        <v>332</v>
      </c>
      <c r="N85" s="134" t="s">
        <v>170</v>
      </c>
      <c r="P85" s="134">
        <v>1</v>
      </c>
      <c r="Q85" s="134" t="s">
        <v>153</v>
      </c>
      <c r="R85" s="146"/>
      <c r="T85" s="146"/>
      <c r="U85" s="146"/>
      <c r="V85" s="134" t="s">
        <v>181</v>
      </c>
      <c r="W85" s="147" t="s">
        <v>299</v>
      </c>
      <c r="X85" s="134">
        <v>2021</v>
      </c>
      <c r="Y85" s="151" t="s">
        <v>3168</v>
      </c>
      <c r="AA85" s="160" t="s">
        <v>3170</v>
      </c>
      <c r="AB85" s="163">
        <v>44377</v>
      </c>
      <c r="AC85" s="150">
        <v>45888</v>
      </c>
    </row>
    <row r="86" spans="1:29" ht="15" customHeight="1" x14ac:dyDescent="0.45">
      <c r="A86" s="134" t="s">
        <v>272</v>
      </c>
      <c r="B86" s="134" t="s">
        <v>402</v>
      </c>
      <c r="C86" s="134" t="s">
        <v>144</v>
      </c>
      <c r="D86" s="134" t="s">
        <v>142</v>
      </c>
      <c r="E86" s="134" t="s">
        <v>143</v>
      </c>
      <c r="F86" s="134" t="s">
        <v>145</v>
      </c>
      <c r="G86" s="134" t="s">
        <v>176</v>
      </c>
      <c r="H86" s="134" t="s">
        <v>259</v>
      </c>
      <c r="I86" s="134" t="s">
        <v>331</v>
      </c>
      <c r="J86" s="134" t="s">
        <v>3164</v>
      </c>
      <c r="K86" s="134" t="s">
        <v>3164</v>
      </c>
      <c r="L86" s="134" t="s">
        <v>171</v>
      </c>
      <c r="M86" s="134" t="s">
        <v>332</v>
      </c>
      <c r="N86" s="134" t="s">
        <v>170</v>
      </c>
      <c r="P86" s="134">
        <v>1</v>
      </c>
      <c r="Q86" s="134" t="s">
        <v>153</v>
      </c>
      <c r="R86" s="146"/>
      <c r="T86" s="146"/>
      <c r="U86" s="146"/>
      <c r="V86" s="134" t="s">
        <v>181</v>
      </c>
      <c r="W86" s="147" t="s">
        <v>299</v>
      </c>
      <c r="X86" s="134">
        <v>2021</v>
      </c>
      <c r="Y86" s="151" t="s">
        <v>3168</v>
      </c>
      <c r="AA86" s="160" t="s">
        <v>3170</v>
      </c>
      <c r="AB86" s="163">
        <v>44377</v>
      </c>
      <c r="AC86" s="150">
        <v>45888</v>
      </c>
    </row>
    <row r="87" spans="1:29" ht="15" customHeight="1" x14ac:dyDescent="0.45">
      <c r="A87" s="134" t="s">
        <v>265</v>
      </c>
      <c r="B87" s="134" t="s">
        <v>677</v>
      </c>
      <c r="C87" s="134" t="s">
        <v>144</v>
      </c>
      <c r="D87" s="134" t="s">
        <v>142</v>
      </c>
      <c r="E87" s="134" t="s">
        <v>143</v>
      </c>
      <c r="F87" s="134" t="s">
        <v>145</v>
      </c>
      <c r="G87" s="134" t="s">
        <v>176</v>
      </c>
      <c r="H87" s="134" t="s">
        <v>259</v>
      </c>
      <c r="I87" s="134" t="s">
        <v>331</v>
      </c>
      <c r="J87" s="134" t="s">
        <v>3164</v>
      </c>
      <c r="K87" s="134" t="s">
        <v>3164</v>
      </c>
      <c r="L87" s="134" t="s">
        <v>171</v>
      </c>
      <c r="M87" s="134" t="s">
        <v>332</v>
      </c>
      <c r="N87" s="134" t="s">
        <v>170</v>
      </c>
      <c r="P87" s="134">
        <v>1</v>
      </c>
      <c r="Q87" s="134" t="s">
        <v>153</v>
      </c>
      <c r="R87" s="146"/>
      <c r="T87" s="146"/>
      <c r="U87" s="146"/>
      <c r="V87" s="134" t="s">
        <v>181</v>
      </c>
      <c r="W87" s="147" t="s">
        <v>299</v>
      </c>
      <c r="X87" s="134">
        <v>2021</v>
      </c>
      <c r="Y87" s="151" t="s">
        <v>3168</v>
      </c>
      <c r="AA87" s="160" t="s">
        <v>3170</v>
      </c>
      <c r="AB87" s="163">
        <v>44377</v>
      </c>
      <c r="AC87" s="150">
        <v>45888</v>
      </c>
    </row>
    <row r="88" spans="1:29" ht="15" customHeight="1" x14ac:dyDescent="0.45">
      <c r="A88" s="134" t="s">
        <v>157</v>
      </c>
      <c r="B88" s="134" t="s">
        <v>930</v>
      </c>
      <c r="C88" s="134" t="s">
        <v>144</v>
      </c>
      <c r="D88" s="134" t="s">
        <v>142</v>
      </c>
      <c r="E88" s="134" t="s">
        <v>143</v>
      </c>
      <c r="F88" s="134" t="s">
        <v>145</v>
      </c>
      <c r="G88" s="134" t="s">
        <v>176</v>
      </c>
      <c r="H88" s="134" t="s">
        <v>259</v>
      </c>
      <c r="I88" s="134" t="s">
        <v>331</v>
      </c>
      <c r="J88" s="134" t="s">
        <v>3164</v>
      </c>
      <c r="K88" s="134" t="s">
        <v>3164</v>
      </c>
      <c r="L88" s="134" t="s">
        <v>171</v>
      </c>
      <c r="M88" s="134" t="s">
        <v>332</v>
      </c>
      <c r="N88" s="134" t="s">
        <v>170</v>
      </c>
      <c r="P88" s="134">
        <v>1</v>
      </c>
      <c r="Q88" s="134" t="s">
        <v>153</v>
      </c>
      <c r="R88" s="146"/>
      <c r="T88" s="146"/>
      <c r="U88" s="146"/>
      <c r="V88" s="134" t="s">
        <v>181</v>
      </c>
      <c r="W88" s="147" t="s">
        <v>299</v>
      </c>
      <c r="X88" s="134">
        <v>2021</v>
      </c>
      <c r="Y88" s="151" t="s">
        <v>3168</v>
      </c>
      <c r="AA88" s="160" t="s">
        <v>3170</v>
      </c>
      <c r="AB88" s="163">
        <v>44377</v>
      </c>
      <c r="AC88" s="150">
        <v>45888</v>
      </c>
    </row>
    <row r="89" spans="1:29" ht="15" customHeight="1" x14ac:dyDescent="0.45">
      <c r="A89" s="134" t="s">
        <v>265</v>
      </c>
      <c r="B89" s="134" t="s">
        <v>407</v>
      </c>
      <c r="C89" s="134" t="s">
        <v>144</v>
      </c>
      <c r="D89" s="134" t="s">
        <v>142</v>
      </c>
      <c r="E89" s="134" t="s">
        <v>143</v>
      </c>
      <c r="F89" s="134" t="s">
        <v>145</v>
      </c>
      <c r="G89" s="134" t="s">
        <v>176</v>
      </c>
      <c r="H89" s="134" t="s">
        <v>259</v>
      </c>
      <c r="I89" s="134" t="s">
        <v>331</v>
      </c>
      <c r="J89" s="134" t="s">
        <v>3164</v>
      </c>
      <c r="K89" s="134" t="s">
        <v>3164</v>
      </c>
      <c r="L89" s="134" t="s">
        <v>171</v>
      </c>
      <c r="M89" s="134" t="s">
        <v>332</v>
      </c>
      <c r="N89" s="134" t="s">
        <v>170</v>
      </c>
      <c r="P89" s="134">
        <v>1</v>
      </c>
      <c r="Q89" s="134" t="s">
        <v>153</v>
      </c>
      <c r="R89" s="146"/>
      <c r="T89" s="146"/>
      <c r="U89" s="146"/>
      <c r="V89" s="134" t="s">
        <v>181</v>
      </c>
      <c r="W89" s="147" t="s">
        <v>299</v>
      </c>
      <c r="X89" s="134">
        <v>2021</v>
      </c>
      <c r="Y89" s="151" t="s">
        <v>3168</v>
      </c>
      <c r="AA89" s="160" t="s">
        <v>3170</v>
      </c>
      <c r="AB89" s="163">
        <v>44377</v>
      </c>
      <c r="AC89" s="150">
        <v>45888</v>
      </c>
    </row>
    <row r="90" spans="1:29" ht="15" customHeight="1" x14ac:dyDescent="0.45">
      <c r="A90" s="134" t="s">
        <v>265</v>
      </c>
      <c r="B90" s="134" t="s">
        <v>266</v>
      </c>
      <c r="C90" s="134" t="s">
        <v>144</v>
      </c>
      <c r="D90" s="134" t="s">
        <v>142</v>
      </c>
      <c r="E90" s="134" t="s">
        <v>143</v>
      </c>
      <c r="F90" s="134" t="s">
        <v>145</v>
      </c>
      <c r="G90" s="134" t="s">
        <v>176</v>
      </c>
      <c r="H90" s="134" t="s">
        <v>259</v>
      </c>
      <c r="I90" s="134" t="s">
        <v>331</v>
      </c>
      <c r="J90" s="134" t="s">
        <v>3164</v>
      </c>
      <c r="K90" s="134" t="s">
        <v>3164</v>
      </c>
      <c r="L90" s="134" t="s">
        <v>171</v>
      </c>
      <c r="M90" s="134" t="s">
        <v>332</v>
      </c>
      <c r="N90" s="134" t="s">
        <v>170</v>
      </c>
      <c r="P90" s="134">
        <v>1</v>
      </c>
      <c r="Q90" s="134" t="s">
        <v>153</v>
      </c>
      <c r="R90" s="146"/>
      <c r="T90" s="146"/>
      <c r="U90" s="146"/>
      <c r="V90" s="134" t="s">
        <v>181</v>
      </c>
      <c r="W90" s="147" t="s">
        <v>299</v>
      </c>
      <c r="X90" s="134">
        <v>2021</v>
      </c>
      <c r="Y90" s="151" t="s">
        <v>3168</v>
      </c>
      <c r="AA90" s="160" t="s">
        <v>3170</v>
      </c>
      <c r="AB90" s="163">
        <v>44377</v>
      </c>
      <c r="AC90" s="150">
        <v>45888</v>
      </c>
    </row>
    <row r="91" spans="1:29" ht="15" customHeight="1" x14ac:dyDescent="0.45">
      <c r="A91" s="134" t="s">
        <v>157</v>
      </c>
      <c r="B91" s="134" t="s">
        <v>493</v>
      </c>
      <c r="C91" s="134" t="s">
        <v>144</v>
      </c>
      <c r="D91" s="134" t="s">
        <v>142</v>
      </c>
      <c r="E91" s="134" t="s">
        <v>143</v>
      </c>
      <c r="F91" s="134" t="s">
        <v>145</v>
      </c>
      <c r="G91" s="134" t="s">
        <v>176</v>
      </c>
      <c r="H91" s="134" t="s">
        <v>259</v>
      </c>
      <c r="I91" s="134" t="s">
        <v>331</v>
      </c>
      <c r="J91" s="134" t="s">
        <v>3164</v>
      </c>
      <c r="K91" s="134" t="s">
        <v>3164</v>
      </c>
      <c r="L91" s="134" t="s">
        <v>171</v>
      </c>
      <c r="M91" s="134" t="s">
        <v>332</v>
      </c>
      <c r="N91" s="134" t="s">
        <v>170</v>
      </c>
      <c r="P91" s="134">
        <v>1</v>
      </c>
      <c r="Q91" s="134" t="s">
        <v>153</v>
      </c>
      <c r="R91" s="146"/>
      <c r="T91" s="146"/>
      <c r="U91" s="146"/>
      <c r="V91" s="134" t="s">
        <v>181</v>
      </c>
      <c r="W91" s="147" t="s">
        <v>299</v>
      </c>
      <c r="X91" s="134">
        <v>2021</v>
      </c>
      <c r="Y91" s="151" t="s">
        <v>3168</v>
      </c>
      <c r="AA91" s="160" t="s">
        <v>3170</v>
      </c>
      <c r="AB91" s="163">
        <v>44377</v>
      </c>
      <c r="AC91" s="150">
        <v>45888</v>
      </c>
    </row>
    <row r="92" spans="1:29" ht="15" customHeight="1" x14ac:dyDescent="0.45">
      <c r="A92" s="134" t="s">
        <v>272</v>
      </c>
      <c r="B92" s="134" t="s">
        <v>418</v>
      </c>
      <c r="C92" s="134" t="s">
        <v>144</v>
      </c>
      <c r="D92" s="134" t="s">
        <v>142</v>
      </c>
      <c r="E92" s="134" t="s">
        <v>143</v>
      </c>
      <c r="F92" s="134" t="s">
        <v>145</v>
      </c>
      <c r="G92" s="134" t="s">
        <v>176</v>
      </c>
      <c r="H92" s="134" t="s">
        <v>259</v>
      </c>
      <c r="I92" s="134" t="s">
        <v>331</v>
      </c>
      <c r="J92" s="134" t="s">
        <v>3164</v>
      </c>
      <c r="K92" s="134" t="s">
        <v>3164</v>
      </c>
      <c r="L92" s="134" t="s">
        <v>171</v>
      </c>
      <c r="M92" s="134" t="s">
        <v>332</v>
      </c>
      <c r="N92" s="134" t="s">
        <v>170</v>
      </c>
      <c r="P92" s="134">
        <v>1</v>
      </c>
      <c r="Q92" s="134" t="s">
        <v>153</v>
      </c>
      <c r="R92" s="146"/>
      <c r="T92" s="146"/>
      <c r="U92" s="146"/>
      <c r="V92" s="134" t="s">
        <v>181</v>
      </c>
      <c r="W92" s="147" t="s">
        <v>299</v>
      </c>
      <c r="X92" s="134">
        <v>2021</v>
      </c>
      <c r="Y92" s="151" t="s">
        <v>3168</v>
      </c>
      <c r="AA92" s="160" t="s">
        <v>3170</v>
      </c>
      <c r="AB92" s="163">
        <v>44377</v>
      </c>
      <c r="AC92" s="150">
        <v>45888</v>
      </c>
    </row>
    <row r="93" spans="1:29" ht="15" customHeight="1" x14ac:dyDescent="0.45">
      <c r="A93" s="165" t="s">
        <v>142</v>
      </c>
      <c r="B93" s="134" t="s">
        <v>143</v>
      </c>
      <c r="C93" s="134" t="s">
        <v>144</v>
      </c>
      <c r="D93" s="134" t="s">
        <v>142</v>
      </c>
      <c r="E93" s="134" t="s">
        <v>143</v>
      </c>
      <c r="F93" s="134" t="s">
        <v>166</v>
      </c>
      <c r="G93" s="134" t="s">
        <v>146</v>
      </c>
      <c r="H93" s="134" t="s">
        <v>147</v>
      </c>
      <c r="I93" s="134" t="s">
        <v>464</v>
      </c>
      <c r="J93" s="134" t="s">
        <v>3171</v>
      </c>
      <c r="K93" s="134" t="s">
        <v>3172</v>
      </c>
      <c r="L93" s="134" t="s">
        <v>149</v>
      </c>
      <c r="M93" s="134" t="s">
        <v>716</v>
      </c>
      <c r="N93" s="134" t="s">
        <v>151</v>
      </c>
      <c r="O93" s="134">
        <v>3</v>
      </c>
      <c r="P93" s="134" t="s">
        <v>171</v>
      </c>
      <c r="Q93" s="134" t="s">
        <v>153</v>
      </c>
      <c r="R93" s="146">
        <v>9.8409999999999993</v>
      </c>
      <c r="S93" s="134" t="s">
        <v>154</v>
      </c>
      <c r="T93" s="146">
        <v>9.8409999999999993</v>
      </c>
      <c r="U93" s="146"/>
      <c r="V93" s="134" t="s">
        <v>155</v>
      </c>
      <c r="W93" s="147" t="s">
        <v>299</v>
      </c>
      <c r="X93" s="134">
        <v>2021</v>
      </c>
      <c r="Y93" s="151" t="s">
        <v>3173</v>
      </c>
      <c r="AA93" s="134" t="s">
        <v>3128</v>
      </c>
      <c r="AB93" s="163">
        <v>44355</v>
      </c>
      <c r="AC93" s="150">
        <v>45889</v>
      </c>
    </row>
    <row r="94" spans="1:29" ht="15" customHeight="1" x14ac:dyDescent="0.45">
      <c r="A94" s="134" t="s">
        <v>142</v>
      </c>
      <c r="B94" s="134" t="s">
        <v>143</v>
      </c>
      <c r="C94" s="134" t="s">
        <v>189</v>
      </c>
      <c r="D94" s="134" t="s">
        <v>142</v>
      </c>
      <c r="E94" s="134" t="s">
        <v>143</v>
      </c>
      <c r="F94" s="134" t="s">
        <v>166</v>
      </c>
      <c r="G94" s="134" t="s">
        <v>152</v>
      </c>
      <c r="H94" s="134" t="s">
        <v>171</v>
      </c>
      <c r="I94" s="134" t="s">
        <v>171</v>
      </c>
      <c r="J94" s="134" t="s">
        <v>3174</v>
      </c>
      <c r="K94" s="134" t="s">
        <v>3174</v>
      </c>
      <c r="L94" s="134" t="s">
        <v>171</v>
      </c>
      <c r="N94" s="134" t="s">
        <v>151</v>
      </c>
      <c r="O94" s="134">
        <v>62</v>
      </c>
      <c r="P94" s="134" t="s">
        <v>171</v>
      </c>
      <c r="Q94" s="134" t="s">
        <v>153</v>
      </c>
      <c r="R94" s="146">
        <v>258.798</v>
      </c>
      <c r="S94" s="134" t="s">
        <v>154</v>
      </c>
      <c r="T94" s="146">
        <v>258.798</v>
      </c>
      <c r="U94" s="146"/>
      <c r="V94" s="134" t="s">
        <v>155</v>
      </c>
      <c r="W94" s="147" t="s">
        <v>299</v>
      </c>
      <c r="X94" s="134">
        <v>2021</v>
      </c>
      <c r="Y94" s="151" t="s">
        <v>3175</v>
      </c>
      <c r="AA94" s="134" t="s">
        <v>3128</v>
      </c>
      <c r="AB94" s="163">
        <v>44355</v>
      </c>
      <c r="AC94" s="150">
        <v>45889</v>
      </c>
    </row>
    <row r="95" spans="1:29" ht="15" customHeight="1" x14ac:dyDescent="0.45">
      <c r="A95" s="134" t="s">
        <v>142</v>
      </c>
      <c r="B95" s="134" t="s">
        <v>143</v>
      </c>
      <c r="C95" s="134" t="s">
        <v>189</v>
      </c>
      <c r="D95" s="134" t="s">
        <v>142</v>
      </c>
      <c r="E95" s="134" t="s">
        <v>143</v>
      </c>
      <c r="F95" s="134" t="s">
        <v>166</v>
      </c>
      <c r="G95" s="134" t="s">
        <v>176</v>
      </c>
      <c r="H95" s="134" t="s">
        <v>17</v>
      </c>
      <c r="I95" s="134" t="s">
        <v>379</v>
      </c>
      <c r="J95" s="134" t="s">
        <v>3176</v>
      </c>
      <c r="K95" s="134" t="s">
        <v>3177</v>
      </c>
      <c r="L95" s="134" t="s">
        <v>171</v>
      </c>
      <c r="M95" s="134" t="s">
        <v>571</v>
      </c>
      <c r="N95" s="134" t="s">
        <v>170</v>
      </c>
      <c r="P95" s="134" t="s">
        <v>152</v>
      </c>
      <c r="Q95" s="134" t="s">
        <v>153</v>
      </c>
      <c r="R95" s="146">
        <v>92.105000000000004</v>
      </c>
      <c r="S95" s="134" t="s">
        <v>154</v>
      </c>
      <c r="T95" s="146">
        <v>92.105000000000004</v>
      </c>
      <c r="U95" s="146"/>
      <c r="V95" s="134" t="s">
        <v>155</v>
      </c>
      <c r="W95" s="147" t="s">
        <v>299</v>
      </c>
      <c r="X95" s="134">
        <v>2021</v>
      </c>
      <c r="Y95" s="151" t="s">
        <v>3178</v>
      </c>
      <c r="AA95" s="134" t="s">
        <v>3128</v>
      </c>
      <c r="AB95" s="163">
        <v>44355</v>
      </c>
      <c r="AC95" s="150">
        <v>45889</v>
      </c>
    </row>
    <row r="96" spans="1:29" ht="15" customHeight="1" x14ac:dyDescent="0.45">
      <c r="A96" s="134" t="s">
        <v>142</v>
      </c>
      <c r="B96" s="134" t="s">
        <v>143</v>
      </c>
      <c r="C96" s="134" t="s">
        <v>189</v>
      </c>
      <c r="D96" s="134" t="s">
        <v>142</v>
      </c>
      <c r="E96" s="134" t="s">
        <v>143</v>
      </c>
      <c r="F96" s="134" t="s">
        <v>166</v>
      </c>
      <c r="G96" s="134" t="s">
        <v>160</v>
      </c>
      <c r="H96" s="134" t="s">
        <v>221</v>
      </c>
      <c r="I96" s="134" t="s">
        <v>261</v>
      </c>
      <c r="J96" s="134" t="s">
        <v>3179</v>
      </c>
      <c r="K96" s="134" t="s">
        <v>3180</v>
      </c>
      <c r="L96" s="134" t="s">
        <v>149</v>
      </c>
      <c r="M96" s="134" t="s">
        <v>262</v>
      </c>
      <c r="N96" s="134" t="s">
        <v>170</v>
      </c>
      <c r="P96" s="134" t="s">
        <v>152</v>
      </c>
      <c r="Q96" s="134" t="s">
        <v>153</v>
      </c>
      <c r="R96" s="146">
        <v>39.658000000000001</v>
      </c>
      <c r="S96" s="134" t="s">
        <v>154</v>
      </c>
      <c r="T96" s="146">
        <v>39.658000000000001</v>
      </c>
      <c r="U96" s="146"/>
      <c r="V96" s="134" t="s">
        <v>155</v>
      </c>
      <c r="W96" s="147" t="s">
        <v>299</v>
      </c>
      <c r="X96" s="134">
        <v>2021</v>
      </c>
      <c r="Y96" s="151" t="s">
        <v>3181</v>
      </c>
      <c r="AA96" s="134" t="s">
        <v>3128</v>
      </c>
      <c r="AB96" s="163">
        <v>44355</v>
      </c>
      <c r="AC96" s="150">
        <v>45889</v>
      </c>
    </row>
    <row r="97" spans="1:29" ht="15" customHeight="1" x14ac:dyDescent="0.45">
      <c r="A97" s="134" t="s">
        <v>142</v>
      </c>
      <c r="B97" s="134" t="s">
        <v>143</v>
      </c>
      <c r="C97" s="134" t="s">
        <v>159</v>
      </c>
      <c r="D97" s="134" t="s">
        <v>142</v>
      </c>
      <c r="E97" s="134" t="s">
        <v>143</v>
      </c>
      <c r="F97" s="134" t="s">
        <v>166</v>
      </c>
      <c r="G97" s="134" t="s">
        <v>160</v>
      </c>
      <c r="H97" s="134" t="s">
        <v>161</v>
      </c>
      <c r="I97" s="134" t="s">
        <v>218</v>
      </c>
      <c r="J97" s="134" t="s">
        <v>3182</v>
      </c>
      <c r="K97" s="134" t="s">
        <v>3183</v>
      </c>
      <c r="L97" s="134" t="s">
        <v>149</v>
      </c>
      <c r="M97" s="134" t="s">
        <v>150</v>
      </c>
      <c r="N97" s="134" t="s">
        <v>170</v>
      </c>
      <c r="P97" s="134" t="s">
        <v>152</v>
      </c>
      <c r="Q97" s="134" t="s">
        <v>153</v>
      </c>
      <c r="R97" s="146">
        <v>3120</v>
      </c>
      <c r="S97" s="134" t="s">
        <v>154</v>
      </c>
      <c r="T97" s="146">
        <v>3120</v>
      </c>
      <c r="U97" s="146"/>
      <c r="V97" s="134" t="s">
        <v>155</v>
      </c>
      <c r="W97" s="147" t="s">
        <v>299</v>
      </c>
      <c r="X97" s="134">
        <v>2021</v>
      </c>
      <c r="Y97" s="151" t="s">
        <v>3184</v>
      </c>
      <c r="AA97" s="134" t="s">
        <v>3128</v>
      </c>
      <c r="AB97" s="163">
        <v>44355</v>
      </c>
      <c r="AC97" s="150">
        <v>45889</v>
      </c>
    </row>
    <row r="98" spans="1:29" ht="15" customHeight="1" x14ac:dyDescent="0.45">
      <c r="A98" s="134" t="s">
        <v>142</v>
      </c>
      <c r="B98" s="134" t="s">
        <v>143</v>
      </c>
      <c r="C98" s="134" t="s">
        <v>159</v>
      </c>
      <c r="D98" s="134" t="s">
        <v>142</v>
      </c>
      <c r="E98" s="134" t="s">
        <v>143</v>
      </c>
      <c r="F98" s="134" t="s">
        <v>166</v>
      </c>
      <c r="G98" s="134" t="s">
        <v>172</v>
      </c>
      <c r="H98" s="134" t="s">
        <v>536</v>
      </c>
      <c r="I98" s="134" t="s">
        <v>536</v>
      </c>
      <c r="J98" s="134" t="s">
        <v>3185</v>
      </c>
      <c r="K98" s="134" t="s">
        <v>3185</v>
      </c>
      <c r="L98" s="134" t="s">
        <v>179</v>
      </c>
      <c r="M98" s="134" t="s">
        <v>471</v>
      </c>
      <c r="N98" s="134" t="s">
        <v>170</v>
      </c>
      <c r="P98" s="134" t="s">
        <v>171</v>
      </c>
      <c r="Q98" s="134" t="s">
        <v>153</v>
      </c>
      <c r="R98" s="146">
        <v>17.452000000000002</v>
      </c>
      <c r="S98" s="134" t="s">
        <v>154</v>
      </c>
      <c r="T98" s="146">
        <v>17.452000000000002</v>
      </c>
      <c r="U98" s="146"/>
      <c r="V98" s="134" t="s">
        <v>155</v>
      </c>
      <c r="W98" s="147" t="s">
        <v>299</v>
      </c>
      <c r="X98" s="134">
        <v>2021</v>
      </c>
      <c r="Y98" s="151" t="s">
        <v>3186</v>
      </c>
      <c r="AA98" s="134" t="s">
        <v>3128</v>
      </c>
      <c r="AB98" s="163">
        <v>44355</v>
      </c>
      <c r="AC98" s="150">
        <v>45889</v>
      </c>
    </row>
    <row r="99" spans="1:29" ht="15" customHeight="1" x14ac:dyDescent="0.45">
      <c r="A99" s="134" t="s">
        <v>142</v>
      </c>
      <c r="B99" s="134" t="s">
        <v>143</v>
      </c>
      <c r="C99" s="134" t="s">
        <v>189</v>
      </c>
      <c r="D99" s="134" t="s">
        <v>142</v>
      </c>
      <c r="E99" s="134" t="s">
        <v>143</v>
      </c>
      <c r="F99" s="134" t="s">
        <v>166</v>
      </c>
      <c r="G99" s="134" t="s">
        <v>152</v>
      </c>
      <c r="H99" s="134" t="s">
        <v>171</v>
      </c>
      <c r="I99" s="134" t="s">
        <v>171</v>
      </c>
      <c r="J99" s="134" t="s">
        <v>3187</v>
      </c>
      <c r="K99" s="134" t="s">
        <v>3187</v>
      </c>
      <c r="L99" s="134" t="s">
        <v>171</v>
      </c>
      <c r="N99" s="134" t="s">
        <v>170</v>
      </c>
      <c r="P99" s="148">
        <v>1696629</v>
      </c>
      <c r="Q99" s="134" t="s">
        <v>153</v>
      </c>
      <c r="R99" s="146">
        <v>1208</v>
      </c>
      <c r="S99" s="134" t="s">
        <v>154</v>
      </c>
      <c r="T99" s="146">
        <v>1208</v>
      </c>
      <c r="U99" s="146"/>
      <c r="V99" s="134" t="s">
        <v>155</v>
      </c>
      <c r="W99" s="147" t="s">
        <v>299</v>
      </c>
      <c r="X99" s="134">
        <v>2021</v>
      </c>
      <c r="Y99" s="151" t="s">
        <v>3188</v>
      </c>
      <c r="AA99" s="134" t="s">
        <v>3189</v>
      </c>
      <c r="AB99" s="163">
        <v>44356</v>
      </c>
      <c r="AC99" s="150">
        <v>45889</v>
      </c>
    </row>
    <row r="100" spans="1:29" ht="15" customHeight="1" x14ac:dyDescent="0.45">
      <c r="A100" s="134" t="s">
        <v>142</v>
      </c>
      <c r="B100" s="134" t="s">
        <v>143</v>
      </c>
      <c r="C100" s="134" t="s">
        <v>144</v>
      </c>
      <c r="D100" s="134" t="s">
        <v>142</v>
      </c>
      <c r="E100" s="134" t="s">
        <v>143</v>
      </c>
      <c r="F100" s="134" t="s">
        <v>166</v>
      </c>
      <c r="G100" s="134" t="s">
        <v>152</v>
      </c>
      <c r="H100" s="134" t="s">
        <v>171</v>
      </c>
      <c r="I100" s="134" t="s">
        <v>171</v>
      </c>
      <c r="J100" s="134" t="s">
        <v>3190</v>
      </c>
      <c r="K100" s="134" t="s">
        <v>3190</v>
      </c>
      <c r="L100" s="134" t="s">
        <v>171</v>
      </c>
      <c r="M100" s="134" t="s">
        <v>384</v>
      </c>
      <c r="N100" s="134" t="s">
        <v>398</v>
      </c>
      <c r="P100" s="134" t="s">
        <v>171</v>
      </c>
      <c r="Q100" s="134" t="s">
        <v>153</v>
      </c>
      <c r="R100" s="146">
        <v>109.815</v>
      </c>
      <c r="S100" s="134" t="s">
        <v>154</v>
      </c>
      <c r="T100" s="146">
        <v>109.815</v>
      </c>
      <c r="U100" s="146"/>
      <c r="V100" s="134" t="s">
        <v>155</v>
      </c>
      <c r="W100" s="147" t="s">
        <v>299</v>
      </c>
      <c r="X100" s="134">
        <v>2021</v>
      </c>
      <c r="Y100" s="151" t="s">
        <v>3191</v>
      </c>
      <c r="AA100" s="134" t="s">
        <v>3189</v>
      </c>
      <c r="AB100" s="163">
        <v>44356</v>
      </c>
      <c r="AC100" s="150">
        <v>45889</v>
      </c>
    </row>
    <row r="101" spans="1:29" ht="15" customHeight="1" x14ac:dyDescent="0.45">
      <c r="A101" s="134" t="s">
        <v>142</v>
      </c>
      <c r="B101" s="134" t="s">
        <v>143</v>
      </c>
      <c r="C101" s="134" t="s">
        <v>144</v>
      </c>
      <c r="D101" s="134" t="s">
        <v>142</v>
      </c>
      <c r="E101" s="134" t="s">
        <v>143</v>
      </c>
      <c r="F101" s="134" t="s">
        <v>166</v>
      </c>
      <c r="G101" s="134" t="s">
        <v>152</v>
      </c>
      <c r="H101" s="134" t="s">
        <v>171</v>
      </c>
      <c r="I101" s="134" t="s">
        <v>171</v>
      </c>
      <c r="J101" s="134" t="s">
        <v>3192</v>
      </c>
      <c r="K101" s="134" t="s">
        <v>3192</v>
      </c>
      <c r="L101" s="134" t="s">
        <v>171</v>
      </c>
      <c r="N101" s="134" t="s">
        <v>398</v>
      </c>
      <c r="P101" s="134" t="s">
        <v>171</v>
      </c>
      <c r="Q101" s="134" t="s">
        <v>153</v>
      </c>
      <c r="R101" s="146">
        <v>83.197000000000003</v>
      </c>
      <c r="S101" s="134" t="s">
        <v>154</v>
      </c>
      <c r="T101" s="146">
        <v>83.197000000000003</v>
      </c>
      <c r="U101" s="146"/>
      <c r="V101" s="134" t="s">
        <v>155</v>
      </c>
      <c r="W101" s="147" t="s">
        <v>299</v>
      </c>
      <c r="X101" s="134">
        <v>2021</v>
      </c>
      <c r="Y101" s="151" t="s">
        <v>3193</v>
      </c>
      <c r="AA101" s="134" t="s">
        <v>3189</v>
      </c>
      <c r="AB101" s="163">
        <v>44356</v>
      </c>
      <c r="AC101" s="150">
        <v>45889</v>
      </c>
    </row>
    <row r="102" spans="1:29" ht="15" customHeight="1" x14ac:dyDescent="0.45">
      <c r="A102" s="134" t="s">
        <v>142</v>
      </c>
      <c r="B102" s="134" t="s">
        <v>143</v>
      </c>
      <c r="C102" s="134" t="s">
        <v>144</v>
      </c>
      <c r="D102" s="134" t="s">
        <v>142</v>
      </c>
      <c r="E102" s="134" t="s">
        <v>143</v>
      </c>
      <c r="F102" s="134" t="s">
        <v>166</v>
      </c>
      <c r="G102" s="134" t="s">
        <v>176</v>
      </c>
      <c r="H102" s="134" t="s">
        <v>215</v>
      </c>
      <c r="I102" s="134" t="s">
        <v>419</v>
      </c>
      <c r="J102" s="134" t="s">
        <v>3194</v>
      </c>
      <c r="K102" s="134" t="s">
        <v>3195</v>
      </c>
      <c r="L102" s="134" t="s">
        <v>171</v>
      </c>
      <c r="M102" s="134" t="s">
        <v>150</v>
      </c>
      <c r="N102" s="134" t="s">
        <v>151</v>
      </c>
      <c r="O102" s="134">
        <v>12</v>
      </c>
      <c r="P102" s="134" t="s">
        <v>171</v>
      </c>
      <c r="Q102" s="134" t="s">
        <v>153</v>
      </c>
      <c r="R102" s="146">
        <v>9.2089999999999996</v>
      </c>
      <c r="S102" s="134" t="s">
        <v>154</v>
      </c>
      <c r="T102" s="146">
        <v>9.2089999999999996</v>
      </c>
      <c r="U102" s="146"/>
      <c r="V102" s="134" t="s">
        <v>155</v>
      </c>
      <c r="W102" s="147" t="s">
        <v>299</v>
      </c>
      <c r="X102" s="134">
        <v>2021</v>
      </c>
      <c r="Y102" s="151" t="s">
        <v>3196</v>
      </c>
      <c r="AA102" s="134" t="s">
        <v>3189</v>
      </c>
      <c r="AB102" s="163">
        <v>44356</v>
      </c>
      <c r="AC102" s="150">
        <v>45889</v>
      </c>
    </row>
    <row r="103" spans="1:29" ht="15" customHeight="1" x14ac:dyDescent="0.45">
      <c r="A103" s="134" t="s">
        <v>142</v>
      </c>
      <c r="B103" s="134" t="s">
        <v>143</v>
      </c>
      <c r="C103" s="134" t="s">
        <v>189</v>
      </c>
      <c r="D103" s="134" t="s">
        <v>142</v>
      </c>
      <c r="E103" s="134" t="s">
        <v>143</v>
      </c>
      <c r="F103" s="134" t="s">
        <v>166</v>
      </c>
      <c r="G103" s="134" t="s">
        <v>182</v>
      </c>
      <c r="H103" s="134" t="s">
        <v>235</v>
      </c>
      <c r="I103" s="134" t="s">
        <v>363</v>
      </c>
      <c r="J103" s="134" t="s">
        <v>3197</v>
      </c>
      <c r="K103" s="134" t="s">
        <v>3197</v>
      </c>
      <c r="L103" s="134" t="s">
        <v>171</v>
      </c>
      <c r="M103" s="134" t="s">
        <v>1595</v>
      </c>
      <c r="N103" s="134" t="s">
        <v>170</v>
      </c>
      <c r="P103" s="134" t="s">
        <v>171</v>
      </c>
      <c r="Q103" s="134" t="s">
        <v>153</v>
      </c>
      <c r="R103" s="146">
        <v>3300</v>
      </c>
      <c r="S103" s="134" t="s">
        <v>154</v>
      </c>
      <c r="T103" s="146">
        <v>3300</v>
      </c>
      <c r="U103" s="146"/>
      <c r="V103" s="134" t="s">
        <v>155</v>
      </c>
      <c r="W103" s="147" t="s">
        <v>299</v>
      </c>
      <c r="X103" s="134">
        <v>2021</v>
      </c>
      <c r="Y103" s="151" t="s">
        <v>3198</v>
      </c>
      <c r="AA103" s="134" t="s">
        <v>3199</v>
      </c>
      <c r="AB103" s="163">
        <v>44357</v>
      </c>
      <c r="AC103" s="150">
        <v>45889</v>
      </c>
    </row>
    <row r="104" spans="1:29" ht="15" customHeight="1" x14ac:dyDescent="0.45">
      <c r="A104" s="134" t="s">
        <v>265</v>
      </c>
      <c r="B104" s="134" t="s">
        <v>562</v>
      </c>
      <c r="C104" s="134" t="s">
        <v>189</v>
      </c>
      <c r="D104" s="134" t="s">
        <v>142</v>
      </c>
      <c r="E104" s="134" t="s">
        <v>143</v>
      </c>
      <c r="F104" s="134" t="s">
        <v>145</v>
      </c>
      <c r="G104" s="134" t="s">
        <v>160</v>
      </c>
      <c r="H104" s="134" t="s">
        <v>171</v>
      </c>
      <c r="I104" s="134" t="s">
        <v>171</v>
      </c>
      <c r="J104" s="134" t="s">
        <v>3200</v>
      </c>
      <c r="K104" s="134" t="s">
        <v>3200</v>
      </c>
      <c r="L104" s="134" t="s">
        <v>149</v>
      </c>
      <c r="M104" s="134" t="s">
        <v>563</v>
      </c>
      <c r="N104" s="134" t="s">
        <v>151</v>
      </c>
      <c r="O104" s="134">
        <v>5</v>
      </c>
      <c r="P104" s="134" t="s">
        <v>171</v>
      </c>
      <c r="Q104" s="134" t="s">
        <v>153</v>
      </c>
      <c r="R104" s="146">
        <v>29.448</v>
      </c>
      <c r="S104" s="134" t="s">
        <v>154</v>
      </c>
      <c r="T104" s="146">
        <v>29.448</v>
      </c>
      <c r="U104" s="146"/>
      <c r="V104" s="134" t="s">
        <v>181</v>
      </c>
      <c r="W104" s="147" t="s">
        <v>299</v>
      </c>
      <c r="X104" s="134">
        <v>2021</v>
      </c>
      <c r="Y104" s="151" t="s">
        <v>3201</v>
      </c>
      <c r="AA104" s="134" t="s">
        <v>3199</v>
      </c>
      <c r="AB104" s="163">
        <v>44357</v>
      </c>
      <c r="AC104" s="150">
        <v>45889</v>
      </c>
    </row>
    <row r="105" spans="1:29" ht="15" customHeight="1" x14ac:dyDescent="0.45">
      <c r="A105" s="134" t="s">
        <v>142</v>
      </c>
      <c r="B105" s="134" t="s">
        <v>143</v>
      </c>
      <c r="C105" s="134" t="s">
        <v>189</v>
      </c>
      <c r="D105" s="134" t="s">
        <v>142</v>
      </c>
      <c r="E105" s="134" t="s">
        <v>143</v>
      </c>
      <c r="F105" s="134" t="s">
        <v>166</v>
      </c>
      <c r="G105" s="134" t="s">
        <v>176</v>
      </c>
      <c r="H105" s="134" t="s">
        <v>226</v>
      </c>
      <c r="I105" s="134" t="s">
        <v>226</v>
      </c>
      <c r="J105" s="134" t="s">
        <v>3202</v>
      </c>
      <c r="K105" s="134" t="s">
        <v>3202</v>
      </c>
      <c r="L105" s="134" t="s">
        <v>171</v>
      </c>
      <c r="N105" s="134" t="s">
        <v>175</v>
      </c>
      <c r="P105" s="134" t="s">
        <v>171</v>
      </c>
      <c r="Q105" s="134" t="s">
        <v>153</v>
      </c>
      <c r="R105" s="146">
        <v>9.5370000000000008</v>
      </c>
      <c r="S105" s="134" t="s">
        <v>154</v>
      </c>
      <c r="T105" s="146">
        <v>9.5370000000000008</v>
      </c>
      <c r="U105" s="146"/>
      <c r="V105" s="134" t="s">
        <v>155</v>
      </c>
      <c r="W105" s="147" t="s">
        <v>299</v>
      </c>
      <c r="X105" s="134">
        <v>2021</v>
      </c>
      <c r="Y105" s="151" t="s">
        <v>3203</v>
      </c>
      <c r="AA105" s="134" t="s">
        <v>3199</v>
      </c>
      <c r="AB105" s="163">
        <v>44357</v>
      </c>
      <c r="AC105" s="150">
        <v>45889</v>
      </c>
    </row>
    <row r="106" spans="1:29" ht="15" customHeight="1" x14ac:dyDescent="0.45">
      <c r="A106" s="134" t="s">
        <v>272</v>
      </c>
      <c r="B106" s="134" t="s">
        <v>402</v>
      </c>
      <c r="C106" s="134" t="s">
        <v>144</v>
      </c>
      <c r="D106" s="134" t="s">
        <v>142</v>
      </c>
      <c r="E106" s="134" t="s">
        <v>143</v>
      </c>
      <c r="F106" s="134" t="s">
        <v>145</v>
      </c>
      <c r="G106" s="134" t="s">
        <v>176</v>
      </c>
      <c r="H106" s="134" t="s">
        <v>259</v>
      </c>
      <c r="I106" s="134" t="s">
        <v>264</v>
      </c>
      <c r="J106" s="134" t="s">
        <v>3204</v>
      </c>
      <c r="K106" s="134" t="s">
        <v>3205</v>
      </c>
      <c r="L106" s="134" t="s">
        <v>171</v>
      </c>
      <c r="M106" s="134" t="s">
        <v>262</v>
      </c>
      <c r="N106" s="134" t="s">
        <v>170</v>
      </c>
      <c r="P106" s="134">
        <v>36</v>
      </c>
      <c r="Q106" s="134" t="s">
        <v>153</v>
      </c>
      <c r="R106" s="146">
        <v>78.355999999999995</v>
      </c>
      <c r="S106" s="134" t="s">
        <v>154</v>
      </c>
      <c r="T106" s="146">
        <v>78.355999999999995</v>
      </c>
      <c r="U106" s="146"/>
      <c r="V106" s="134" t="s">
        <v>181</v>
      </c>
      <c r="W106" s="147" t="s">
        <v>299</v>
      </c>
      <c r="X106" s="134">
        <v>2021</v>
      </c>
      <c r="Y106" s="151" t="s">
        <v>3206</v>
      </c>
      <c r="AA106" s="134" t="s">
        <v>3199</v>
      </c>
      <c r="AB106" s="163">
        <v>44357</v>
      </c>
      <c r="AC106" s="150">
        <v>45889</v>
      </c>
    </row>
    <row r="107" spans="1:29" ht="15" customHeight="1" x14ac:dyDescent="0.45">
      <c r="A107" s="134" t="s">
        <v>142</v>
      </c>
      <c r="B107" s="134" t="s">
        <v>143</v>
      </c>
      <c r="C107" s="134" t="s">
        <v>144</v>
      </c>
      <c r="D107" s="134" t="s">
        <v>142</v>
      </c>
      <c r="E107" s="134" t="s">
        <v>143</v>
      </c>
      <c r="F107" s="134" t="s">
        <v>166</v>
      </c>
      <c r="G107" s="134" t="s">
        <v>160</v>
      </c>
      <c r="H107" s="134" t="s">
        <v>161</v>
      </c>
      <c r="I107" s="134" t="s">
        <v>263</v>
      </c>
      <c r="J107" s="166" t="s">
        <v>3207</v>
      </c>
      <c r="K107" s="134" t="s">
        <v>3208</v>
      </c>
      <c r="L107" s="134" t="s">
        <v>179</v>
      </c>
      <c r="M107" s="134" t="s">
        <v>180</v>
      </c>
      <c r="N107" s="134" t="s">
        <v>151</v>
      </c>
      <c r="P107" s="134" t="s">
        <v>171</v>
      </c>
      <c r="Q107" s="134" t="s">
        <v>153</v>
      </c>
      <c r="R107" s="146">
        <v>53.774000000000001</v>
      </c>
      <c r="S107" s="134" t="s">
        <v>154</v>
      </c>
      <c r="T107" s="146">
        <v>53.774000000000001</v>
      </c>
      <c r="U107" s="146"/>
      <c r="V107" s="134" t="s">
        <v>155</v>
      </c>
      <c r="W107" s="147" t="s">
        <v>299</v>
      </c>
      <c r="X107" s="134">
        <v>2021</v>
      </c>
      <c r="Y107" s="151" t="s">
        <v>3209</v>
      </c>
      <c r="AA107" s="134" t="s">
        <v>3199</v>
      </c>
      <c r="AB107" s="163">
        <v>44357</v>
      </c>
      <c r="AC107" s="150">
        <v>45889</v>
      </c>
    </row>
    <row r="108" spans="1:29" ht="15" customHeight="1" x14ac:dyDescent="0.45">
      <c r="A108" s="134" t="s">
        <v>142</v>
      </c>
      <c r="B108" s="134" t="s">
        <v>143</v>
      </c>
      <c r="C108" s="134" t="s">
        <v>144</v>
      </c>
      <c r="D108" s="134" t="s">
        <v>142</v>
      </c>
      <c r="E108" s="134" t="s">
        <v>143</v>
      </c>
      <c r="F108" s="134" t="s">
        <v>166</v>
      </c>
      <c r="G108" s="134" t="s">
        <v>160</v>
      </c>
      <c r="H108" s="134" t="s">
        <v>161</v>
      </c>
      <c r="I108" s="134" t="s">
        <v>218</v>
      </c>
      <c r="J108" s="134" t="s">
        <v>3210</v>
      </c>
      <c r="K108" s="134" t="s">
        <v>3211</v>
      </c>
      <c r="L108" s="134" t="s">
        <v>149</v>
      </c>
      <c r="M108" s="134" t="s">
        <v>262</v>
      </c>
      <c r="N108" s="134" t="s">
        <v>170</v>
      </c>
      <c r="P108" s="134">
        <v>69</v>
      </c>
      <c r="Q108" s="134" t="s">
        <v>153</v>
      </c>
      <c r="R108" s="146">
        <v>13.973000000000001</v>
      </c>
      <c r="S108" s="134" t="s">
        <v>154</v>
      </c>
      <c r="T108" s="146">
        <v>13.973000000000001</v>
      </c>
      <c r="U108" s="146"/>
      <c r="V108" s="134" t="s">
        <v>155</v>
      </c>
      <c r="W108" s="147" t="s">
        <v>299</v>
      </c>
      <c r="X108" s="134">
        <v>2021</v>
      </c>
      <c r="Y108" s="151" t="s">
        <v>3214</v>
      </c>
      <c r="AA108" s="134" t="s">
        <v>3199</v>
      </c>
      <c r="AB108" s="163">
        <v>44357</v>
      </c>
      <c r="AC108" s="150">
        <v>45889</v>
      </c>
    </row>
    <row r="109" spans="1:29" ht="15" customHeight="1" x14ac:dyDescent="0.45">
      <c r="A109" s="134" t="s">
        <v>142</v>
      </c>
      <c r="B109" s="134" t="s">
        <v>143</v>
      </c>
      <c r="C109" s="134" t="s">
        <v>144</v>
      </c>
      <c r="D109" s="134" t="s">
        <v>142</v>
      </c>
      <c r="E109" s="134" t="s">
        <v>143</v>
      </c>
      <c r="F109" s="134" t="s">
        <v>166</v>
      </c>
      <c r="G109" s="134" t="s">
        <v>160</v>
      </c>
      <c r="H109" s="134" t="s">
        <v>161</v>
      </c>
      <c r="I109" s="134" t="s">
        <v>218</v>
      </c>
      <c r="J109" s="134" t="s">
        <v>3210</v>
      </c>
      <c r="K109" s="134" t="s">
        <v>3212</v>
      </c>
      <c r="L109" s="134" t="s">
        <v>149</v>
      </c>
      <c r="M109" s="134" t="s">
        <v>262</v>
      </c>
      <c r="N109" s="134" t="s">
        <v>170</v>
      </c>
      <c r="P109" s="134">
        <v>384</v>
      </c>
      <c r="Q109" s="134" t="s">
        <v>153</v>
      </c>
      <c r="R109" s="146"/>
      <c r="T109" s="146"/>
      <c r="U109" s="146" t="s">
        <v>3213</v>
      </c>
      <c r="V109" s="134" t="s">
        <v>155</v>
      </c>
      <c r="W109" s="147" t="s">
        <v>299</v>
      </c>
      <c r="X109" s="134">
        <v>2021</v>
      </c>
      <c r="Y109" s="151" t="s">
        <v>3214</v>
      </c>
      <c r="AA109" s="134" t="s">
        <v>3199</v>
      </c>
      <c r="AB109" s="163">
        <v>44357</v>
      </c>
      <c r="AC109" s="150">
        <v>45889</v>
      </c>
    </row>
    <row r="110" spans="1:29" ht="15" customHeight="1" x14ac:dyDescent="0.45">
      <c r="A110" s="134" t="s">
        <v>142</v>
      </c>
      <c r="B110" s="134" t="s">
        <v>143</v>
      </c>
      <c r="C110" s="134" t="s">
        <v>144</v>
      </c>
      <c r="D110" s="134" t="s">
        <v>142</v>
      </c>
      <c r="E110" s="134" t="s">
        <v>143</v>
      </c>
      <c r="F110" s="134" t="s">
        <v>166</v>
      </c>
      <c r="G110" s="134" t="s">
        <v>146</v>
      </c>
      <c r="H110" s="134" t="s">
        <v>231</v>
      </c>
      <c r="I110" s="134" t="s">
        <v>232</v>
      </c>
      <c r="J110" s="134" t="s">
        <v>3215</v>
      </c>
      <c r="K110" s="134" t="s">
        <v>3215</v>
      </c>
      <c r="L110" s="134" t="s">
        <v>149</v>
      </c>
      <c r="N110" s="134" t="s">
        <v>151</v>
      </c>
      <c r="O110" s="134">
        <v>12</v>
      </c>
      <c r="P110" s="134" t="s">
        <v>171</v>
      </c>
      <c r="Q110" s="134" t="s">
        <v>153</v>
      </c>
      <c r="R110" s="146">
        <v>13.757</v>
      </c>
      <c r="S110" s="134" t="s">
        <v>154</v>
      </c>
      <c r="T110" s="146">
        <v>13.757</v>
      </c>
      <c r="U110" s="146"/>
      <c r="V110" s="134" t="s">
        <v>155</v>
      </c>
      <c r="W110" s="147" t="s">
        <v>299</v>
      </c>
      <c r="X110" s="134">
        <v>2021</v>
      </c>
      <c r="Y110" s="151" t="s">
        <v>3216</v>
      </c>
      <c r="AA110" s="134" t="s">
        <v>3199</v>
      </c>
      <c r="AB110" s="163">
        <v>44357</v>
      </c>
      <c r="AC110" s="150">
        <v>45889</v>
      </c>
    </row>
    <row r="111" spans="1:29" ht="15" customHeight="1" x14ac:dyDescent="0.45">
      <c r="A111" s="134" t="s">
        <v>142</v>
      </c>
      <c r="B111" s="134" t="s">
        <v>143</v>
      </c>
      <c r="C111" s="134" t="s">
        <v>144</v>
      </c>
      <c r="D111" s="134" t="s">
        <v>142</v>
      </c>
      <c r="E111" s="134" t="s">
        <v>143</v>
      </c>
      <c r="F111" s="134" t="s">
        <v>166</v>
      </c>
      <c r="G111" s="134" t="s">
        <v>146</v>
      </c>
      <c r="H111" s="134" t="s">
        <v>147</v>
      </c>
      <c r="I111" s="134" t="s">
        <v>426</v>
      </c>
      <c r="J111" s="134" t="s">
        <v>3217</v>
      </c>
      <c r="K111" s="134" t="s">
        <v>3217</v>
      </c>
      <c r="L111" s="134" t="s">
        <v>149</v>
      </c>
      <c r="N111" s="134" t="s">
        <v>151</v>
      </c>
      <c r="O111" s="134">
        <v>7</v>
      </c>
      <c r="P111" s="134" t="s">
        <v>171</v>
      </c>
      <c r="Q111" s="134" t="s">
        <v>153</v>
      </c>
      <c r="R111" s="146">
        <v>8.077</v>
      </c>
      <c r="S111" s="134" t="s">
        <v>154</v>
      </c>
      <c r="T111" s="146">
        <v>8.077</v>
      </c>
      <c r="U111" s="146"/>
      <c r="V111" s="134" t="s">
        <v>155</v>
      </c>
      <c r="W111" s="147" t="s">
        <v>299</v>
      </c>
      <c r="X111" s="134">
        <v>2021</v>
      </c>
      <c r="Y111" s="151" t="s">
        <v>3218</v>
      </c>
      <c r="AA111" s="134" t="s">
        <v>3199</v>
      </c>
      <c r="AB111" s="163">
        <v>44357</v>
      </c>
      <c r="AC111" s="150">
        <v>45889</v>
      </c>
    </row>
    <row r="112" spans="1:29" ht="15" customHeight="1" x14ac:dyDescent="0.45">
      <c r="A112" s="134" t="s">
        <v>142</v>
      </c>
      <c r="B112" s="134" t="s">
        <v>143</v>
      </c>
      <c r="C112" s="134" t="s">
        <v>144</v>
      </c>
      <c r="D112" s="134" t="s">
        <v>142</v>
      </c>
      <c r="E112" s="134" t="s">
        <v>143</v>
      </c>
      <c r="F112" s="134" t="s">
        <v>166</v>
      </c>
      <c r="G112" s="134" t="s">
        <v>160</v>
      </c>
      <c r="H112" s="134" t="s">
        <v>221</v>
      </c>
      <c r="I112" s="134" t="s">
        <v>337</v>
      </c>
      <c r="J112" s="134" t="s">
        <v>3219</v>
      </c>
      <c r="K112" s="134" t="s">
        <v>3220</v>
      </c>
      <c r="L112" s="134" t="s">
        <v>149</v>
      </c>
      <c r="M112" s="134" t="s">
        <v>391</v>
      </c>
      <c r="N112" s="134" t="s">
        <v>194</v>
      </c>
      <c r="P112" s="134" t="s">
        <v>171</v>
      </c>
      <c r="Q112" s="134" t="s">
        <v>153</v>
      </c>
      <c r="R112" s="146">
        <v>6.8239999999999998</v>
      </c>
      <c r="S112" s="134" t="s">
        <v>154</v>
      </c>
      <c r="T112" s="146">
        <v>6.8239999999999998</v>
      </c>
      <c r="U112" s="146"/>
      <c r="V112" s="134" t="s">
        <v>155</v>
      </c>
      <c r="W112" s="147" t="s">
        <v>299</v>
      </c>
      <c r="X112" s="134">
        <v>2021</v>
      </c>
      <c r="Y112" s="151" t="s">
        <v>3221</v>
      </c>
      <c r="AA112" s="134" t="s">
        <v>3199</v>
      </c>
      <c r="AB112" s="163">
        <v>44357</v>
      </c>
      <c r="AC112" s="150">
        <v>45889</v>
      </c>
    </row>
    <row r="113" spans="1:29" ht="15" customHeight="1" x14ac:dyDescent="0.45">
      <c r="A113" s="134" t="s">
        <v>152</v>
      </c>
      <c r="B113" s="134" t="s">
        <v>152</v>
      </c>
      <c r="C113" s="134" t="s">
        <v>144</v>
      </c>
      <c r="D113" s="134" t="s">
        <v>142</v>
      </c>
      <c r="E113" s="134" t="s">
        <v>143</v>
      </c>
      <c r="F113" s="134" t="s">
        <v>145</v>
      </c>
      <c r="G113" s="134" t="s">
        <v>160</v>
      </c>
      <c r="H113" s="134" t="s">
        <v>221</v>
      </c>
      <c r="I113" s="134" t="s">
        <v>337</v>
      </c>
      <c r="J113" s="134" t="s">
        <v>3219</v>
      </c>
      <c r="K113" s="134" t="s">
        <v>3220</v>
      </c>
      <c r="L113" s="134" t="s">
        <v>149</v>
      </c>
      <c r="M113" s="134" t="s">
        <v>391</v>
      </c>
      <c r="N113" s="134" t="s">
        <v>194</v>
      </c>
      <c r="P113" s="134" t="s">
        <v>171</v>
      </c>
      <c r="Q113" s="134" t="s">
        <v>153</v>
      </c>
      <c r="R113" s="146">
        <v>1.1910000000000001</v>
      </c>
      <c r="S113" s="134" t="s">
        <v>154</v>
      </c>
      <c r="T113" s="146">
        <v>1.1910000000000001</v>
      </c>
      <c r="U113" s="146"/>
      <c r="V113" s="134" t="s">
        <v>181</v>
      </c>
      <c r="W113" s="147" t="s">
        <v>299</v>
      </c>
      <c r="X113" s="134">
        <v>2021</v>
      </c>
      <c r="Y113" s="151" t="s">
        <v>3221</v>
      </c>
      <c r="AA113" s="134" t="s">
        <v>3199</v>
      </c>
      <c r="AB113" s="163">
        <v>44357</v>
      </c>
      <c r="AC113" s="150">
        <v>45889</v>
      </c>
    </row>
    <row r="114" spans="1:29" ht="15" customHeight="1" x14ac:dyDescent="0.45">
      <c r="A114" s="134" t="s">
        <v>142</v>
      </c>
      <c r="B114" s="134" t="s">
        <v>143</v>
      </c>
      <c r="C114" s="134" t="s">
        <v>159</v>
      </c>
      <c r="D114" s="134" t="s">
        <v>142</v>
      </c>
      <c r="E114" s="134" t="s">
        <v>143</v>
      </c>
      <c r="F114" s="134" t="s">
        <v>166</v>
      </c>
      <c r="G114" s="134" t="s">
        <v>167</v>
      </c>
      <c r="H114" s="134" t="s">
        <v>207</v>
      </c>
      <c r="I114" s="134" t="s">
        <v>171</v>
      </c>
      <c r="J114" s="134" t="s">
        <v>3222</v>
      </c>
      <c r="K114" s="134" t="s">
        <v>3222</v>
      </c>
      <c r="L114" s="134" t="s">
        <v>171</v>
      </c>
      <c r="N114" s="134" t="s">
        <v>151</v>
      </c>
      <c r="O114" s="134">
        <v>60</v>
      </c>
      <c r="P114" s="134" t="s">
        <v>171</v>
      </c>
      <c r="Q114" s="134" t="s">
        <v>153</v>
      </c>
      <c r="R114" s="146">
        <v>77</v>
      </c>
      <c r="S114" s="134" t="s">
        <v>154</v>
      </c>
      <c r="T114" s="146">
        <v>77</v>
      </c>
      <c r="U114" s="146"/>
      <c r="V114" s="134" t="s">
        <v>155</v>
      </c>
      <c r="W114" s="147" t="s">
        <v>299</v>
      </c>
      <c r="X114" s="134">
        <v>2021</v>
      </c>
      <c r="Y114" s="151" t="s">
        <v>3223</v>
      </c>
      <c r="AA114" s="134" t="s">
        <v>3199</v>
      </c>
      <c r="AB114" s="163">
        <v>44357</v>
      </c>
      <c r="AC114" s="150">
        <v>45889</v>
      </c>
    </row>
    <row r="115" spans="1:29" ht="15" customHeight="1" x14ac:dyDescent="0.45">
      <c r="A115" s="165" t="s">
        <v>142</v>
      </c>
      <c r="B115" s="134" t="s">
        <v>143</v>
      </c>
      <c r="C115" s="134" t="s">
        <v>144</v>
      </c>
      <c r="D115" s="134" t="s">
        <v>142</v>
      </c>
      <c r="E115" s="134" t="s">
        <v>143</v>
      </c>
      <c r="F115" s="134" t="s">
        <v>166</v>
      </c>
      <c r="G115" s="134" t="s">
        <v>146</v>
      </c>
      <c r="H115" s="134" t="s">
        <v>231</v>
      </c>
      <c r="I115" s="134" t="s">
        <v>171</v>
      </c>
      <c r="J115" s="134" t="s">
        <v>3224</v>
      </c>
      <c r="K115" s="134" t="s">
        <v>3226</v>
      </c>
      <c r="L115" s="134" t="s">
        <v>149</v>
      </c>
      <c r="M115" s="134" t="s">
        <v>180</v>
      </c>
      <c r="N115" s="134" t="s">
        <v>151</v>
      </c>
      <c r="O115" s="134">
        <v>60</v>
      </c>
      <c r="P115" s="134" t="s">
        <v>171</v>
      </c>
      <c r="Q115" s="134" t="s">
        <v>153</v>
      </c>
      <c r="R115" s="146">
        <v>37.85</v>
      </c>
      <c r="S115" s="134" t="s">
        <v>154</v>
      </c>
      <c r="T115" s="146">
        <v>37.85</v>
      </c>
      <c r="U115" s="146"/>
      <c r="V115" s="134" t="s">
        <v>155</v>
      </c>
      <c r="W115" s="147" t="s">
        <v>299</v>
      </c>
      <c r="X115" s="134">
        <v>2021</v>
      </c>
      <c r="Y115" s="151" t="s">
        <v>3227</v>
      </c>
      <c r="AA115" s="134" t="s">
        <v>3228</v>
      </c>
      <c r="AB115" s="163">
        <v>44358</v>
      </c>
      <c r="AC115" s="150">
        <v>45890</v>
      </c>
    </row>
    <row r="116" spans="1:29" ht="15" customHeight="1" x14ac:dyDescent="0.45">
      <c r="A116" s="134" t="s">
        <v>142</v>
      </c>
      <c r="B116" s="134" t="s">
        <v>143</v>
      </c>
      <c r="C116" s="134" t="s">
        <v>144</v>
      </c>
      <c r="D116" s="134" t="s">
        <v>142</v>
      </c>
      <c r="E116" s="134" t="s">
        <v>143</v>
      </c>
      <c r="F116" s="134" t="s">
        <v>166</v>
      </c>
      <c r="G116" s="134" t="s">
        <v>146</v>
      </c>
      <c r="H116" s="134" t="s">
        <v>236</v>
      </c>
      <c r="I116" s="134" t="s">
        <v>171</v>
      </c>
      <c r="J116" s="134" t="s">
        <v>3225</v>
      </c>
      <c r="K116" s="134" t="s">
        <v>3226</v>
      </c>
      <c r="L116" s="134" t="s">
        <v>149</v>
      </c>
      <c r="M116" s="134" t="s">
        <v>180</v>
      </c>
      <c r="N116" s="134" t="s">
        <v>151</v>
      </c>
      <c r="P116" s="134" t="s">
        <v>171</v>
      </c>
      <c r="Q116" s="134" t="s">
        <v>153</v>
      </c>
      <c r="R116" s="146"/>
      <c r="T116" s="146"/>
      <c r="U116" s="146"/>
      <c r="V116" s="134" t="s">
        <v>155</v>
      </c>
      <c r="W116" s="147" t="s">
        <v>299</v>
      </c>
      <c r="X116" s="134">
        <v>2021</v>
      </c>
      <c r="Y116" s="151" t="s">
        <v>3227</v>
      </c>
      <c r="Z116" s="134" t="s">
        <v>3229</v>
      </c>
      <c r="AA116" s="134" t="s">
        <v>3228</v>
      </c>
      <c r="AB116" s="163">
        <v>44358</v>
      </c>
      <c r="AC116" s="150">
        <v>45890</v>
      </c>
    </row>
    <row r="117" spans="1:29" ht="15" customHeight="1" x14ac:dyDescent="0.45">
      <c r="A117" s="134" t="s">
        <v>142</v>
      </c>
      <c r="B117" s="134" t="s">
        <v>143</v>
      </c>
      <c r="C117" s="134" t="s">
        <v>144</v>
      </c>
      <c r="D117" s="134" t="s">
        <v>142</v>
      </c>
      <c r="E117" s="134" t="s">
        <v>143</v>
      </c>
      <c r="F117" s="134" t="s">
        <v>166</v>
      </c>
      <c r="G117" s="134" t="s">
        <v>176</v>
      </c>
      <c r="H117" s="134" t="s">
        <v>215</v>
      </c>
      <c r="I117" s="134" t="s">
        <v>207</v>
      </c>
      <c r="J117" s="134" t="s">
        <v>3231</v>
      </c>
      <c r="K117" s="134" t="s">
        <v>3230</v>
      </c>
      <c r="L117" s="134" t="s">
        <v>171</v>
      </c>
      <c r="M117" s="134" t="s">
        <v>185</v>
      </c>
      <c r="N117" s="134" t="s">
        <v>170</v>
      </c>
      <c r="P117" s="134" t="s">
        <v>152</v>
      </c>
      <c r="Q117" s="134" t="s">
        <v>153</v>
      </c>
      <c r="R117" s="146">
        <v>26.669</v>
      </c>
      <c r="S117" s="134" t="s">
        <v>154</v>
      </c>
      <c r="T117" s="146">
        <v>26.669</v>
      </c>
      <c r="U117" s="146"/>
      <c r="V117" s="134" t="s">
        <v>155</v>
      </c>
      <c r="W117" s="147" t="s">
        <v>299</v>
      </c>
      <c r="X117" s="134">
        <v>2021</v>
      </c>
      <c r="Y117" s="151" t="s">
        <v>3232</v>
      </c>
      <c r="AA117" s="134" t="s">
        <v>3228</v>
      </c>
      <c r="AB117" s="163">
        <v>44358</v>
      </c>
      <c r="AC117" s="150">
        <v>45890</v>
      </c>
    </row>
    <row r="118" spans="1:29" ht="15" customHeight="1" x14ac:dyDescent="0.45">
      <c r="A118" s="134" t="s">
        <v>265</v>
      </c>
      <c r="B118" s="134" t="s">
        <v>277</v>
      </c>
      <c r="C118" s="134" t="s">
        <v>144</v>
      </c>
      <c r="D118" s="134" t="s">
        <v>142</v>
      </c>
      <c r="E118" s="134" t="s">
        <v>143</v>
      </c>
      <c r="F118" s="134" t="s">
        <v>145</v>
      </c>
      <c r="G118" s="134" t="s">
        <v>176</v>
      </c>
      <c r="H118" s="134" t="s">
        <v>215</v>
      </c>
      <c r="I118" s="134" t="s">
        <v>207</v>
      </c>
      <c r="J118" s="134" t="s">
        <v>3231</v>
      </c>
      <c r="K118" s="134" t="s">
        <v>3230</v>
      </c>
      <c r="L118" s="134" t="s">
        <v>171</v>
      </c>
      <c r="M118" s="134" t="s">
        <v>185</v>
      </c>
      <c r="N118" s="134" t="s">
        <v>170</v>
      </c>
      <c r="P118" s="134" t="s">
        <v>152</v>
      </c>
      <c r="Q118" s="134" t="s">
        <v>153</v>
      </c>
      <c r="R118" s="146">
        <v>0.20599999999999999</v>
      </c>
      <c r="S118" s="134" t="s">
        <v>154</v>
      </c>
      <c r="T118" s="146">
        <v>0.20599999999999999</v>
      </c>
      <c r="U118" s="146"/>
      <c r="V118" s="134" t="s">
        <v>181</v>
      </c>
      <c r="W118" s="147" t="s">
        <v>299</v>
      </c>
      <c r="X118" s="134">
        <v>2021</v>
      </c>
      <c r="Y118" s="151" t="s">
        <v>3232</v>
      </c>
      <c r="Z118" s="134" t="s">
        <v>3233</v>
      </c>
      <c r="AA118" s="134" t="s">
        <v>3228</v>
      </c>
      <c r="AB118" s="163">
        <v>44358</v>
      </c>
      <c r="AC118" s="150">
        <v>45890</v>
      </c>
    </row>
    <row r="119" spans="1:29" ht="15" customHeight="1" x14ac:dyDescent="0.45">
      <c r="A119" s="134" t="s">
        <v>265</v>
      </c>
      <c r="B119" s="134" t="s">
        <v>406</v>
      </c>
      <c r="C119" s="134" t="s">
        <v>144</v>
      </c>
      <c r="D119" s="134" t="s">
        <v>142</v>
      </c>
      <c r="E119" s="134" t="s">
        <v>143</v>
      </c>
      <c r="F119" s="134" t="s">
        <v>145</v>
      </c>
      <c r="G119" s="134" t="s">
        <v>176</v>
      </c>
      <c r="H119" s="134" t="s">
        <v>215</v>
      </c>
      <c r="I119" s="134" t="s">
        <v>207</v>
      </c>
      <c r="J119" s="134" t="s">
        <v>3231</v>
      </c>
      <c r="K119" s="134" t="s">
        <v>3230</v>
      </c>
      <c r="L119" s="134" t="s">
        <v>171</v>
      </c>
      <c r="M119" s="134" t="s">
        <v>185</v>
      </c>
      <c r="N119" s="134" t="s">
        <v>170</v>
      </c>
      <c r="P119" s="134" t="s">
        <v>152</v>
      </c>
      <c r="Q119" s="134" t="s">
        <v>153</v>
      </c>
      <c r="R119" s="146">
        <v>3.9E-2</v>
      </c>
      <c r="S119" s="134" t="s">
        <v>154</v>
      </c>
      <c r="T119" s="146">
        <v>3.9E-2</v>
      </c>
      <c r="U119" s="146"/>
      <c r="V119" s="134" t="s">
        <v>181</v>
      </c>
      <c r="W119" s="147" t="s">
        <v>299</v>
      </c>
      <c r="X119" s="134">
        <v>2021</v>
      </c>
      <c r="Y119" s="151" t="s">
        <v>3232</v>
      </c>
      <c r="Z119" s="134" t="s">
        <v>3233</v>
      </c>
      <c r="AA119" s="134" t="s">
        <v>3228</v>
      </c>
      <c r="AB119" s="163">
        <v>44358</v>
      </c>
      <c r="AC119" s="150">
        <v>45890</v>
      </c>
    </row>
    <row r="120" spans="1:29" ht="15" customHeight="1" x14ac:dyDescent="0.45">
      <c r="A120" s="134" t="s">
        <v>142</v>
      </c>
      <c r="B120" s="134" t="s">
        <v>143</v>
      </c>
      <c r="C120" s="134" t="s">
        <v>144</v>
      </c>
      <c r="D120" s="134" t="s">
        <v>142</v>
      </c>
      <c r="E120" s="134" t="s">
        <v>143</v>
      </c>
      <c r="F120" s="134" t="s">
        <v>166</v>
      </c>
      <c r="G120" s="134" t="s">
        <v>146</v>
      </c>
      <c r="H120" s="134" t="s">
        <v>236</v>
      </c>
      <c r="I120" s="134" t="s">
        <v>243</v>
      </c>
      <c r="J120" s="134" t="s">
        <v>3235</v>
      </c>
      <c r="K120" s="134" t="s">
        <v>3236</v>
      </c>
      <c r="L120" s="134" t="s">
        <v>149</v>
      </c>
      <c r="M120" s="134" t="s">
        <v>196</v>
      </c>
      <c r="N120" s="134" t="s">
        <v>170</v>
      </c>
      <c r="P120" s="134" t="s">
        <v>152</v>
      </c>
      <c r="Q120" s="134" t="s">
        <v>153</v>
      </c>
      <c r="R120" s="146">
        <v>18.809999999999999</v>
      </c>
      <c r="S120" s="134" t="s">
        <v>154</v>
      </c>
      <c r="T120" s="146">
        <v>18.809999999999999</v>
      </c>
      <c r="U120" s="146"/>
      <c r="V120" s="134" t="s">
        <v>155</v>
      </c>
      <c r="W120" s="147" t="s">
        <v>299</v>
      </c>
      <c r="X120" s="134">
        <v>2021</v>
      </c>
      <c r="Y120" s="151" t="s">
        <v>3234</v>
      </c>
      <c r="AA120" s="134" t="s">
        <v>3228</v>
      </c>
      <c r="AB120" s="163">
        <v>44358</v>
      </c>
      <c r="AC120" s="150">
        <v>45890</v>
      </c>
    </row>
    <row r="121" spans="1:29" ht="15" customHeight="1" x14ac:dyDescent="0.45">
      <c r="A121" s="134" t="s">
        <v>142</v>
      </c>
      <c r="B121" s="134" t="s">
        <v>143</v>
      </c>
      <c r="C121" s="134" t="s">
        <v>144</v>
      </c>
      <c r="D121" s="134" t="s">
        <v>142</v>
      </c>
      <c r="E121" s="134" t="s">
        <v>143</v>
      </c>
      <c r="F121" s="134" t="s">
        <v>166</v>
      </c>
      <c r="G121" s="134" t="s">
        <v>146</v>
      </c>
      <c r="H121" s="134" t="s">
        <v>236</v>
      </c>
      <c r="I121" s="134" t="s">
        <v>243</v>
      </c>
      <c r="J121" s="134" t="s">
        <v>3095</v>
      </c>
      <c r="K121" s="134" t="s">
        <v>3237</v>
      </c>
      <c r="L121" s="134" t="s">
        <v>149</v>
      </c>
      <c r="N121" s="134" t="s">
        <v>151</v>
      </c>
      <c r="P121" s="134" t="s">
        <v>171</v>
      </c>
      <c r="Q121" s="134" t="s">
        <v>153</v>
      </c>
      <c r="R121" s="146">
        <v>13.762</v>
      </c>
      <c r="S121" s="134" t="s">
        <v>154</v>
      </c>
      <c r="T121" s="146">
        <v>13.762</v>
      </c>
      <c r="U121" s="146"/>
      <c r="V121" s="134" t="s">
        <v>155</v>
      </c>
      <c r="W121" s="147" t="s">
        <v>299</v>
      </c>
      <c r="X121" s="134">
        <v>2021</v>
      </c>
      <c r="Y121" s="151" t="s">
        <v>3238</v>
      </c>
      <c r="AA121" s="134" t="s">
        <v>3228</v>
      </c>
      <c r="AB121" s="163">
        <v>44358</v>
      </c>
      <c r="AC121" s="150">
        <v>45890</v>
      </c>
    </row>
    <row r="122" spans="1:29" ht="15" customHeight="1" x14ac:dyDescent="0.45">
      <c r="A122" s="134" t="s">
        <v>142</v>
      </c>
      <c r="B122" s="134" t="s">
        <v>143</v>
      </c>
      <c r="C122" s="134" t="s">
        <v>144</v>
      </c>
      <c r="D122" s="134" t="s">
        <v>142</v>
      </c>
      <c r="E122" s="134" t="s">
        <v>143</v>
      </c>
      <c r="F122" s="134" t="s">
        <v>166</v>
      </c>
      <c r="G122" s="134" t="s">
        <v>160</v>
      </c>
      <c r="H122" s="134" t="s">
        <v>221</v>
      </c>
      <c r="I122" s="134" t="s">
        <v>222</v>
      </c>
      <c r="J122" s="134" t="s">
        <v>3239</v>
      </c>
      <c r="K122" s="134" t="s">
        <v>3240</v>
      </c>
      <c r="L122" s="134" t="s">
        <v>149</v>
      </c>
      <c r="M122" s="134" t="s">
        <v>224</v>
      </c>
      <c r="N122" s="134" t="s">
        <v>170</v>
      </c>
      <c r="P122" s="134" t="s">
        <v>171</v>
      </c>
      <c r="Q122" s="134" t="s">
        <v>153</v>
      </c>
      <c r="R122" s="146">
        <v>9.4939999999999998</v>
      </c>
      <c r="S122" s="134" t="s">
        <v>154</v>
      </c>
      <c r="T122" s="146">
        <v>9.4939999999999998</v>
      </c>
      <c r="U122" s="146"/>
      <c r="V122" s="134" t="s">
        <v>155</v>
      </c>
      <c r="W122" s="147" t="s">
        <v>299</v>
      </c>
      <c r="X122" s="134">
        <v>2021</v>
      </c>
      <c r="Y122" s="151" t="s">
        <v>3241</v>
      </c>
      <c r="AA122" s="134" t="s">
        <v>3228</v>
      </c>
      <c r="AB122" s="163">
        <v>44358</v>
      </c>
      <c r="AC122" s="150">
        <v>45890</v>
      </c>
    </row>
    <row r="123" spans="1:29" ht="15" customHeight="1" x14ac:dyDescent="0.45">
      <c r="A123" s="134" t="s">
        <v>272</v>
      </c>
      <c r="B123" s="134" t="s">
        <v>577</v>
      </c>
      <c r="C123" s="134" t="s">
        <v>159</v>
      </c>
      <c r="D123" s="134" t="s">
        <v>142</v>
      </c>
      <c r="E123" s="134" t="s">
        <v>143</v>
      </c>
      <c r="F123" s="134" t="s">
        <v>145</v>
      </c>
      <c r="G123" s="134" t="s">
        <v>160</v>
      </c>
      <c r="H123" s="134" t="s">
        <v>161</v>
      </c>
      <c r="I123" s="134" t="s">
        <v>247</v>
      </c>
      <c r="J123" s="134" t="s">
        <v>3242</v>
      </c>
      <c r="K123" s="134" t="s">
        <v>3243</v>
      </c>
      <c r="L123" s="134" t="s">
        <v>149</v>
      </c>
      <c r="M123" s="134" t="s">
        <v>248</v>
      </c>
      <c r="N123" s="134" t="s">
        <v>170</v>
      </c>
      <c r="P123" s="134">
        <v>8</v>
      </c>
      <c r="Q123" s="134" t="s">
        <v>153</v>
      </c>
      <c r="R123" s="146">
        <v>6.2480000000000002</v>
      </c>
      <c r="S123" s="134" t="s">
        <v>154</v>
      </c>
      <c r="T123" s="146">
        <v>6.2480000000000002</v>
      </c>
      <c r="U123" s="146"/>
      <c r="V123" s="134" t="s">
        <v>181</v>
      </c>
      <c r="W123" s="147" t="s">
        <v>299</v>
      </c>
      <c r="X123" s="134">
        <v>2021</v>
      </c>
      <c r="Y123" s="151" t="s">
        <v>3244</v>
      </c>
      <c r="AA123" s="134" t="s">
        <v>3228</v>
      </c>
      <c r="AB123" s="163">
        <v>44358</v>
      </c>
      <c r="AC123" s="150">
        <v>45890</v>
      </c>
    </row>
    <row r="124" spans="1:29" ht="15" customHeight="1" x14ac:dyDescent="0.45">
      <c r="A124" s="134" t="s">
        <v>142</v>
      </c>
      <c r="B124" s="134" t="s">
        <v>143</v>
      </c>
      <c r="C124" s="134" t="s">
        <v>159</v>
      </c>
      <c r="D124" s="134" t="s">
        <v>142</v>
      </c>
      <c r="E124" s="134" t="s">
        <v>143</v>
      </c>
      <c r="F124" s="134" t="s">
        <v>166</v>
      </c>
      <c r="G124" s="134" t="s">
        <v>160</v>
      </c>
      <c r="H124" s="134" t="s">
        <v>161</v>
      </c>
      <c r="I124" s="134" t="s">
        <v>247</v>
      </c>
      <c r="J124" s="134" t="s">
        <v>3242</v>
      </c>
      <c r="K124" s="134" t="s">
        <v>3243</v>
      </c>
      <c r="L124" s="134" t="s">
        <v>149</v>
      </c>
      <c r="M124" s="134" t="s">
        <v>248</v>
      </c>
      <c r="N124" s="134" t="s">
        <v>170</v>
      </c>
      <c r="P124" s="134"/>
      <c r="Q124" s="134" t="s">
        <v>153</v>
      </c>
      <c r="R124" s="146">
        <v>6.2489999999999997</v>
      </c>
      <c r="S124" s="134" t="s">
        <v>154</v>
      </c>
      <c r="T124" s="146">
        <v>6.2489999999999997</v>
      </c>
      <c r="U124" s="146"/>
      <c r="V124" s="134" t="s">
        <v>155</v>
      </c>
      <c r="W124" s="147" t="s">
        <v>299</v>
      </c>
      <c r="X124" s="134">
        <v>2021</v>
      </c>
      <c r="Y124" s="151" t="s">
        <v>3244</v>
      </c>
      <c r="Z124" s="134" t="s">
        <v>3245</v>
      </c>
      <c r="AA124" s="134" t="s">
        <v>3228</v>
      </c>
      <c r="AB124" s="163">
        <v>44358</v>
      </c>
      <c r="AC124" s="150">
        <v>45890</v>
      </c>
    </row>
    <row r="125" spans="1:29" ht="15" customHeight="1" x14ac:dyDescent="0.45">
      <c r="A125" s="134" t="s">
        <v>142</v>
      </c>
      <c r="B125" s="134" t="s">
        <v>143</v>
      </c>
      <c r="C125" s="134" t="s">
        <v>165</v>
      </c>
      <c r="D125" s="134" t="s">
        <v>142</v>
      </c>
      <c r="E125" s="134" t="s">
        <v>143</v>
      </c>
      <c r="F125" s="134" t="s">
        <v>166</v>
      </c>
      <c r="G125" s="134" t="s">
        <v>152</v>
      </c>
      <c r="H125" s="134" t="s">
        <v>171</v>
      </c>
      <c r="I125" s="134" t="s">
        <v>171</v>
      </c>
      <c r="J125" s="134" t="s">
        <v>3246</v>
      </c>
      <c r="K125" s="134" t="s">
        <v>3246</v>
      </c>
      <c r="L125" s="134" t="s">
        <v>171</v>
      </c>
      <c r="M125" s="134" t="s">
        <v>1307</v>
      </c>
      <c r="N125" s="134" t="s">
        <v>170</v>
      </c>
      <c r="P125" s="134" t="s">
        <v>171</v>
      </c>
      <c r="Q125" s="134" t="s">
        <v>153</v>
      </c>
      <c r="R125" s="146">
        <v>1180.1849999999999</v>
      </c>
      <c r="S125" s="134" t="s">
        <v>154</v>
      </c>
      <c r="T125" s="146">
        <v>1180.1849999999999</v>
      </c>
      <c r="U125" s="146"/>
      <c r="V125" s="134" t="s">
        <v>155</v>
      </c>
      <c r="W125" s="147" t="s">
        <v>299</v>
      </c>
      <c r="X125" s="134">
        <v>2021</v>
      </c>
      <c r="Y125" s="151" t="s">
        <v>3247</v>
      </c>
      <c r="AA125" s="160" t="s">
        <v>3248</v>
      </c>
      <c r="AB125" s="163">
        <v>44361</v>
      </c>
      <c r="AC125" s="150">
        <v>45890</v>
      </c>
    </row>
    <row r="126" spans="1:29" ht="15" customHeight="1" x14ac:dyDescent="0.45">
      <c r="A126" s="134" t="s">
        <v>142</v>
      </c>
      <c r="B126" s="134" t="s">
        <v>143</v>
      </c>
      <c r="C126" s="134" t="s">
        <v>189</v>
      </c>
      <c r="D126" s="134" t="s">
        <v>142</v>
      </c>
      <c r="E126" s="134" t="s">
        <v>143</v>
      </c>
      <c r="F126" s="134" t="s">
        <v>166</v>
      </c>
      <c r="G126" s="134" t="s">
        <v>206</v>
      </c>
      <c r="H126" s="134" t="s">
        <v>211</v>
      </c>
      <c r="I126" s="134" t="s">
        <v>171</v>
      </c>
      <c r="J126" s="134" t="s">
        <v>3249</v>
      </c>
      <c r="K126" s="134" t="s">
        <v>3249</v>
      </c>
      <c r="L126" s="134" t="s">
        <v>171</v>
      </c>
      <c r="M126" s="134" t="s">
        <v>306</v>
      </c>
      <c r="N126" s="134" t="s">
        <v>3</v>
      </c>
      <c r="P126" s="134" t="s">
        <v>171</v>
      </c>
      <c r="Q126" s="134" t="s">
        <v>153</v>
      </c>
      <c r="R126" s="146">
        <v>192.61199999999999</v>
      </c>
      <c r="S126" s="134" t="s">
        <v>154</v>
      </c>
      <c r="T126" s="146">
        <v>192.61199999999999</v>
      </c>
      <c r="U126" s="146"/>
      <c r="V126" s="134" t="s">
        <v>155</v>
      </c>
      <c r="W126" s="147" t="s">
        <v>299</v>
      </c>
      <c r="X126" s="134">
        <v>2021</v>
      </c>
      <c r="Y126" s="151" t="s">
        <v>3250</v>
      </c>
      <c r="AA126" s="160" t="s">
        <v>3248</v>
      </c>
      <c r="AB126" s="163">
        <v>44361</v>
      </c>
      <c r="AC126" s="150">
        <v>45890</v>
      </c>
    </row>
    <row r="127" spans="1:29" ht="15" customHeight="1" x14ac:dyDescent="0.45">
      <c r="A127" s="134" t="s">
        <v>142</v>
      </c>
      <c r="B127" s="134" t="s">
        <v>143</v>
      </c>
      <c r="C127" s="134" t="s">
        <v>189</v>
      </c>
      <c r="D127" s="134" t="s">
        <v>142</v>
      </c>
      <c r="E127" s="134" t="s">
        <v>143</v>
      </c>
      <c r="F127" s="134" t="s">
        <v>166</v>
      </c>
      <c r="G127" s="134" t="s">
        <v>190</v>
      </c>
      <c r="H127" s="134" t="s">
        <v>238</v>
      </c>
      <c r="I127" s="134" t="s">
        <v>239</v>
      </c>
      <c r="J127" s="134" t="s">
        <v>3251</v>
      </c>
      <c r="K127" s="134" t="s">
        <v>3252</v>
      </c>
      <c r="L127" s="134" t="s">
        <v>149</v>
      </c>
      <c r="M127" s="134" t="s">
        <v>578</v>
      </c>
      <c r="N127" s="134" t="s">
        <v>170</v>
      </c>
      <c r="P127" s="148" t="s">
        <v>152</v>
      </c>
      <c r="Q127" s="134" t="s">
        <v>153</v>
      </c>
      <c r="R127" s="146">
        <v>82.741</v>
      </c>
      <c r="S127" s="134" t="s">
        <v>154</v>
      </c>
      <c r="T127" s="146">
        <v>82.741</v>
      </c>
      <c r="U127" s="146"/>
      <c r="V127" s="134" t="s">
        <v>155</v>
      </c>
      <c r="W127" s="147" t="s">
        <v>299</v>
      </c>
      <c r="X127" s="134">
        <v>2021</v>
      </c>
      <c r="Y127" s="151" t="s">
        <v>3253</v>
      </c>
      <c r="AA127" s="160" t="s">
        <v>3248</v>
      </c>
      <c r="AB127" s="163">
        <v>44361</v>
      </c>
      <c r="AC127" s="150">
        <v>45890</v>
      </c>
    </row>
    <row r="128" spans="1:29" ht="15" customHeight="1" x14ac:dyDescent="0.45">
      <c r="A128" s="134" t="s">
        <v>142</v>
      </c>
      <c r="B128" s="134" t="s">
        <v>143</v>
      </c>
      <c r="C128" s="134" t="s">
        <v>159</v>
      </c>
      <c r="D128" s="134" t="s">
        <v>142</v>
      </c>
      <c r="E128" s="134" t="s">
        <v>143</v>
      </c>
      <c r="F128" s="134" t="s">
        <v>166</v>
      </c>
      <c r="G128" s="134" t="s">
        <v>182</v>
      </c>
      <c r="H128" s="134" t="s">
        <v>200</v>
      </c>
      <c r="I128" s="134" t="s">
        <v>305</v>
      </c>
      <c r="J128" s="134" t="s">
        <v>3254</v>
      </c>
      <c r="K128" s="134" t="s">
        <v>3255</v>
      </c>
      <c r="L128" s="134" t="s">
        <v>171</v>
      </c>
      <c r="M128" s="134" t="s">
        <v>150</v>
      </c>
      <c r="N128" s="134" t="s">
        <v>151</v>
      </c>
      <c r="O128" s="134">
        <v>66</v>
      </c>
      <c r="P128" s="134" t="s">
        <v>171</v>
      </c>
      <c r="Q128" s="134" t="s">
        <v>153</v>
      </c>
      <c r="R128" s="146">
        <v>8.5540000000000003</v>
      </c>
      <c r="S128" s="134" t="s">
        <v>154</v>
      </c>
      <c r="T128" s="146">
        <v>8.5540000000000003</v>
      </c>
      <c r="U128" s="146"/>
      <c r="V128" s="134" t="s">
        <v>155</v>
      </c>
      <c r="W128" s="147" t="s">
        <v>299</v>
      </c>
      <c r="X128" s="134">
        <v>2021</v>
      </c>
      <c r="Y128" s="151" t="s">
        <v>3256</v>
      </c>
      <c r="AA128" s="160" t="s">
        <v>3248</v>
      </c>
      <c r="AB128" s="163">
        <v>44361</v>
      </c>
      <c r="AC128" s="150">
        <v>45890</v>
      </c>
    </row>
    <row r="129" spans="1:29" ht="15" customHeight="1" x14ac:dyDescent="0.45">
      <c r="A129" s="134" t="s">
        <v>272</v>
      </c>
      <c r="B129" s="134" t="s">
        <v>968</v>
      </c>
      <c r="C129" s="134" t="s">
        <v>159</v>
      </c>
      <c r="D129" s="134" t="s">
        <v>142</v>
      </c>
      <c r="E129" s="134" t="s">
        <v>143</v>
      </c>
      <c r="F129" s="134" t="s">
        <v>145</v>
      </c>
      <c r="G129" s="134" t="s">
        <v>182</v>
      </c>
      <c r="H129" s="134" t="s">
        <v>200</v>
      </c>
      <c r="I129" s="134" t="s">
        <v>305</v>
      </c>
      <c r="J129" s="134" t="s">
        <v>3254</v>
      </c>
      <c r="K129" s="134" t="s">
        <v>3255</v>
      </c>
      <c r="L129" s="134" t="s">
        <v>171</v>
      </c>
      <c r="M129" s="134" t="s">
        <v>150</v>
      </c>
      <c r="N129" s="134" t="s">
        <v>151</v>
      </c>
      <c r="P129" s="134" t="s">
        <v>171</v>
      </c>
      <c r="Q129" s="134" t="s">
        <v>153</v>
      </c>
      <c r="R129" s="146">
        <v>69.555999999999997</v>
      </c>
      <c r="S129" s="134" t="s">
        <v>154</v>
      </c>
      <c r="T129" s="146">
        <v>69.555999999999997</v>
      </c>
      <c r="U129" s="146"/>
      <c r="V129" s="134" t="s">
        <v>181</v>
      </c>
      <c r="W129" s="147" t="s">
        <v>299</v>
      </c>
      <c r="X129" s="134">
        <v>2021</v>
      </c>
      <c r="Y129" s="151" t="s">
        <v>3256</v>
      </c>
      <c r="Z129" s="134" t="s">
        <v>3257</v>
      </c>
      <c r="AA129" s="160" t="s">
        <v>3248</v>
      </c>
      <c r="AB129" s="163">
        <v>44361</v>
      </c>
      <c r="AC129" s="150">
        <v>45890</v>
      </c>
    </row>
    <row r="130" spans="1:29" ht="15" customHeight="1" x14ac:dyDescent="0.45">
      <c r="A130" s="134" t="s">
        <v>142</v>
      </c>
      <c r="B130" s="134" t="s">
        <v>143</v>
      </c>
      <c r="C130" s="134" t="s">
        <v>165</v>
      </c>
      <c r="D130" s="134" t="s">
        <v>142</v>
      </c>
      <c r="E130" s="134" t="s">
        <v>143</v>
      </c>
      <c r="F130" s="134" t="s">
        <v>166</v>
      </c>
      <c r="G130" s="134" t="s">
        <v>160</v>
      </c>
      <c r="H130" s="134" t="s">
        <v>221</v>
      </c>
      <c r="I130" s="134" t="s">
        <v>222</v>
      </c>
      <c r="J130" s="134" t="s">
        <v>3258</v>
      </c>
      <c r="K130" s="134" t="s">
        <v>3259</v>
      </c>
      <c r="L130" s="134" t="s">
        <v>149</v>
      </c>
      <c r="M130" s="134" t="s">
        <v>262</v>
      </c>
      <c r="N130" s="134" t="s">
        <v>170</v>
      </c>
      <c r="P130" s="134" t="s">
        <v>152</v>
      </c>
      <c r="Q130" s="134" t="s">
        <v>153</v>
      </c>
      <c r="R130" s="146">
        <v>18.372</v>
      </c>
      <c r="S130" s="134" t="s">
        <v>154</v>
      </c>
      <c r="T130" s="146">
        <v>18.372</v>
      </c>
      <c r="U130" s="146"/>
      <c r="V130" s="134" t="s">
        <v>155</v>
      </c>
      <c r="W130" s="147" t="s">
        <v>299</v>
      </c>
      <c r="X130" s="134">
        <v>2021</v>
      </c>
      <c r="Y130" s="151" t="s">
        <v>3260</v>
      </c>
      <c r="AA130" s="160" t="s">
        <v>3248</v>
      </c>
      <c r="AB130" s="163">
        <v>44361</v>
      </c>
      <c r="AC130" s="150">
        <v>45890</v>
      </c>
    </row>
    <row r="131" spans="1:29" ht="15" customHeight="1" x14ac:dyDescent="0.45">
      <c r="A131" s="134" t="s">
        <v>142</v>
      </c>
      <c r="B131" s="134" t="s">
        <v>143</v>
      </c>
      <c r="C131" s="134" t="s">
        <v>144</v>
      </c>
      <c r="D131" s="134" t="s">
        <v>142</v>
      </c>
      <c r="E131" s="134" t="s">
        <v>143</v>
      </c>
      <c r="F131" s="134" t="s">
        <v>166</v>
      </c>
      <c r="G131" s="134" t="s">
        <v>146</v>
      </c>
      <c r="H131" s="134" t="s">
        <v>147</v>
      </c>
      <c r="I131" s="134" t="s">
        <v>464</v>
      </c>
      <c r="J131" s="134" t="s">
        <v>3261</v>
      </c>
      <c r="K131" s="134" t="s">
        <v>3262</v>
      </c>
      <c r="L131" s="134" t="s">
        <v>149</v>
      </c>
      <c r="N131" s="134" t="s">
        <v>151</v>
      </c>
      <c r="O131" s="134">
        <v>3</v>
      </c>
      <c r="P131" s="134" t="s">
        <v>171</v>
      </c>
      <c r="Q131" s="134" t="s">
        <v>153</v>
      </c>
      <c r="R131" s="146">
        <v>9.4049999999999994</v>
      </c>
      <c r="S131" s="134" t="s">
        <v>154</v>
      </c>
      <c r="T131" s="146">
        <v>9.4049999999999994</v>
      </c>
      <c r="U131" s="146"/>
      <c r="V131" s="134" t="s">
        <v>155</v>
      </c>
      <c r="W131" s="147" t="s">
        <v>299</v>
      </c>
      <c r="X131" s="134">
        <v>2021</v>
      </c>
      <c r="Y131" s="151" t="s">
        <v>3263</v>
      </c>
      <c r="AA131" s="160" t="s">
        <v>3248</v>
      </c>
      <c r="AB131" s="163">
        <v>44361</v>
      </c>
      <c r="AC131" s="150">
        <v>45890</v>
      </c>
    </row>
    <row r="132" spans="1:29" ht="15" customHeight="1" x14ac:dyDescent="0.45">
      <c r="A132" s="134" t="s">
        <v>142</v>
      </c>
      <c r="B132" s="134" t="s">
        <v>143</v>
      </c>
      <c r="C132" s="134" t="s">
        <v>144</v>
      </c>
      <c r="D132" s="134" t="s">
        <v>142</v>
      </c>
      <c r="E132" s="134" t="s">
        <v>143</v>
      </c>
      <c r="F132" s="134" t="s">
        <v>166</v>
      </c>
      <c r="G132" s="134" t="s">
        <v>146</v>
      </c>
      <c r="H132" s="134" t="s">
        <v>147</v>
      </c>
      <c r="I132" s="134" t="s">
        <v>903</v>
      </c>
      <c r="J132" s="134" t="s">
        <v>3264</v>
      </c>
      <c r="K132" s="134" t="s">
        <v>3265</v>
      </c>
      <c r="L132" s="134" t="s">
        <v>149</v>
      </c>
      <c r="N132" s="134" t="s">
        <v>151</v>
      </c>
      <c r="O132" s="134">
        <v>3</v>
      </c>
      <c r="P132" s="134" t="s">
        <v>171</v>
      </c>
      <c r="Q132" s="134" t="s">
        <v>153</v>
      </c>
      <c r="R132" s="146">
        <v>8.9410000000000007</v>
      </c>
      <c r="S132" s="134" t="s">
        <v>154</v>
      </c>
      <c r="T132" s="146">
        <v>8.9410000000000007</v>
      </c>
      <c r="U132" s="146"/>
      <c r="V132" s="134" t="s">
        <v>155</v>
      </c>
      <c r="W132" s="147" t="s">
        <v>299</v>
      </c>
      <c r="X132" s="134">
        <v>2021</v>
      </c>
      <c r="Y132" s="151" t="s">
        <v>3266</v>
      </c>
      <c r="AA132" s="160" t="s">
        <v>3248</v>
      </c>
      <c r="AB132" s="163">
        <v>44361</v>
      </c>
      <c r="AC132" s="150">
        <v>45890</v>
      </c>
    </row>
    <row r="133" spans="1:29" ht="15" customHeight="1" x14ac:dyDescent="0.45">
      <c r="A133" s="134" t="s">
        <v>142</v>
      </c>
      <c r="B133" s="134" t="s">
        <v>143</v>
      </c>
      <c r="C133" s="134" t="s">
        <v>144</v>
      </c>
      <c r="D133" s="134" t="s">
        <v>142</v>
      </c>
      <c r="E133" s="134" t="s">
        <v>143</v>
      </c>
      <c r="F133" s="134" t="s">
        <v>166</v>
      </c>
      <c r="G133" s="134" t="s">
        <v>182</v>
      </c>
      <c r="H133" s="134" t="s">
        <v>200</v>
      </c>
      <c r="I133" s="134" t="s">
        <v>305</v>
      </c>
      <c r="J133" s="134" t="s">
        <v>3267</v>
      </c>
      <c r="K133" s="134" t="s">
        <v>3268</v>
      </c>
      <c r="L133" s="134" t="s">
        <v>171</v>
      </c>
      <c r="M133" s="134" t="s">
        <v>391</v>
      </c>
      <c r="N133" s="134" t="s">
        <v>175</v>
      </c>
      <c r="P133" s="134" t="s">
        <v>171</v>
      </c>
      <c r="Q133" s="134" t="s">
        <v>153</v>
      </c>
      <c r="R133" s="146">
        <v>8.2560000000000002</v>
      </c>
      <c r="S133" s="134" t="s">
        <v>154</v>
      </c>
      <c r="T133" s="146">
        <v>8.2560000000000002</v>
      </c>
      <c r="U133" s="146"/>
      <c r="V133" s="134" t="s">
        <v>155</v>
      </c>
      <c r="W133" s="147" t="s">
        <v>299</v>
      </c>
      <c r="X133" s="134">
        <v>2021</v>
      </c>
      <c r="Y133" s="151" t="s">
        <v>3269</v>
      </c>
      <c r="AA133" s="160" t="s">
        <v>3248</v>
      </c>
      <c r="AB133" s="163">
        <v>44361</v>
      </c>
      <c r="AC133" s="150">
        <v>45890</v>
      </c>
    </row>
    <row r="134" spans="1:29" ht="15" customHeight="1" x14ac:dyDescent="0.45">
      <c r="A134" s="134" t="s">
        <v>142</v>
      </c>
      <c r="B134" s="134" t="s">
        <v>143</v>
      </c>
      <c r="C134" s="134" t="s">
        <v>144</v>
      </c>
      <c r="D134" s="134" t="s">
        <v>142</v>
      </c>
      <c r="E134" s="134" t="s">
        <v>143</v>
      </c>
      <c r="F134" s="134" t="s">
        <v>166</v>
      </c>
      <c r="G134" s="134" t="s">
        <v>146</v>
      </c>
      <c r="H134" s="134" t="s">
        <v>171</v>
      </c>
      <c r="I134" s="134" t="s">
        <v>171</v>
      </c>
      <c r="J134" s="134" t="s">
        <v>3271</v>
      </c>
      <c r="K134" s="134" t="s">
        <v>3272</v>
      </c>
      <c r="L134" s="134" t="s">
        <v>179</v>
      </c>
      <c r="M134" s="134" t="s">
        <v>384</v>
      </c>
      <c r="N134" s="134" t="s">
        <v>170</v>
      </c>
      <c r="P134" s="134" t="s">
        <v>171</v>
      </c>
      <c r="Q134" s="134" t="s">
        <v>153</v>
      </c>
      <c r="R134" s="146">
        <v>118.816</v>
      </c>
      <c r="S134" s="134" t="s">
        <v>154</v>
      </c>
      <c r="T134" s="146">
        <v>118.816</v>
      </c>
      <c r="U134" s="146"/>
      <c r="V134" s="134" t="s">
        <v>155</v>
      </c>
      <c r="W134" s="147" t="s">
        <v>299</v>
      </c>
      <c r="X134" s="134">
        <v>2021</v>
      </c>
      <c r="Y134" s="151" t="s">
        <v>3273</v>
      </c>
      <c r="AA134" s="134" t="s">
        <v>3270</v>
      </c>
      <c r="AB134" s="163">
        <v>44362</v>
      </c>
      <c r="AC134" s="150">
        <v>45890</v>
      </c>
    </row>
    <row r="135" spans="1:29" ht="15" customHeight="1" x14ac:dyDescent="0.45">
      <c r="A135" s="134" t="s">
        <v>142</v>
      </c>
      <c r="B135" s="134" t="s">
        <v>143</v>
      </c>
      <c r="C135" s="134" t="s">
        <v>144</v>
      </c>
      <c r="D135" s="134" t="s">
        <v>142</v>
      </c>
      <c r="E135" s="134" t="s">
        <v>143</v>
      </c>
      <c r="F135" s="134" t="s">
        <v>166</v>
      </c>
      <c r="G135" s="134" t="s">
        <v>146</v>
      </c>
      <c r="H135" s="134" t="s">
        <v>195</v>
      </c>
      <c r="I135" s="134" t="s">
        <v>294</v>
      </c>
      <c r="J135" s="134" t="s">
        <v>3274</v>
      </c>
      <c r="K135" s="134" t="s">
        <v>3275</v>
      </c>
      <c r="L135" s="134" t="s">
        <v>149</v>
      </c>
      <c r="M135" s="134" t="s">
        <v>196</v>
      </c>
      <c r="N135" s="134" t="s">
        <v>151</v>
      </c>
      <c r="O135" s="134">
        <v>17</v>
      </c>
      <c r="P135" s="134" t="s">
        <v>171</v>
      </c>
      <c r="Q135" s="134" t="s">
        <v>153</v>
      </c>
      <c r="R135" s="146">
        <v>90.266999999999996</v>
      </c>
      <c r="S135" s="134" t="s">
        <v>154</v>
      </c>
      <c r="T135" s="146">
        <v>90.266999999999996</v>
      </c>
      <c r="U135" s="146"/>
      <c r="V135" s="134" t="s">
        <v>155</v>
      </c>
      <c r="W135" s="147" t="s">
        <v>299</v>
      </c>
      <c r="X135" s="134">
        <v>2021</v>
      </c>
      <c r="Y135" s="151" t="s">
        <v>3276</v>
      </c>
      <c r="AA135" s="134" t="s">
        <v>3270</v>
      </c>
      <c r="AB135" s="163">
        <v>44362</v>
      </c>
      <c r="AC135" s="150">
        <v>45890</v>
      </c>
    </row>
    <row r="136" spans="1:29" ht="15" customHeight="1" x14ac:dyDescent="0.45">
      <c r="A136" s="134" t="s">
        <v>142</v>
      </c>
      <c r="B136" s="134" t="s">
        <v>143</v>
      </c>
      <c r="C136" s="134" t="s">
        <v>144</v>
      </c>
      <c r="D136" s="134" t="s">
        <v>142</v>
      </c>
      <c r="E136" s="134" t="s">
        <v>143</v>
      </c>
      <c r="F136" s="134" t="s">
        <v>166</v>
      </c>
      <c r="G136" s="134" t="s">
        <v>152</v>
      </c>
      <c r="H136" s="134" t="s">
        <v>171</v>
      </c>
      <c r="I136" s="134" t="s">
        <v>171</v>
      </c>
      <c r="J136" s="134" t="s">
        <v>3278</v>
      </c>
      <c r="K136" s="134" t="s">
        <v>3278</v>
      </c>
      <c r="L136" s="134" t="s">
        <v>171</v>
      </c>
      <c r="M136" s="134" t="s">
        <v>196</v>
      </c>
      <c r="N136" s="134" t="s">
        <v>151</v>
      </c>
      <c r="O136" s="134">
        <v>13</v>
      </c>
      <c r="P136" s="134" t="s">
        <v>171</v>
      </c>
      <c r="Q136" s="134" t="s">
        <v>153</v>
      </c>
      <c r="R136" s="146">
        <v>79.8</v>
      </c>
      <c r="S136" s="134" t="s">
        <v>154</v>
      </c>
      <c r="T136" s="146">
        <v>79.8</v>
      </c>
      <c r="U136" s="146"/>
      <c r="V136" s="134" t="s">
        <v>155</v>
      </c>
      <c r="W136" s="147" t="s">
        <v>299</v>
      </c>
      <c r="X136" s="134">
        <v>2021</v>
      </c>
      <c r="Y136" s="151" t="s">
        <v>3277</v>
      </c>
      <c r="AA136" s="134" t="s">
        <v>3270</v>
      </c>
      <c r="AB136" s="163">
        <v>44362</v>
      </c>
      <c r="AC136" s="150">
        <v>45890</v>
      </c>
    </row>
    <row r="137" spans="1:29" ht="15" customHeight="1" x14ac:dyDescent="0.45">
      <c r="A137" s="165" t="s">
        <v>142</v>
      </c>
      <c r="B137" s="134" t="s">
        <v>143</v>
      </c>
      <c r="C137" s="134" t="s">
        <v>189</v>
      </c>
      <c r="D137" s="134" t="s">
        <v>142</v>
      </c>
      <c r="E137" s="134" t="s">
        <v>143</v>
      </c>
      <c r="F137" s="134" t="s">
        <v>166</v>
      </c>
      <c r="G137" s="134" t="s">
        <v>167</v>
      </c>
      <c r="H137" s="134" t="s">
        <v>213</v>
      </c>
      <c r="I137" s="134" t="s">
        <v>171</v>
      </c>
      <c r="J137" s="134" t="s">
        <v>3279</v>
      </c>
      <c r="K137" s="134" t="s">
        <v>3279</v>
      </c>
      <c r="L137" s="134" t="s">
        <v>171</v>
      </c>
      <c r="N137" s="134" t="s">
        <v>170</v>
      </c>
      <c r="P137" s="134" t="s">
        <v>171</v>
      </c>
      <c r="Q137" s="134" t="s">
        <v>153</v>
      </c>
      <c r="R137" s="146">
        <v>56.295000000000002</v>
      </c>
      <c r="S137" s="134" t="s">
        <v>154</v>
      </c>
      <c r="T137" s="146">
        <v>56.295000000000002</v>
      </c>
      <c r="U137" s="146"/>
      <c r="V137" s="134" t="s">
        <v>155</v>
      </c>
      <c r="W137" s="147" t="s">
        <v>299</v>
      </c>
      <c r="X137" s="134">
        <v>2021</v>
      </c>
      <c r="Y137" s="151" t="s">
        <v>3280</v>
      </c>
      <c r="AA137" s="134" t="s">
        <v>3270</v>
      </c>
      <c r="AB137" s="163">
        <v>44362</v>
      </c>
      <c r="AC137" s="150">
        <v>45891</v>
      </c>
    </row>
    <row r="138" spans="1:29" ht="15" customHeight="1" x14ac:dyDescent="0.45">
      <c r="A138" s="134" t="s">
        <v>157</v>
      </c>
      <c r="B138" s="134" t="s">
        <v>580</v>
      </c>
      <c r="C138" s="134" t="s">
        <v>189</v>
      </c>
      <c r="D138" s="134" t="s">
        <v>142</v>
      </c>
      <c r="E138" s="134" t="s">
        <v>143</v>
      </c>
      <c r="F138" s="134" t="s">
        <v>145</v>
      </c>
      <c r="G138" s="134" t="s">
        <v>176</v>
      </c>
      <c r="H138" s="134" t="s">
        <v>244</v>
      </c>
      <c r="I138" s="134" t="s">
        <v>197</v>
      </c>
      <c r="J138" s="134" t="s">
        <v>3281</v>
      </c>
      <c r="K138" s="134" t="s">
        <v>3282</v>
      </c>
      <c r="L138" s="134" t="s">
        <v>171</v>
      </c>
      <c r="M138" s="134" t="s">
        <v>332</v>
      </c>
      <c r="N138" s="134" t="s">
        <v>170</v>
      </c>
      <c r="P138" s="134" t="s">
        <v>152</v>
      </c>
      <c r="Q138" s="134" t="s">
        <v>153</v>
      </c>
      <c r="R138" s="146">
        <v>20.309000000000001</v>
      </c>
      <c r="S138" s="134" t="s">
        <v>154</v>
      </c>
      <c r="T138" s="146">
        <v>20.309000000000001</v>
      </c>
      <c r="U138" s="146"/>
      <c r="V138" s="134" t="s">
        <v>181</v>
      </c>
      <c r="W138" s="147" t="s">
        <v>299</v>
      </c>
      <c r="X138" s="134">
        <v>2021</v>
      </c>
      <c r="Y138" s="151" t="s">
        <v>3283</v>
      </c>
      <c r="AA138" s="134" t="s">
        <v>3270</v>
      </c>
      <c r="AB138" s="163">
        <v>44362</v>
      </c>
      <c r="AC138" s="150">
        <v>45891</v>
      </c>
    </row>
    <row r="139" spans="1:29" ht="15" customHeight="1" x14ac:dyDescent="0.45">
      <c r="A139" s="134" t="s">
        <v>142</v>
      </c>
      <c r="B139" s="134" t="s">
        <v>143</v>
      </c>
      <c r="C139" s="134" t="s">
        <v>189</v>
      </c>
      <c r="D139" s="134" t="s">
        <v>142</v>
      </c>
      <c r="E139" s="134" t="s">
        <v>143</v>
      </c>
      <c r="F139" s="134" t="s">
        <v>166</v>
      </c>
      <c r="G139" s="134" t="s">
        <v>160</v>
      </c>
      <c r="H139" s="134" t="s">
        <v>221</v>
      </c>
      <c r="I139" s="134" t="s">
        <v>261</v>
      </c>
      <c r="J139" s="134" t="s">
        <v>3179</v>
      </c>
      <c r="K139" s="134" t="s">
        <v>3179</v>
      </c>
      <c r="L139" s="134" t="s">
        <v>149</v>
      </c>
      <c r="N139" s="134" t="s">
        <v>398</v>
      </c>
      <c r="P139" s="134" t="s">
        <v>171</v>
      </c>
      <c r="Q139" s="134" t="s">
        <v>153</v>
      </c>
      <c r="R139" s="146">
        <v>13.803000000000001</v>
      </c>
      <c r="S139" s="134" t="s">
        <v>154</v>
      </c>
      <c r="T139" s="146">
        <v>13.803000000000001</v>
      </c>
      <c r="U139" s="146"/>
      <c r="V139" s="134" t="s">
        <v>155</v>
      </c>
      <c r="W139" s="147" t="s">
        <v>299</v>
      </c>
      <c r="X139" s="134">
        <v>2021</v>
      </c>
      <c r="Y139" s="151" t="s">
        <v>3284</v>
      </c>
      <c r="AA139" s="134" t="s">
        <v>3270</v>
      </c>
      <c r="AB139" s="163">
        <v>44362</v>
      </c>
      <c r="AC139" s="150">
        <v>45891</v>
      </c>
    </row>
    <row r="140" spans="1:29" ht="15" customHeight="1" x14ac:dyDescent="0.45">
      <c r="A140" s="134" t="s">
        <v>265</v>
      </c>
      <c r="B140" s="134" t="s">
        <v>390</v>
      </c>
      <c r="C140" s="134" t="s">
        <v>189</v>
      </c>
      <c r="D140" s="134" t="s">
        <v>142</v>
      </c>
      <c r="E140" s="134" t="s">
        <v>143</v>
      </c>
      <c r="F140" s="134" t="s">
        <v>145</v>
      </c>
      <c r="G140" s="134" t="s">
        <v>176</v>
      </c>
      <c r="H140" s="134" t="s">
        <v>244</v>
      </c>
      <c r="I140" s="134" t="s">
        <v>197</v>
      </c>
      <c r="J140" s="134" t="s">
        <v>3281</v>
      </c>
      <c r="K140" s="134" t="s">
        <v>3282</v>
      </c>
      <c r="L140" s="134" t="s">
        <v>171</v>
      </c>
      <c r="M140" s="134" t="s">
        <v>332</v>
      </c>
      <c r="N140" s="134" t="s">
        <v>170</v>
      </c>
      <c r="P140" s="134" t="s">
        <v>152</v>
      </c>
      <c r="Q140" s="134" t="s">
        <v>153</v>
      </c>
      <c r="R140" s="146">
        <v>9.1739999999999995</v>
      </c>
      <c r="S140" s="134" t="s">
        <v>154</v>
      </c>
      <c r="T140" s="146">
        <v>9.1739999999999995</v>
      </c>
      <c r="U140" s="146"/>
      <c r="V140" s="134" t="s">
        <v>181</v>
      </c>
      <c r="W140" s="147" t="s">
        <v>299</v>
      </c>
      <c r="X140" s="134">
        <v>2021</v>
      </c>
      <c r="Y140" s="151" t="s">
        <v>3285</v>
      </c>
      <c r="AA140" s="134" t="s">
        <v>3270</v>
      </c>
      <c r="AB140" s="163">
        <v>44362</v>
      </c>
      <c r="AC140" s="150">
        <v>45891</v>
      </c>
    </row>
    <row r="141" spans="1:29" ht="15" customHeight="1" x14ac:dyDescent="0.45">
      <c r="A141" s="134" t="s">
        <v>157</v>
      </c>
      <c r="B141" s="134" t="s">
        <v>408</v>
      </c>
      <c r="C141" s="134" t="s">
        <v>189</v>
      </c>
      <c r="D141" s="134" t="s">
        <v>142</v>
      </c>
      <c r="E141" s="134" t="s">
        <v>143</v>
      </c>
      <c r="F141" s="134" t="s">
        <v>145</v>
      </c>
      <c r="G141" s="134" t="s">
        <v>176</v>
      </c>
      <c r="H141" s="134" t="s">
        <v>244</v>
      </c>
      <c r="I141" s="134" t="s">
        <v>197</v>
      </c>
      <c r="J141" s="134" t="s">
        <v>3281</v>
      </c>
      <c r="K141" s="134" t="s">
        <v>3282</v>
      </c>
      <c r="L141" s="134" t="s">
        <v>171</v>
      </c>
      <c r="M141" s="134" t="s">
        <v>332</v>
      </c>
      <c r="N141" s="134" t="s">
        <v>170</v>
      </c>
      <c r="P141" s="134" t="s">
        <v>152</v>
      </c>
      <c r="Q141" s="134" t="s">
        <v>153</v>
      </c>
      <c r="R141" s="146">
        <v>9.1449999999999996</v>
      </c>
      <c r="S141" s="134" t="s">
        <v>154</v>
      </c>
      <c r="T141" s="146">
        <v>9.1449999999999996</v>
      </c>
      <c r="U141" s="146"/>
      <c r="V141" s="134" t="s">
        <v>181</v>
      </c>
      <c r="W141" s="147" t="s">
        <v>299</v>
      </c>
      <c r="X141" s="134">
        <v>2021</v>
      </c>
      <c r="Y141" s="151" t="s">
        <v>3286</v>
      </c>
      <c r="AA141" s="134" t="s">
        <v>3270</v>
      </c>
      <c r="AB141" s="163">
        <v>44362</v>
      </c>
      <c r="AC141" s="150">
        <v>45891</v>
      </c>
    </row>
    <row r="142" spans="1:29" ht="15" customHeight="1" x14ac:dyDescent="0.45">
      <c r="A142" s="134" t="s">
        <v>142</v>
      </c>
      <c r="B142" s="134" t="s">
        <v>143</v>
      </c>
      <c r="C142" s="134" t="s">
        <v>165</v>
      </c>
      <c r="D142" s="134" t="s">
        <v>142</v>
      </c>
      <c r="E142" s="134" t="s">
        <v>143</v>
      </c>
      <c r="F142" s="134" t="s">
        <v>166</v>
      </c>
      <c r="G142" s="134" t="s">
        <v>152</v>
      </c>
      <c r="H142" s="134" t="s">
        <v>171</v>
      </c>
      <c r="I142" s="134" t="s">
        <v>171</v>
      </c>
      <c r="J142" s="134" t="s">
        <v>3287</v>
      </c>
      <c r="K142" s="134" t="s">
        <v>3287</v>
      </c>
      <c r="L142" s="134" t="s">
        <v>171</v>
      </c>
      <c r="M142" s="134" t="s">
        <v>1992</v>
      </c>
      <c r="N142" s="134" t="s">
        <v>175</v>
      </c>
      <c r="P142" s="134" t="s">
        <v>152</v>
      </c>
      <c r="Q142" s="134" t="s">
        <v>153</v>
      </c>
      <c r="R142" s="146">
        <v>2241.7629999999999</v>
      </c>
      <c r="S142" s="134" t="s">
        <v>154</v>
      </c>
      <c r="T142" s="146">
        <v>2241.7629999999999</v>
      </c>
      <c r="U142" s="146"/>
      <c r="V142" s="134" t="s">
        <v>155</v>
      </c>
      <c r="W142" s="147" t="s">
        <v>299</v>
      </c>
      <c r="X142" s="134">
        <v>2021</v>
      </c>
      <c r="Y142" s="151" t="s">
        <v>3288</v>
      </c>
      <c r="AA142" s="160" t="s">
        <v>3289</v>
      </c>
      <c r="AB142" s="163">
        <v>44363</v>
      </c>
      <c r="AC142" s="150">
        <v>45891</v>
      </c>
    </row>
    <row r="143" spans="1:29" ht="15" customHeight="1" x14ac:dyDescent="0.45">
      <c r="A143" s="134" t="s">
        <v>142</v>
      </c>
      <c r="B143" s="134" t="s">
        <v>143</v>
      </c>
      <c r="C143" s="134" t="s">
        <v>165</v>
      </c>
      <c r="D143" s="134" t="s">
        <v>142</v>
      </c>
      <c r="E143" s="134" t="s">
        <v>143</v>
      </c>
      <c r="F143" s="134" t="s">
        <v>166</v>
      </c>
      <c r="G143" s="134" t="s">
        <v>152</v>
      </c>
      <c r="H143" s="134" t="s">
        <v>171</v>
      </c>
      <c r="I143" s="134" t="s">
        <v>171</v>
      </c>
      <c r="J143" s="134" t="s">
        <v>3290</v>
      </c>
      <c r="K143" s="134" t="s">
        <v>3290</v>
      </c>
      <c r="L143" s="134" t="s">
        <v>171</v>
      </c>
      <c r="N143" s="134" t="s">
        <v>175</v>
      </c>
      <c r="P143" s="134" t="s">
        <v>171</v>
      </c>
      <c r="Q143" s="134" t="s">
        <v>153</v>
      </c>
      <c r="R143" s="146">
        <v>566.66700000000003</v>
      </c>
      <c r="S143" s="134" t="s">
        <v>154</v>
      </c>
      <c r="T143" s="146">
        <v>566.66700000000003</v>
      </c>
      <c r="U143" s="146"/>
      <c r="V143" s="134" t="s">
        <v>155</v>
      </c>
      <c r="W143" s="147" t="s">
        <v>299</v>
      </c>
      <c r="X143" s="134">
        <v>2021</v>
      </c>
      <c r="Y143" s="151" t="s">
        <v>3291</v>
      </c>
      <c r="AA143" s="160" t="s">
        <v>3289</v>
      </c>
      <c r="AB143" s="163">
        <v>44363</v>
      </c>
      <c r="AC143" s="150">
        <v>45891</v>
      </c>
    </row>
    <row r="144" spans="1:29" ht="15" customHeight="1" x14ac:dyDescent="0.45">
      <c r="A144" s="134" t="s">
        <v>142</v>
      </c>
      <c r="B144" s="134" t="s">
        <v>143</v>
      </c>
      <c r="C144" s="134" t="s">
        <v>144</v>
      </c>
      <c r="D144" s="134" t="s">
        <v>142</v>
      </c>
      <c r="E144" s="134" t="s">
        <v>143</v>
      </c>
      <c r="F144" s="134" t="s">
        <v>166</v>
      </c>
      <c r="G144" s="134" t="s">
        <v>176</v>
      </c>
      <c r="H144" s="134" t="s">
        <v>215</v>
      </c>
      <c r="I144" s="134" t="s">
        <v>171</v>
      </c>
      <c r="J144" s="134" t="s">
        <v>3292</v>
      </c>
      <c r="K144" s="134" t="s">
        <v>3293</v>
      </c>
      <c r="L144" s="134" t="s">
        <v>149</v>
      </c>
      <c r="M144" s="134" t="s">
        <v>391</v>
      </c>
      <c r="N144" s="134" t="s">
        <v>170</v>
      </c>
      <c r="P144" s="134" t="s">
        <v>171</v>
      </c>
      <c r="Q144" s="134" t="s">
        <v>153</v>
      </c>
      <c r="R144" s="146">
        <v>191.18299999999999</v>
      </c>
      <c r="S144" s="134" t="s">
        <v>154</v>
      </c>
      <c r="T144" s="146">
        <v>191.18299999999999</v>
      </c>
      <c r="U144" s="146"/>
      <c r="V144" s="134" t="s">
        <v>155</v>
      </c>
      <c r="W144" s="147" t="s">
        <v>299</v>
      </c>
      <c r="X144" s="134">
        <v>2021</v>
      </c>
      <c r="Y144" s="151" t="s">
        <v>3294</v>
      </c>
      <c r="AA144" s="160" t="s">
        <v>3289</v>
      </c>
      <c r="AB144" s="163">
        <v>44363</v>
      </c>
      <c r="AC144" s="150">
        <v>45891</v>
      </c>
    </row>
    <row r="145" spans="1:29" ht="15" customHeight="1" x14ac:dyDescent="0.45">
      <c r="A145" s="134" t="s">
        <v>142</v>
      </c>
      <c r="B145" s="134" t="s">
        <v>143</v>
      </c>
      <c r="C145" s="134" t="s">
        <v>144</v>
      </c>
      <c r="D145" s="134" t="s">
        <v>142</v>
      </c>
      <c r="E145" s="134" t="s">
        <v>143</v>
      </c>
      <c r="F145" s="134" t="s">
        <v>166</v>
      </c>
      <c r="G145" s="134" t="s">
        <v>146</v>
      </c>
      <c r="H145" s="134" t="s">
        <v>236</v>
      </c>
      <c r="I145" s="134" t="s">
        <v>171</v>
      </c>
      <c r="J145" s="134" t="s">
        <v>3295</v>
      </c>
      <c r="K145" s="134" t="s">
        <v>3295</v>
      </c>
      <c r="L145" s="134" t="s">
        <v>149</v>
      </c>
      <c r="M145" s="134" t="s">
        <v>384</v>
      </c>
      <c r="N145" s="134" t="s">
        <v>170</v>
      </c>
      <c r="P145" s="134" t="s">
        <v>171</v>
      </c>
      <c r="Q145" s="134" t="s">
        <v>153</v>
      </c>
      <c r="R145" s="146">
        <v>72</v>
      </c>
      <c r="S145" s="134" t="s">
        <v>154</v>
      </c>
      <c r="T145" s="146">
        <v>72</v>
      </c>
      <c r="U145" s="146"/>
      <c r="V145" s="134" t="s">
        <v>155</v>
      </c>
      <c r="W145" s="147" t="s">
        <v>299</v>
      </c>
      <c r="X145" s="134">
        <v>2021</v>
      </c>
      <c r="Y145" s="151" t="s">
        <v>3296</v>
      </c>
      <c r="AA145" s="160" t="s">
        <v>3289</v>
      </c>
      <c r="AB145" s="163">
        <v>44363</v>
      </c>
      <c r="AC145" s="150">
        <v>45891</v>
      </c>
    </row>
    <row r="146" spans="1:29" ht="15" customHeight="1" x14ac:dyDescent="0.45">
      <c r="A146" s="134" t="s">
        <v>142</v>
      </c>
      <c r="B146" s="134" t="s">
        <v>143</v>
      </c>
      <c r="C146" s="134" t="s">
        <v>144</v>
      </c>
      <c r="D146" s="134" t="s">
        <v>142</v>
      </c>
      <c r="E146" s="134" t="s">
        <v>143</v>
      </c>
      <c r="F146" s="134" t="s">
        <v>166</v>
      </c>
      <c r="G146" s="134" t="s">
        <v>160</v>
      </c>
      <c r="H146" s="134" t="s">
        <v>161</v>
      </c>
      <c r="I146" s="134" t="s">
        <v>218</v>
      </c>
      <c r="J146" s="134" t="s">
        <v>3210</v>
      </c>
      <c r="K146" s="134" t="s">
        <v>3297</v>
      </c>
      <c r="L146" s="134" t="s">
        <v>149</v>
      </c>
      <c r="N146" s="134" t="s">
        <v>170</v>
      </c>
      <c r="P146" s="134" t="s">
        <v>152</v>
      </c>
      <c r="Q146" s="134" t="s">
        <v>153</v>
      </c>
      <c r="R146" s="146">
        <v>8.4760000000000009</v>
      </c>
      <c r="S146" s="134" t="s">
        <v>154</v>
      </c>
      <c r="T146" s="146">
        <v>8.4760000000000009</v>
      </c>
      <c r="U146" s="146"/>
      <c r="V146" s="134" t="s">
        <v>155</v>
      </c>
      <c r="W146" s="147" t="s">
        <v>299</v>
      </c>
      <c r="X146" s="134">
        <v>2021</v>
      </c>
      <c r="Y146" s="151" t="s">
        <v>3298</v>
      </c>
      <c r="AA146" s="160" t="s">
        <v>3289</v>
      </c>
      <c r="AB146" s="163">
        <v>44363</v>
      </c>
      <c r="AC146" s="150">
        <v>45891</v>
      </c>
    </row>
    <row r="147" spans="1:29" ht="15" customHeight="1" x14ac:dyDescent="0.45">
      <c r="A147" s="134" t="s">
        <v>142</v>
      </c>
      <c r="B147" s="134" t="s">
        <v>143</v>
      </c>
      <c r="C147" s="134" t="s">
        <v>165</v>
      </c>
      <c r="D147" s="134" t="s">
        <v>142</v>
      </c>
      <c r="E147" s="134" t="s">
        <v>143</v>
      </c>
      <c r="F147" s="134" t="s">
        <v>166</v>
      </c>
      <c r="G147" s="134" t="s">
        <v>182</v>
      </c>
      <c r="H147" s="134" t="s">
        <v>386</v>
      </c>
      <c r="I147" s="134" t="s">
        <v>207</v>
      </c>
      <c r="J147" s="134" t="s">
        <v>3299</v>
      </c>
      <c r="K147" s="134" t="s">
        <v>3299</v>
      </c>
      <c r="L147" s="134" t="s">
        <v>171</v>
      </c>
      <c r="M147" s="134" t="s">
        <v>150</v>
      </c>
      <c r="N147" s="134" t="s">
        <v>175</v>
      </c>
      <c r="P147" s="134" t="s">
        <v>171</v>
      </c>
      <c r="Q147" s="134" t="s">
        <v>153</v>
      </c>
      <c r="R147" s="146">
        <v>8.8420000000000005</v>
      </c>
      <c r="S147" s="134" t="s">
        <v>154</v>
      </c>
      <c r="T147" s="146">
        <v>8.8420000000000005</v>
      </c>
      <c r="U147" s="146"/>
      <c r="V147" s="134" t="s">
        <v>155</v>
      </c>
      <c r="W147" s="147" t="s">
        <v>299</v>
      </c>
      <c r="X147" s="134">
        <v>2021</v>
      </c>
      <c r="Y147" s="151" t="s">
        <v>3300</v>
      </c>
      <c r="AA147" s="160" t="s">
        <v>3289</v>
      </c>
      <c r="AB147" s="163">
        <v>44363</v>
      </c>
      <c r="AC147" s="150">
        <v>45891</v>
      </c>
    </row>
    <row r="148" spans="1:29" ht="15" customHeight="1" x14ac:dyDescent="0.45">
      <c r="A148" s="134" t="s">
        <v>142</v>
      </c>
      <c r="B148" s="134" t="s">
        <v>143</v>
      </c>
      <c r="C148" s="134" t="s">
        <v>144</v>
      </c>
      <c r="D148" s="134" t="s">
        <v>142</v>
      </c>
      <c r="E148" s="134" t="s">
        <v>143</v>
      </c>
      <c r="F148" s="134" t="s">
        <v>166</v>
      </c>
      <c r="G148" s="134" t="s">
        <v>167</v>
      </c>
      <c r="H148" s="134" t="s">
        <v>403</v>
      </c>
      <c r="I148" s="134" t="s">
        <v>171</v>
      </c>
      <c r="J148" s="134" t="s">
        <v>3301</v>
      </c>
      <c r="K148" s="134" t="s">
        <v>3301</v>
      </c>
      <c r="L148" s="134" t="s">
        <v>171</v>
      </c>
      <c r="N148" s="134" t="s">
        <v>151</v>
      </c>
      <c r="O148" s="134">
        <v>17</v>
      </c>
      <c r="P148" s="134" t="s">
        <v>171</v>
      </c>
      <c r="Q148" s="134" t="s">
        <v>153</v>
      </c>
      <c r="R148" s="146">
        <v>3.4470000000000001</v>
      </c>
      <c r="S148" s="134" t="s">
        <v>154</v>
      </c>
      <c r="T148" s="146">
        <v>3.4470000000000001</v>
      </c>
      <c r="U148" s="146"/>
      <c r="V148" s="134" t="s">
        <v>155</v>
      </c>
      <c r="W148" s="147" t="s">
        <v>299</v>
      </c>
      <c r="X148" s="134">
        <v>2021</v>
      </c>
      <c r="Y148" s="151" t="s">
        <v>3302</v>
      </c>
      <c r="AA148" s="160" t="s">
        <v>3309</v>
      </c>
      <c r="AB148" s="163">
        <v>44364</v>
      </c>
      <c r="AC148" s="150">
        <v>45891</v>
      </c>
    </row>
    <row r="149" spans="1:29" ht="15" customHeight="1" x14ac:dyDescent="0.45">
      <c r="A149" s="134" t="s">
        <v>142</v>
      </c>
      <c r="B149" s="134" t="s">
        <v>143</v>
      </c>
      <c r="C149" s="134" t="s">
        <v>144</v>
      </c>
      <c r="D149" s="134" t="s">
        <v>142</v>
      </c>
      <c r="E149" s="134" t="s">
        <v>143</v>
      </c>
      <c r="F149" s="134" t="s">
        <v>166</v>
      </c>
      <c r="G149" s="134" t="s">
        <v>167</v>
      </c>
      <c r="H149" s="134" t="s">
        <v>213</v>
      </c>
      <c r="I149" s="134" t="s">
        <v>171</v>
      </c>
      <c r="J149" s="134" t="s">
        <v>3303</v>
      </c>
      <c r="K149" s="134" t="s">
        <v>3303</v>
      </c>
      <c r="L149" s="134" t="s">
        <v>171</v>
      </c>
      <c r="M149" s="134" t="s">
        <v>384</v>
      </c>
      <c r="N149" s="134" t="s">
        <v>151</v>
      </c>
      <c r="O149" s="134">
        <v>60</v>
      </c>
      <c r="P149" s="134" t="s">
        <v>171</v>
      </c>
      <c r="Q149" s="134" t="s">
        <v>153</v>
      </c>
      <c r="R149" s="146">
        <v>236.553</v>
      </c>
      <c r="S149" s="134" t="s">
        <v>154</v>
      </c>
      <c r="T149" s="146">
        <v>236.553</v>
      </c>
      <c r="U149" s="146"/>
      <c r="V149" s="134" t="s">
        <v>155</v>
      </c>
      <c r="W149" s="147" t="s">
        <v>299</v>
      </c>
      <c r="X149" s="134">
        <v>2021</v>
      </c>
      <c r="Y149" s="151" t="s">
        <v>3302</v>
      </c>
      <c r="Z149" s="134" t="s">
        <v>3304</v>
      </c>
      <c r="AA149" s="160" t="s">
        <v>3309</v>
      </c>
      <c r="AB149" s="163">
        <v>44364</v>
      </c>
      <c r="AC149" s="150">
        <v>45891</v>
      </c>
    </row>
    <row r="150" spans="1:29" ht="15" customHeight="1" x14ac:dyDescent="0.45">
      <c r="A150" s="134" t="s">
        <v>142</v>
      </c>
      <c r="B150" s="134" t="s">
        <v>143</v>
      </c>
      <c r="C150" s="134" t="s">
        <v>144</v>
      </c>
      <c r="D150" s="134" t="s">
        <v>142</v>
      </c>
      <c r="E150" s="134" t="s">
        <v>143</v>
      </c>
      <c r="F150" s="134" t="s">
        <v>166</v>
      </c>
      <c r="G150" s="134" t="s">
        <v>206</v>
      </c>
      <c r="H150" s="134" t="s">
        <v>211</v>
      </c>
      <c r="I150" s="134" t="s">
        <v>171</v>
      </c>
      <c r="J150" s="134" t="s">
        <v>3305</v>
      </c>
      <c r="K150" s="134" t="s">
        <v>3305</v>
      </c>
      <c r="L150" s="134" t="s">
        <v>171</v>
      </c>
      <c r="M150" s="134" t="s">
        <v>517</v>
      </c>
      <c r="N150" s="134" t="s">
        <v>3</v>
      </c>
      <c r="P150" s="134" t="s">
        <v>171</v>
      </c>
      <c r="Q150" s="134" t="s">
        <v>153</v>
      </c>
      <c r="R150" s="146">
        <v>53.805</v>
      </c>
      <c r="S150" s="134" t="s">
        <v>154</v>
      </c>
      <c r="T150" s="146">
        <v>53.805</v>
      </c>
      <c r="U150" s="146"/>
      <c r="V150" s="134" t="s">
        <v>155</v>
      </c>
      <c r="W150" s="147" t="s">
        <v>299</v>
      </c>
      <c r="X150" s="134">
        <v>2021</v>
      </c>
      <c r="Y150" s="151" t="s">
        <v>3306</v>
      </c>
      <c r="AA150" s="160" t="s">
        <v>3309</v>
      </c>
      <c r="AB150" s="163">
        <v>44364</v>
      </c>
      <c r="AC150" s="150">
        <v>45891</v>
      </c>
    </row>
    <row r="151" spans="1:29" ht="15" customHeight="1" x14ac:dyDescent="0.45">
      <c r="A151" s="134" t="s">
        <v>142</v>
      </c>
      <c r="B151" s="134" t="s">
        <v>143</v>
      </c>
      <c r="C151" s="134" t="s">
        <v>144</v>
      </c>
      <c r="D151" s="134" t="s">
        <v>142</v>
      </c>
      <c r="E151" s="134" t="s">
        <v>143</v>
      </c>
      <c r="F151" s="134" t="s">
        <v>166</v>
      </c>
      <c r="G151" s="134" t="s">
        <v>160</v>
      </c>
      <c r="H151" s="134" t="s">
        <v>161</v>
      </c>
      <c r="I151" s="134" t="s">
        <v>321</v>
      </c>
      <c r="J151" s="134" t="s">
        <v>3307</v>
      </c>
      <c r="K151" s="134" t="s">
        <v>3307</v>
      </c>
      <c r="L151" s="134" t="s">
        <v>179</v>
      </c>
      <c r="M151" s="134" t="s">
        <v>665</v>
      </c>
      <c r="N151" s="134" t="s">
        <v>170</v>
      </c>
      <c r="P151" s="134" t="s">
        <v>171</v>
      </c>
      <c r="Q151" s="134" t="s">
        <v>153</v>
      </c>
      <c r="R151" s="146">
        <v>12.513999999999999</v>
      </c>
      <c r="S151" s="134" t="s">
        <v>154</v>
      </c>
      <c r="T151" s="146">
        <v>12.513999999999999</v>
      </c>
      <c r="U151" s="146"/>
      <c r="V151" s="134" t="s">
        <v>155</v>
      </c>
      <c r="W151" s="147" t="s">
        <v>299</v>
      </c>
      <c r="X151" s="134">
        <v>2021</v>
      </c>
      <c r="Y151" s="151" t="s">
        <v>3308</v>
      </c>
      <c r="Z151" s="134" t="s">
        <v>3310</v>
      </c>
      <c r="AA151" s="160" t="s">
        <v>3309</v>
      </c>
      <c r="AB151" s="163">
        <v>44364</v>
      </c>
      <c r="AC151" s="150">
        <v>45891</v>
      </c>
    </row>
    <row r="152" spans="1:29" ht="15" customHeight="1" x14ac:dyDescent="0.45">
      <c r="A152" s="134" t="s">
        <v>142</v>
      </c>
      <c r="B152" s="134" t="s">
        <v>143</v>
      </c>
      <c r="C152" s="134" t="s">
        <v>144</v>
      </c>
      <c r="D152" s="134" t="s">
        <v>142</v>
      </c>
      <c r="E152" s="134" t="s">
        <v>143</v>
      </c>
      <c r="F152" s="134" t="s">
        <v>166</v>
      </c>
      <c r="G152" s="134" t="s">
        <v>146</v>
      </c>
      <c r="H152" s="134" t="s">
        <v>231</v>
      </c>
      <c r="I152" s="134" t="s">
        <v>232</v>
      </c>
      <c r="J152" s="134" t="s">
        <v>3311</v>
      </c>
      <c r="K152" s="134" t="s">
        <v>3312</v>
      </c>
      <c r="L152" s="134" t="s">
        <v>149</v>
      </c>
      <c r="M152" s="134" t="s">
        <v>455</v>
      </c>
      <c r="N152" s="134" t="s">
        <v>151</v>
      </c>
      <c r="O152" s="134">
        <v>11</v>
      </c>
      <c r="P152" s="134" t="s">
        <v>171</v>
      </c>
      <c r="Q152" s="134" t="s">
        <v>153</v>
      </c>
      <c r="R152" s="146">
        <v>10.605</v>
      </c>
      <c r="S152" s="134" t="s">
        <v>154</v>
      </c>
      <c r="T152" s="146">
        <v>10.605</v>
      </c>
      <c r="U152" s="146"/>
      <c r="V152" s="134" t="s">
        <v>155</v>
      </c>
      <c r="W152" s="147" t="s">
        <v>299</v>
      </c>
      <c r="X152" s="134">
        <v>2021</v>
      </c>
      <c r="Y152" s="151" t="s">
        <v>3313</v>
      </c>
      <c r="AA152" s="160" t="s">
        <v>3309</v>
      </c>
      <c r="AB152" s="163">
        <v>44364</v>
      </c>
      <c r="AC152" s="150">
        <v>45891</v>
      </c>
    </row>
    <row r="153" spans="1:29" ht="15" customHeight="1" x14ac:dyDescent="0.45">
      <c r="A153" s="134" t="s">
        <v>142</v>
      </c>
      <c r="B153" s="134" t="s">
        <v>143</v>
      </c>
      <c r="C153" s="134" t="s">
        <v>144</v>
      </c>
      <c r="D153" s="134" t="s">
        <v>142</v>
      </c>
      <c r="E153" s="134" t="s">
        <v>143</v>
      </c>
      <c r="F153" s="134" t="s">
        <v>166</v>
      </c>
      <c r="G153" s="134" t="s">
        <v>146</v>
      </c>
      <c r="H153" s="134" t="s">
        <v>231</v>
      </c>
      <c r="I153" s="134" t="s">
        <v>301</v>
      </c>
      <c r="J153" s="134" t="s">
        <v>3092</v>
      </c>
      <c r="K153" s="134" t="s">
        <v>3314</v>
      </c>
      <c r="L153" s="134" t="s">
        <v>149</v>
      </c>
      <c r="M153" s="134" t="s">
        <v>199</v>
      </c>
      <c r="N153" s="134" t="s">
        <v>151</v>
      </c>
      <c r="O153" s="134">
        <v>13</v>
      </c>
      <c r="P153" s="134" t="s">
        <v>171</v>
      </c>
      <c r="Q153" s="134" t="s">
        <v>153</v>
      </c>
      <c r="R153" s="146">
        <v>9.0809999999999995</v>
      </c>
      <c r="S153" s="134" t="s">
        <v>154</v>
      </c>
      <c r="T153" s="146">
        <v>9.0809999999999995</v>
      </c>
      <c r="U153" s="146"/>
      <c r="V153" s="134" t="s">
        <v>155</v>
      </c>
      <c r="W153" s="147" t="s">
        <v>299</v>
      </c>
      <c r="X153" s="134">
        <v>2021</v>
      </c>
      <c r="Y153" s="151" t="s">
        <v>3315</v>
      </c>
      <c r="AA153" s="160" t="s">
        <v>3309</v>
      </c>
      <c r="AB153" s="163">
        <v>44364</v>
      </c>
      <c r="AC153" s="150">
        <v>45891</v>
      </c>
    </row>
    <row r="154" spans="1:29" ht="15" customHeight="1" x14ac:dyDescent="0.45">
      <c r="A154" s="134" t="s">
        <v>142</v>
      </c>
      <c r="B154" s="134" t="s">
        <v>143</v>
      </c>
      <c r="C154" s="134" t="s">
        <v>165</v>
      </c>
      <c r="D154" s="134" t="s">
        <v>142</v>
      </c>
      <c r="E154" s="134" t="s">
        <v>143</v>
      </c>
      <c r="F154" s="134" t="s">
        <v>166</v>
      </c>
      <c r="G154" s="134" t="s">
        <v>167</v>
      </c>
      <c r="H154" s="134" t="s">
        <v>207</v>
      </c>
      <c r="I154" s="134" t="s">
        <v>171</v>
      </c>
      <c r="J154" s="134" t="s">
        <v>3316</v>
      </c>
      <c r="K154" s="134" t="s">
        <v>3316</v>
      </c>
      <c r="L154" s="134" t="s">
        <v>171</v>
      </c>
      <c r="N154" s="134" t="s">
        <v>170</v>
      </c>
      <c r="P154" s="134" t="s">
        <v>171</v>
      </c>
      <c r="Q154" s="134" t="s">
        <v>153</v>
      </c>
      <c r="R154" s="146">
        <v>200</v>
      </c>
      <c r="S154" s="134" t="s">
        <v>154</v>
      </c>
      <c r="T154" s="146">
        <v>200</v>
      </c>
      <c r="U154" s="146"/>
      <c r="V154" s="134" t="s">
        <v>155</v>
      </c>
      <c r="W154" s="147" t="s">
        <v>299</v>
      </c>
      <c r="X154" s="134">
        <v>2021</v>
      </c>
      <c r="Y154" s="151" t="s">
        <v>3317</v>
      </c>
      <c r="AA154" s="160" t="s">
        <v>3309</v>
      </c>
      <c r="AB154" s="163">
        <v>44364</v>
      </c>
      <c r="AC154" s="150">
        <v>45891</v>
      </c>
    </row>
    <row r="155" spans="1:29" ht="15" customHeight="1" x14ac:dyDescent="0.45">
      <c r="A155" s="134" t="s">
        <v>142</v>
      </c>
      <c r="B155" s="134" t="s">
        <v>143</v>
      </c>
      <c r="C155" s="134" t="s">
        <v>189</v>
      </c>
      <c r="D155" s="134" t="s">
        <v>142</v>
      </c>
      <c r="E155" s="134" t="s">
        <v>143</v>
      </c>
      <c r="F155" s="134" t="s">
        <v>166</v>
      </c>
      <c r="G155" s="134" t="s">
        <v>182</v>
      </c>
      <c r="H155" s="134" t="s">
        <v>307</v>
      </c>
      <c r="I155" s="134" t="s">
        <v>308</v>
      </c>
      <c r="J155" s="134" t="s">
        <v>3318</v>
      </c>
      <c r="K155" s="134" t="s">
        <v>3319</v>
      </c>
      <c r="L155" s="134" t="s">
        <v>171</v>
      </c>
      <c r="M155" s="134" t="s">
        <v>309</v>
      </c>
      <c r="N155" s="134" t="s">
        <v>151</v>
      </c>
      <c r="O155" s="134">
        <v>61</v>
      </c>
      <c r="P155" s="134" t="s">
        <v>171</v>
      </c>
      <c r="Q155" s="134" t="s">
        <v>153</v>
      </c>
      <c r="R155" s="146">
        <v>56.088000000000001</v>
      </c>
      <c r="S155" s="134" t="s">
        <v>154</v>
      </c>
      <c r="T155" s="146">
        <v>56.088000000000001</v>
      </c>
      <c r="U155" s="146"/>
      <c r="V155" s="134" t="s">
        <v>155</v>
      </c>
      <c r="W155" s="147" t="s">
        <v>299</v>
      </c>
      <c r="X155" s="134">
        <v>2021</v>
      </c>
      <c r="Y155" s="151" t="s">
        <v>3320</v>
      </c>
      <c r="AA155" s="160" t="s">
        <v>3309</v>
      </c>
      <c r="AB155" s="163">
        <v>44364</v>
      </c>
      <c r="AC155" s="150">
        <v>45891</v>
      </c>
    </row>
    <row r="156" spans="1:29" ht="15" customHeight="1" x14ac:dyDescent="0.45">
      <c r="A156" s="134" t="s">
        <v>142</v>
      </c>
      <c r="B156" s="134" t="s">
        <v>143</v>
      </c>
      <c r="C156" s="134" t="s">
        <v>189</v>
      </c>
      <c r="D156" s="134" t="s">
        <v>142</v>
      </c>
      <c r="E156" s="134" t="s">
        <v>143</v>
      </c>
      <c r="F156" s="134" t="s">
        <v>166</v>
      </c>
      <c r="G156" s="134" t="s">
        <v>167</v>
      </c>
      <c r="H156" s="134" t="s">
        <v>213</v>
      </c>
      <c r="I156" s="134" t="s">
        <v>171</v>
      </c>
      <c r="J156" s="134" t="s">
        <v>3321</v>
      </c>
      <c r="K156" s="134" t="s">
        <v>3321</v>
      </c>
      <c r="L156" s="134" t="s">
        <v>171</v>
      </c>
      <c r="M156" s="134" t="s">
        <v>583</v>
      </c>
      <c r="N156" s="134" t="s">
        <v>170</v>
      </c>
      <c r="P156" s="134" t="s">
        <v>171</v>
      </c>
      <c r="Q156" s="134" t="s">
        <v>153</v>
      </c>
      <c r="R156" s="146">
        <v>46.420999999999999</v>
      </c>
      <c r="S156" s="134" t="s">
        <v>154</v>
      </c>
      <c r="T156" s="146">
        <v>46.420999999999999</v>
      </c>
      <c r="U156" s="146"/>
      <c r="V156" s="134" t="s">
        <v>155</v>
      </c>
      <c r="W156" s="147" t="s">
        <v>299</v>
      </c>
      <c r="X156" s="134">
        <v>2021</v>
      </c>
      <c r="Y156" s="151" t="s">
        <v>3322</v>
      </c>
      <c r="AA156" s="160" t="s">
        <v>3309</v>
      </c>
      <c r="AB156" s="163">
        <v>44364</v>
      </c>
      <c r="AC156" s="150">
        <v>45891</v>
      </c>
    </row>
    <row r="157" spans="1:29" ht="15" customHeight="1" x14ac:dyDescent="0.45">
      <c r="A157" s="134" t="s">
        <v>142</v>
      </c>
      <c r="B157" s="134" t="s">
        <v>143</v>
      </c>
      <c r="C157" s="134" t="s">
        <v>189</v>
      </c>
      <c r="D157" s="134" t="s">
        <v>142</v>
      </c>
      <c r="E157" s="134" t="s">
        <v>143</v>
      </c>
      <c r="F157" s="134" t="s">
        <v>166</v>
      </c>
      <c r="G157" s="134" t="s">
        <v>160</v>
      </c>
      <c r="H157" s="134" t="s">
        <v>221</v>
      </c>
      <c r="I157" s="134" t="s">
        <v>261</v>
      </c>
      <c r="J157" s="134" t="s">
        <v>3179</v>
      </c>
      <c r="K157" s="134" t="s">
        <v>3179</v>
      </c>
      <c r="L157" s="134" t="s">
        <v>149</v>
      </c>
      <c r="M157" s="134" t="s">
        <v>262</v>
      </c>
      <c r="N157" s="134" t="s">
        <v>170</v>
      </c>
      <c r="P157" s="134">
        <v>12</v>
      </c>
      <c r="Q157" s="134" t="s">
        <v>153</v>
      </c>
      <c r="R157" s="146">
        <v>32.576999999999998</v>
      </c>
      <c r="S157" s="134" t="s">
        <v>154</v>
      </c>
      <c r="T157" s="146">
        <v>32.576999999999998</v>
      </c>
      <c r="U157" s="146"/>
      <c r="V157" s="134" t="s">
        <v>155</v>
      </c>
      <c r="W157" s="147" t="s">
        <v>299</v>
      </c>
      <c r="X157" s="134">
        <v>2021</v>
      </c>
      <c r="Y157" s="151" t="s">
        <v>3324</v>
      </c>
      <c r="AA157" s="160" t="s">
        <v>3309</v>
      </c>
      <c r="AB157" s="163">
        <v>44364</v>
      </c>
      <c r="AC157" s="150">
        <v>45891</v>
      </c>
    </row>
    <row r="158" spans="1:29" ht="15" customHeight="1" x14ac:dyDescent="0.45">
      <c r="A158" s="134" t="s">
        <v>142</v>
      </c>
      <c r="B158" s="134" t="s">
        <v>143</v>
      </c>
      <c r="C158" s="134" t="s">
        <v>189</v>
      </c>
      <c r="D158" s="134" t="s">
        <v>142</v>
      </c>
      <c r="E158" s="134" t="s">
        <v>143</v>
      </c>
      <c r="F158" s="134" t="s">
        <v>166</v>
      </c>
      <c r="G158" s="134" t="s">
        <v>160</v>
      </c>
      <c r="H158" s="134" t="s">
        <v>221</v>
      </c>
      <c r="I158" s="134" t="s">
        <v>261</v>
      </c>
      <c r="J158" s="134" t="s">
        <v>3179</v>
      </c>
      <c r="K158" s="134" t="s">
        <v>3323</v>
      </c>
      <c r="L158" s="134" t="s">
        <v>149</v>
      </c>
      <c r="M158" s="134" t="s">
        <v>262</v>
      </c>
      <c r="N158" s="134" t="s">
        <v>170</v>
      </c>
      <c r="P158" s="134">
        <v>6</v>
      </c>
      <c r="Q158" s="134" t="s">
        <v>153</v>
      </c>
      <c r="R158" s="146"/>
      <c r="T158" s="146"/>
      <c r="U158" s="146"/>
      <c r="V158" s="134" t="s">
        <v>155</v>
      </c>
      <c r="W158" s="147" t="s">
        <v>299</v>
      </c>
      <c r="X158" s="134">
        <v>2021</v>
      </c>
      <c r="Y158" s="151" t="s">
        <v>3324</v>
      </c>
      <c r="Z158" s="134" t="s">
        <v>3325</v>
      </c>
      <c r="AA158" s="160" t="s">
        <v>3309</v>
      </c>
      <c r="AB158" s="163">
        <v>44364</v>
      </c>
      <c r="AC158" s="150">
        <v>45891</v>
      </c>
    </row>
    <row r="159" spans="1:29" ht="15" customHeight="1" x14ac:dyDescent="0.45">
      <c r="A159" s="165" t="s">
        <v>142</v>
      </c>
      <c r="B159" s="134" t="s">
        <v>143</v>
      </c>
      <c r="C159" s="134" t="s">
        <v>189</v>
      </c>
      <c r="D159" s="134" t="s">
        <v>142</v>
      </c>
      <c r="E159" s="134" t="s">
        <v>143</v>
      </c>
      <c r="F159" s="134" t="s">
        <v>166</v>
      </c>
      <c r="G159" s="134" t="s">
        <v>176</v>
      </c>
      <c r="H159" s="134" t="s">
        <v>259</v>
      </c>
      <c r="I159" s="134" t="s">
        <v>264</v>
      </c>
      <c r="J159" s="134" t="s">
        <v>3326</v>
      </c>
      <c r="K159" s="134" t="s">
        <v>3268</v>
      </c>
      <c r="L159" s="134" t="s">
        <v>171</v>
      </c>
      <c r="M159" s="134" t="s">
        <v>210</v>
      </c>
      <c r="N159" s="134" t="s">
        <v>398</v>
      </c>
      <c r="P159" s="134" t="s">
        <v>171</v>
      </c>
      <c r="Q159" s="134" t="s">
        <v>153</v>
      </c>
      <c r="R159" s="146">
        <v>9.3940000000000001</v>
      </c>
      <c r="S159" s="134" t="s">
        <v>154</v>
      </c>
      <c r="T159" s="146">
        <v>9.3940000000000001</v>
      </c>
      <c r="U159" s="146"/>
      <c r="V159" s="134" t="s">
        <v>155</v>
      </c>
      <c r="W159" s="147" t="s">
        <v>299</v>
      </c>
      <c r="X159" s="134">
        <v>2021</v>
      </c>
      <c r="Y159" s="151" t="s">
        <v>3327</v>
      </c>
      <c r="AA159" s="160" t="s">
        <v>3309</v>
      </c>
      <c r="AB159" s="163">
        <v>44364</v>
      </c>
      <c r="AC159" s="150">
        <v>45894</v>
      </c>
    </row>
    <row r="160" spans="1:29" ht="15" customHeight="1" x14ac:dyDescent="0.45">
      <c r="A160" s="134" t="s">
        <v>142</v>
      </c>
      <c r="B160" s="134" t="s">
        <v>143</v>
      </c>
      <c r="C160" s="134" t="s">
        <v>189</v>
      </c>
      <c r="D160" s="134" t="s">
        <v>142</v>
      </c>
      <c r="E160" s="134" t="s">
        <v>143</v>
      </c>
      <c r="F160" s="134" t="s">
        <v>166</v>
      </c>
      <c r="G160" s="134" t="s">
        <v>160</v>
      </c>
      <c r="H160" s="134" t="s">
        <v>221</v>
      </c>
      <c r="I160" s="134" t="s">
        <v>261</v>
      </c>
      <c r="J160" s="134" t="s">
        <v>3179</v>
      </c>
      <c r="K160" s="134" t="s">
        <v>3179</v>
      </c>
      <c r="L160" s="134" t="s">
        <v>149</v>
      </c>
      <c r="M160" s="134" t="s">
        <v>262</v>
      </c>
      <c r="N160" s="134" t="s">
        <v>170</v>
      </c>
      <c r="P160" s="134" t="s">
        <v>152</v>
      </c>
      <c r="Q160" s="134" t="s">
        <v>153</v>
      </c>
      <c r="R160" s="146">
        <v>169.46</v>
      </c>
      <c r="S160" s="134" t="s">
        <v>154</v>
      </c>
      <c r="T160" s="146">
        <v>169.46</v>
      </c>
      <c r="U160" s="146"/>
      <c r="V160" s="134" t="s">
        <v>155</v>
      </c>
      <c r="W160" s="147" t="s">
        <v>299</v>
      </c>
      <c r="X160" s="134">
        <v>2021</v>
      </c>
      <c r="Y160" s="151" t="s">
        <v>3329</v>
      </c>
      <c r="AA160" s="160" t="s">
        <v>3328</v>
      </c>
      <c r="AB160" s="163">
        <v>44368</v>
      </c>
      <c r="AC160" s="150">
        <v>45894</v>
      </c>
    </row>
    <row r="161" spans="1:29" ht="15" customHeight="1" x14ac:dyDescent="0.45">
      <c r="A161" s="134" t="s">
        <v>142</v>
      </c>
      <c r="B161" s="134" t="s">
        <v>143</v>
      </c>
      <c r="C161" s="134" t="s">
        <v>144</v>
      </c>
      <c r="D161" s="134" t="s">
        <v>142</v>
      </c>
      <c r="E161" s="134" t="s">
        <v>143</v>
      </c>
      <c r="F161" s="134" t="s">
        <v>166</v>
      </c>
      <c r="G161" s="134" t="s">
        <v>152</v>
      </c>
      <c r="H161" s="134" t="s">
        <v>171</v>
      </c>
      <c r="I161" s="134" t="s">
        <v>171</v>
      </c>
      <c r="J161" s="134" t="s">
        <v>3087</v>
      </c>
      <c r="K161" s="134" t="s">
        <v>3087</v>
      </c>
      <c r="L161" s="134" t="s">
        <v>171</v>
      </c>
      <c r="M161" s="134" t="s">
        <v>1396</v>
      </c>
      <c r="N161" s="134" t="s">
        <v>170</v>
      </c>
      <c r="P161" s="134" t="s">
        <v>171</v>
      </c>
      <c r="Q161" s="134" t="s">
        <v>153</v>
      </c>
      <c r="R161" s="146">
        <v>155.30000000000001</v>
      </c>
      <c r="S161" s="134" t="s">
        <v>154</v>
      </c>
      <c r="T161" s="146">
        <v>155.30000000000001</v>
      </c>
      <c r="U161" s="146"/>
      <c r="V161" s="134" t="s">
        <v>155</v>
      </c>
      <c r="W161" s="147" t="s">
        <v>299</v>
      </c>
      <c r="X161" s="134">
        <v>2021</v>
      </c>
      <c r="Y161" s="151" t="s">
        <v>3330</v>
      </c>
      <c r="AA161" s="160" t="s">
        <v>3328</v>
      </c>
      <c r="AB161" s="163">
        <v>44368</v>
      </c>
      <c r="AC161" s="150">
        <v>45894</v>
      </c>
    </row>
    <row r="162" spans="1:29" ht="15" customHeight="1" x14ac:dyDescent="0.45">
      <c r="A162" s="134" t="s">
        <v>142</v>
      </c>
      <c r="B162" s="134" t="s">
        <v>143</v>
      </c>
      <c r="C162" s="134" t="s">
        <v>144</v>
      </c>
      <c r="D162" s="134" t="s">
        <v>142</v>
      </c>
      <c r="E162" s="134" t="s">
        <v>143</v>
      </c>
      <c r="F162" s="134" t="s">
        <v>166</v>
      </c>
      <c r="G162" s="134" t="s">
        <v>152</v>
      </c>
      <c r="H162" s="134" t="s">
        <v>171</v>
      </c>
      <c r="I162" s="134" t="s">
        <v>171</v>
      </c>
      <c r="J162" s="134" t="s">
        <v>3087</v>
      </c>
      <c r="K162" s="134" t="s">
        <v>3087</v>
      </c>
      <c r="L162" s="134" t="s">
        <v>171</v>
      </c>
      <c r="N162" s="134" t="s">
        <v>170</v>
      </c>
      <c r="P162" s="134" t="s">
        <v>171</v>
      </c>
      <c r="Q162" s="134" t="s">
        <v>153</v>
      </c>
      <c r="R162" s="146">
        <v>161.5</v>
      </c>
      <c r="S162" s="134" t="s">
        <v>154</v>
      </c>
      <c r="T162" s="146">
        <v>161.5</v>
      </c>
      <c r="U162" s="146"/>
      <c r="V162" s="134" t="s">
        <v>155</v>
      </c>
      <c r="W162" s="147" t="s">
        <v>299</v>
      </c>
      <c r="X162" s="134">
        <v>2021</v>
      </c>
      <c r="Y162" s="151" t="s">
        <v>3330</v>
      </c>
      <c r="AA162" s="160" t="s">
        <v>3328</v>
      </c>
      <c r="AB162" s="163">
        <v>44368</v>
      </c>
      <c r="AC162" s="150">
        <v>45894</v>
      </c>
    </row>
    <row r="163" spans="1:29" ht="15" customHeight="1" x14ac:dyDescent="0.45">
      <c r="A163" s="134" t="s">
        <v>142</v>
      </c>
      <c r="B163" s="134" t="s">
        <v>143</v>
      </c>
      <c r="C163" s="134" t="s">
        <v>144</v>
      </c>
      <c r="D163" s="134" t="s">
        <v>142</v>
      </c>
      <c r="E163" s="134" t="s">
        <v>143</v>
      </c>
      <c r="F163" s="134" t="s">
        <v>166</v>
      </c>
      <c r="G163" s="134" t="s">
        <v>160</v>
      </c>
      <c r="H163" s="134" t="s">
        <v>161</v>
      </c>
      <c r="I163" s="134" t="s">
        <v>218</v>
      </c>
      <c r="J163" s="134" t="s">
        <v>3331</v>
      </c>
      <c r="K163" s="134" t="s">
        <v>3332</v>
      </c>
      <c r="L163" s="134" t="s">
        <v>149</v>
      </c>
      <c r="M163" s="134" t="s">
        <v>399</v>
      </c>
      <c r="N163" s="134" t="s">
        <v>170</v>
      </c>
      <c r="P163" s="134">
        <v>3</v>
      </c>
      <c r="Q163" s="134" t="s">
        <v>153</v>
      </c>
      <c r="R163" s="146">
        <v>356.00700000000001</v>
      </c>
      <c r="S163" s="134" t="s">
        <v>154</v>
      </c>
      <c r="T163" s="146">
        <v>356.00700000000001</v>
      </c>
      <c r="U163" s="146"/>
      <c r="V163" s="134" t="s">
        <v>155</v>
      </c>
      <c r="W163" s="147" t="s">
        <v>299</v>
      </c>
      <c r="X163" s="134">
        <v>2021</v>
      </c>
      <c r="Y163" s="151" t="s">
        <v>3333</v>
      </c>
      <c r="AA163" s="160" t="s">
        <v>3328</v>
      </c>
      <c r="AB163" s="163">
        <v>44368</v>
      </c>
      <c r="AC163" s="150">
        <v>45894</v>
      </c>
    </row>
    <row r="164" spans="1:29" ht="15" customHeight="1" x14ac:dyDescent="0.45">
      <c r="A164" s="134" t="s">
        <v>157</v>
      </c>
      <c r="B164" s="134" t="s">
        <v>460</v>
      </c>
      <c r="C164" s="134" t="s">
        <v>144</v>
      </c>
      <c r="D164" s="134" t="s">
        <v>142</v>
      </c>
      <c r="E164" s="134" t="s">
        <v>143</v>
      </c>
      <c r="F164" s="134" t="s">
        <v>145</v>
      </c>
      <c r="G164" s="134" t="s">
        <v>160</v>
      </c>
      <c r="H164" s="134" t="s">
        <v>161</v>
      </c>
      <c r="I164" s="134" t="s">
        <v>218</v>
      </c>
      <c r="J164" s="134" t="s">
        <v>3331</v>
      </c>
      <c r="K164" s="134" t="s">
        <v>3332</v>
      </c>
      <c r="L164" s="134" t="s">
        <v>149</v>
      </c>
      <c r="M164" s="134" t="s">
        <v>399</v>
      </c>
      <c r="N164" s="134" t="s">
        <v>170</v>
      </c>
      <c r="P164" s="134"/>
      <c r="Q164" s="134" t="s">
        <v>153</v>
      </c>
      <c r="R164" s="146">
        <v>116.46299999999999</v>
      </c>
      <c r="S164" s="134" t="s">
        <v>154</v>
      </c>
      <c r="T164" s="146">
        <v>116.46299999999999</v>
      </c>
      <c r="U164" s="146"/>
      <c r="V164" s="134" t="s">
        <v>181</v>
      </c>
      <c r="W164" s="147" t="s">
        <v>299</v>
      </c>
      <c r="X164" s="134">
        <v>2021</v>
      </c>
      <c r="Y164" s="151" t="s">
        <v>3333</v>
      </c>
      <c r="Z164" s="134" t="s">
        <v>3334</v>
      </c>
      <c r="AA164" s="160" t="s">
        <v>3328</v>
      </c>
      <c r="AB164" s="163">
        <v>44368</v>
      </c>
      <c r="AC164" s="150">
        <v>45894</v>
      </c>
    </row>
    <row r="165" spans="1:29" ht="15" customHeight="1" x14ac:dyDescent="0.45">
      <c r="A165" s="134" t="s">
        <v>157</v>
      </c>
      <c r="B165" s="134" t="s">
        <v>394</v>
      </c>
      <c r="C165" s="134" t="s">
        <v>144</v>
      </c>
      <c r="D165" s="134" t="s">
        <v>142</v>
      </c>
      <c r="E165" s="134" t="s">
        <v>143</v>
      </c>
      <c r="F165" s="134" t="s">
        <v>145</v>
      </c>
      <c r="G165" s="134" t="s">
        <v>160</v>
      </c>
      <c r="H165" s="134" t="s">
        <v>161</v>
      </c>
      <c r="I165" s="134" t="s">
        <v>218</v>
      </c>
      <c r="J165" s="134" t="s">
        <v>3331</v>
      </c>
      <c r="K165" s="134" t="s">
        <v>3332</v>
      </c>
      <c r="L165" s="134" t="s">
        <v>149</v>
      </c>
      <c r="M165" s="134" t="s">
        <v>399</v>
      </c>
      <c r="N165" s="134" t="s">
        <v>170</v>
      </c>
      <c r="P165" s="134"/>
      <c r="Q165" s="134" t="s">
        <v>153</v>
      </c>
      <c r="R165" s="146"/>
      <c r="T165" s="146"/>
      <c r="U165" s="146"/>
      <c r="V165" s="134" t="s">
        <v>181</v>
      </c>
      <c r="W165" s="147" t="s">
        <v>299</v>
      </c>
      <c r="X165" s="134">
        <v>2021</v>
      </c>
      <c r="Y165" s="151" t="s">
        <v>3333</v>
      </c>
      <c r="Z165" s="134" t="s">
        <v>3334</v>
      </c>
      <c r="AA165" s="160" t="s">
        <v>3328</v>
      </c>
      <c r="AB165" s="163">
        <v>44368</v>
      </c>
      <c r="AC165" s="150">
        <v>45894</v>
      </c>
    </row>
    <row r="166" spans="1:29" ht="15" customHeight="1" x14ac:dyDescent="0.45">
      <c r="A166" s="167" t="s">
        <v>142</v>
      </c>
      <c r="B166" s="134" t="s">
        <v>143</v>
      </c>
      <c r="C166" s="134" t="s">
        <v>144</v>
      </c>
      <c r="D166" s="134" t="s">
        <v>142</v>
      </c>
      <c r="E166" s="134" t="s">
        <v>143</v>
      </c>
      <c r="F166" s="134" t="s">
        <v>166</v>
      </c>
      <c r="G166" s="134" t="s">
        <v>167</v>
      </c>
      <c r="H166" s="134" t="s">
        <v>213</v>
      </c>
      <c r="I166" s="134" t="s">
        <v>171</v>
      </c>
      <c r="J166" s="134" t="s">
        <v>3335</v>
      </c>
      <c r="K166" s="134" t="s">
        <v>3335</v>
      </c>
      <c r="L166" s="134" t="s">
        <v>171</v>
      </c>
      <c r="M166" s="134" t="s">
        <v>384</v>
      </c>
      <c r="N166" s="134" t="s">
        <v>151</v>
      </c>
      <c r="O166" s="134">
        <v>60</v>
      </c>
      <c r="P166" s="134" t="s">
        <v>171</v>
      </c>
      <c r="Q166" s="134" t="s">
        <v>153</v>
      </c>
      <c r="R166" s="146">
        <v>249</v>
      </c>
      <c r="S166" s="134" t="s">
        <v>154</v>
      </c>
      <c r="T166" s="146">
        <v>249</v>
      </c>
      <c r="U166" s="146"/>
      <c r="V166" s="134" t="s">
        <v>155</v>
      </c>
      <c r="W166" s="147" t="s">
        <v>299</v>
      </c>
      <c r="X166" s="134">
        <v>2021</v>
      </c>
      <c r="Y166" s="151" t="s">
        <v>3336</v>
      </c>
      <c r="AA166" s="160" t="s">
        <v>3328</v>
      </c>
      <c r="AB166" s="163">
        <v>44368</v>
      </c>
      <c r="AC166" s="150">
        <v>45894</v>
      </c>
    </row>
    <row r="167" spans="1:29" ht="15" customHeight="1" x14ac:dyDescent="0.45">
      <c r="A167" s="167" t="s">
        <v>142</v>
      </c>
      <c r="B167" s="134" t="s">
        <v>143</v>
      </c>
      <c r="C167" s="134" t="s">
        <v>144</v>
      </c>
      <c r="D167" s="134" t="s">
        <v>142</v>
      </c>
      <c r="E167" s="134" t="s">
        <v>143</v>
      </c>
      <c r="F167" s="134" t="s">
        <v>166</v>
      </c>
      <c r="G167" s="134" t="s">
        <v>152</v>
      </c>
      <c r="H167" s="134" t="s">
        <v>171</v>
      </c>
      <c r="I167" s="134" t="s">
        <v>171</v>
      </c>
      <c r="J167" s="134" t="s">
        <v>3337</v>
      </c>
      <c r="K167" s="134" t="s">
        <v>3337</v>
      </c>
      <c r="L167" s="134" t="s">
        <v>171</v>
      </c>
      <c r="M167" s="134" t="s">
        <v>391</v>
      </c>
      <c r="N167" s="134" t="s">
        <v>398</v>
      </c>
      <c r="P167" s="134" t="s">
        <v>171</v>
      </c>
      <c r="Q167" s="134" t="s">
        <v>153</v>
      </c>
      <c r="R167" s="146">
        <v>85.563999999999993</v>
      </c>
      <c r="S167" s="134" t="s">
        <v>154</v>
      </c>
      <c r="T167" s="146">
        <v>85.563999999999993</v>
      </c>
      <c r="U167" s="146"/>
      <c r="V167" s="134" t="s">
        <v>155</v>
      </c>
      <c r="W167" s="147" t="s">
        <v>299</v>
      </c>
      <c r="X167" s="134">
        <v>2021</v>
      </c>
      <c r="Y167" s="151" t="s">
        <v>3338</v>
      </c>
      <c r="AA167" s="160" t="s">
        <v>3328</v>
      </c>
      <c r="AB167" s="163">
        <v>44368</v>
      </c>
      <c r="AC167" s="150">
        <v>45894</v>
      </c>
    </row>
    <row r="168" spans="1:29" ht="15" customHeight="1" x14ac:dyDescent="0.45">
      <c r="A168" s="167" t="s">
        <v>142</v>
      </c>
      <c r="B168" s="134" t="s">
        <v>143</v>
      </c>
      <c r="C168" s="134" t="s">
        <v>144</v>
      </c>
      <c r="D168" s="134" t="s">
        <v>142</v>
      </c>
      <c r="E168" s="134" t="s">
        <v>143</v>
      </c>
      <c r="F168" s="134" t="s">
        <v>166</v>
      </c>
      <c r="G168" s="134" t="s">
        <v>160</v>
      </c>
      <c r="H168" s="134" t="s">
        <v>221</v>
      </c>
      <c r="I168" s="134" t="s">
        <v>222</v>
      </c>
      <c r="J168" s="134" t="s">
        <v>3239</v>
      </c>
      <c r="K168" s="134" t="s">
        <v>3339</v>
      </c>
      <c r="L168" s="134" t="s">
        <v>149</v>
      </c>
      <c r="M168" s="134" t="s">
        <v>224</v>
      </c>
      <c r="N168" s="134" t="s">
        <v>151</v>
      </c>
      <c r="O168" s="134">
        <v>66</v>
      </c>
      <c r="P168" s="134">
        <v>362</v>
      </c>
      <c r="Q168" s="134" t="s">
        <v>153</v>
      </c>
      <c r="R168" s="146">
        <v>73.221000000000004</v>
      </c>
      <c r="S168" s="134" t="s">
        <v>154</v>
      </c>
      <c r="T168" s="146">
        <v>73.221000000000004</v>
      </c>
      <c r="U168" s="146"/>
      <c r="V168" s="134" t="s">
        <v>155</v>
      </c>
      <c r="W168" s="147" t="s">
        <v>299</v>
      </c>
      <c r="X168" s="134">
        <v>2021</v>
      </c>
      <c r="Y168" s="151" t="s">
        <v>3340</v>
      </c>
      <c r="AA168" s="160" t="s">
        <v>3328</v>
      </c>
      <c r="AB168" s="163">
        <v>44368</v>
      </c>
      <c r="AC168" s="150">
        <v>45894</v>
      </c>
    </row>
    <row r="169" spans="1:29" ht="15" customHeight="1" x14ac:dyDescent="0.45">
      <c r="A169" s="134" t="s">
        <v>142</v>
      </c>
      <c r="B169" s="134" t="s">
        <v>143</v>
      </c>
      <c r="C169" s="134" t="s">
        <v>144</v>
      </c>
      <c r="D169" s="134" t="s">
        <v>142</v>
      </c>
      <c r="E169" s="134" t="s">
        <v>143</v>
      </c>
      <c r="F169" s="134" t="s">
        <v>166</v>
      </c>
      <c r="G169" s="134" t="s">
        <v>167</v>
      </c>
      <c r="H169" s="134" t="s">
        <v>168</v>
      </c>
      <c r="I169" s="134" t="s">
        <v>171</v>
      </c>
      <c r="J169" s="134" t="s">
        <v>3341</v>
      </c>
      <c r="K169" s="134" t="s">
        <v>3341</v>
      </c>
      <c r="L169" s="134" t="s">
        <v>171</v>
      </c>
      <c r="M169" s="134" t="s">
        <v>391</v>
      </c>
      <c r="N169" s="134" t="s">
        <v>151</v>
      </c>
      <c r="O169" s="134">
        <v>12</v>
      </c>
      <c r="P169" s="134" t="s">
        <v>171</v>
      </c>
      <c r="Q169" s="134" t="s">
        <v>153</v>
      </c>
      <c r="R169" s="146">
        <v>64.441999999999993</v>
      </c>
      <c r="S169" s="134" t="s">
        <v>154</v>
      </c>
      <c r="T169" s="146">
        <v>64.441999999999993</v>
      </c>
      <c r="U169" s="146"/>
      <c r="V169" s="134" t="s">
        <v>155</v>
      </c>
      <c r="W169" s="147" t="s">
        <v>299</v>
      </c>
      <c r="X169" s="134">
        <v>2021</v>
      </c>
      <c r="Y169" s="151" t="s">
        <v>3342</v>
      </c>
      <c r="AA169" s="160" t="s">
        <v>3328</v>
      </c>
      <c r="AB169" s="163">
        <v>44368</v>
      </c>
      <c r="AC169" s="150">
        <v>45894</v>
      </c>
    </row>
    <row r="170" spans="1:29" ht="15" customHeight="1" x14ac:dyDescent="0.45">
      <c r="A170" s="134" t="s">
        <v>265</v>
      </c>
      <c r="B170" s="134" t="s">
        <v>277</v>
      </c>
      <c r="C170" s="134" t="s">
        <v>144</v>
      </c>
      <c r="D170" s="134" t="s">
        <v>142</v>
      </c>
      <c r="E170" s="134" t="s">
        <v>143</v>
      </c>
      <c r="F170" s="134" t="s">
        <v>145</v>
      </c>
      <c r="G170" s="134" t="s">
        <v>167</v>
      </c>
      <c r="H170" s="134" t="s">
        <v>168</v>
      </c>
      <c r="I170" s="134" t="s">
        <v>171</v>
      </c>
      <c r="J170" s="134" t="s">
        <v>3341</v>
      </c>
      <c r="K170" s="134" t="s">
        <v>3341</v>
      </c>
      <c r="L170" s="134" t="s">
        <v>171</v>
      </c>
      <c r="M170" s="134" t="s">
        <v>391</v>
      </c>
      <c r="N170" s="134" t="s">
        <v>151</v>
      </c>
      <c r="P170" s="134" t="s">
        <v>171</v>
      </c>
      <c r="Q170" s="134" t="s">
        <v>153</v>
      </c>
      <c r="R170" s="146">
        <v>4.4989999999999997</v>
      </c>
      <c r="S170" s="134" t="s">
        <v>154</v>
      </c>
      <c r="T170" s="146">
        <v>4.4989999999999997</v>
      </c>
      <c r="U170" s="146"/>
      <c r="V170" s="134" t="s">
        <v>181</v>
      </c>
      <c r="W170" s="147" t="s">
        <v>299</v>
      </c>
      <c r="X170" s="134">
        <v>2021</v>
      </c>
      <c r="Y170" s="151" t="s">
        <v>3342</v>
      </c>
      <c r="Z170" s="134" t="s">
        <v>3343</v>
      </c>
      <c r="AA170" s="160" t="s">
        <v>3328</v>
      </c>
      <c r="AB170" s="163">
        <v>44368</v>
      </c>
      <c r="AC170" s="150">
        <v>45894</v>
      </c>
    </row>
    <row r="171" spans="1:29" ht="15" customHeight="1" x14ac:dyDescent="0.45">
      <c r="A171" s="134" t="s">
        <v>265</v>
      </c>
      <c r="B171" s="134" t="s">
        <v>406</v>
      </c>
      <c r="C171" s="134" t="s">
        <v>144</v>
      </c>
      <c r="D171" s="134" t="s">
        <v>142</v>
      </c>
      <c r="E171" s="134" t="s">
        <v>143</v>
      </c>
      <c r="F171" s="134" t="s">
        <v>145</v>
      </c>
      <c r="G171" s="134" t="s">
        <v>167</v>
      </c>
      <c r="H171" s="134" t="s">
        <v>168</v>
      </c>
      <c r="I171" s="134" t="s">
        <v>171</v>
      </c>
      <c r="J171" s="134" t="s">
        <v>3341</v>
      </c>
      <c r="K171" s="134" t="s">
        <v>3341</v>
      </c>
      <c r="L171" s="134" t="s">
        <v>171</v>
      </c>
      <c r="M171" s="134" t="s">
        <v>391</v>
      </c>
      <c r="N171" s="134" t="s">
        <v>151</v>
      </c>
      <c r="P171" s="134" t="s">
        <v>171</v>
      </c>
      <c r="Q171" s="134" t="s">
        <v>153</v>
      </c>
      <c r="R171" s="146">
        <v>0.66700000000000004</v>
      </c>
      <c r="S171" s="134" t="s">
        <v>154</v>
      </c>
      <c r="T171" s="146">
        <v>0.66700000000000004</v>
      </c>
      <c r="U171" s="146"/>
      <c r="V171" s="134" t="s">
        <v>181</v>
      </c>
      <c r="W171" s="147" t="s">
        <v>299</v>
      </c>
      <c r="X171" s="134">
        <v>2021</v>
      </c>
      <c r="Y171" s="151" t="s">
        <v>3342</v>
      </c>
      <c r="Z171" s="134" t="s">
        <v>3343</v>
      </c>
      <c r="AA171" s="160" t="s">
        <v>3328</v>
      </c>
      <c r="AB171" s="163">
        <v>44368</v>
      </c>
      <c r="AC171" s="150">
        <v>45894</v>
      </c>
    </row>
    <row r="172" spans="1:29" ht="15" customHeight="1" x14ac:dyDescent="0.45">
      <c r="A172" s="134" t="s">
        <v>265</v>
      </c>
      <c r="B172" s="134" t="s">
        <v>407</v>
      </c>
      <c r="C172" s="134" t="s">
        <v>144</v>
      </c>
      <c r="D172" s="134" t="s">
        <v>142</v>
      </c>
      <c r="E172" s="134" t="s">
        <v>143</v>
      </c>
      <c r="F172" s="134" t="s">
        <v>145</v>
      </c>
      <c r="G172" s="134" t="s">
        <v>167</v>
      </c>
      <c r="H172" s="134" t="s">
        <v>168</v>
      </c>
      <c r="I172" s="134" t="s">
        <v>171</v>
      </c>
      <c r="J172" s="134" t="s">
        <v>3341</v>
      </c>
      <c r="K172" s="134" t="s">
        <v>3341</v>
      </c>
      <c r="L172" s="134" t="s">
        <v>171</v>
      </c>
      <c r="M172" s="134" t="s">
        <v>391</v>
      </c>
      <c r="N172" s="134" t="s">
        <v>151</v>
      </c>
      <c r="P172" s="134" t="s">
        <v>171</v>
      </c>
      <c r="Q172" s="134" t="s">
        <v>153</v>
      </c>
      <c r="R172" s="146">
        <v>0.50700000000000001</v>
      </c>
      <c r="S172" s="134" t="s">
        <v>154</v>
      </c>
      <c r="T172" s="146">
        <v>0.50700000000000001</v>
      </c>
      <c r="U172" s="146"/>
      <c r="V172" s="134" t="s">
        <v>181</v>
      </c>
      <c r="W172" s="147" t="s">
        <v>299</v>
      </c>
      <c r="X172" s="134">
        <v>2021</v>
      </c>
      <c r="Y172" s="151" t="s">
        <v>3342</v>
      </c>
      <c r="Z172" s="134" t="s">
        <v>3343</v>
      </c>
      <c r="AA172" s="160" t="s">
        <v>3328</v>
      </c>
      <c r="AB172" s="163">
        <v>44368</v>
      </c>
      <c r="AC172" s="150">
        <v>45894</v>
      </c>
    </row>
    <row r="173" spans="1:29" ht="15" customHeight="1" x14ac:dyDescent="0.45">
      <c r="A173" s="134" t="s">
        <v>157</v>
      </c>
      <c r="B173" s="134" t="s">
        <v>408</v>
      </c>
      <c r="C173" s="134" t="s">
        <v>144</v>
      </c>
      <c r="D173" s="134" t="s">
        <v>142</v>
      </c>
      <c r="E173" s="134" t="s">
        <v>143</v>
      </c>
      <c r="F173" s="134" t="s">
        <v>145</v>
      </c>
      <c r="G173" s="134" t="s">
        <v>167</v>
      </c>
      <c r="H173" s="134" t="s">
        <v>168</v>
      </c>
      <c r="I173" s="134" t="s">
        <v>171</v>
      </c>
      <c r="J173" s="134" t="s">
        <v>3341</v>
      </c>
      <c r="K173" s="134" t="s">
        <v>3341</v>
      </c>
      <c r="L173" s="134" t="s">
        <v>171</v>
      </c>
      <c r="M173" s="134" t="s">
        <v>391</v>
      </c>
      <c r="N173" s="134" t="s">
        <v>151</v>
      </c>
      <c r="P173" s="134" t="s">
        <v>171</v>
      </c>
      <c r="Q173" s="134" t="s">
        <v>153</v>
      </c>
      <c r="R173" s="146">
        <v>4.0000000000000001E-3</v>
      </c>
      <c r="S173" s="134" t="s">
        <v>154</v>
      </c>
      <c r="T173" s="146">
        <v>4.0000000000000001E-3</v>
      </c>
      <c r="U173" s="146"/>
      <c r="V173" s="134" t="s">
        <v>181</v>
      </c>
      <c r="W173" s="147" t="s">
        <v>299</v>
      </c>
      <c r="X173" s="134">
        <v>2021</v>
      </c>
      <c r="Y173" s="151" t="s">
        <v>3342</v>
      </c>
      <c r="Z173" s="134" t="s">
        <v>3343</v>
      </c>
      <c r="AA173" s="160" t="s">
        <v>3328</v>
      </c>
      <c r="AB173" s="163">
        <v>44368</v>
      </c>
      <c r="AC173" s="150">
        <v>45894</v>
      </c>
    </row>
    <row r="174" spans="1:29" ht="15" customHeight="1" x14ac:dyDescent="0.45">
      <c r="A174" s="134" t="s">
        <v>142</v>
      </c>
      <c r="B174" s="134" t="s">
        <v>143</v>
      </c>
      <c r="C174" s="134" t="s">
        <v>144</v>
      </c>
      <c r="D174" s="134" t="s">
        <v>142</v>
      </c>
      <c r="E174" s="134" t="s">
        <v>143</v>
      </c>
      <c r="F174" s="134" t="s">
        <v>166</v>
      </c>
      <c r="G174" s="134" t="s">
        <v>160</v>
      </c>
      <c r="H174" s="134" t="s">
        <v>161</v>
      </c>
      <c r="I174" s="134" t="s">
        <v>218</v>
      </c>
      <c r="J174" s="134" t="s">
        <v>3129</v>
      </c>
      <c r="K174" s="134" t="s">
        <v>3344</v>
      </c>
      <c r="L174" s="134" t="s">
        <v>149</v>
      </c>
      <c r="M174" s="134" t="s">
        <v>399</v>
      </c>
      <c r="N174" s="134" t="s">
        <v>398</v>
      </c>
      <c r="P174" s="134" t="s">
        <v>171</v>
      </c>
      <c r="Q174" s="134" t="s">
        <v>153</v>
      </c>
      <c r="R174" s="146">
        <v>49.174999999999997</v>
      </c>
      <c r="S174" s="134" t="s">
        <v>154</v>
      </c>
      <c r="T174" s="146">
        <v>49.174999999999997</v>
      </c>
      <c r="U174" s="146"/>
      <c r="V174" s="134" t="s">
        <v>155</v>
      </c>
      <c r="W174" s="147" t="s">
        <v>299</v>
      </c>
      <c r="X174" s="134">
        <v>2021</v>
      </c>
      <c r="Y174" s="151" t="s">
        <v>3345</v>
      </c>
      <c r="AA174" s="160" t="s">
        <v>3328</v>
      </c>
      <c r="AB174" s="163">
        <v>44368</v>
      </c>
      <c r="AC174" s="150">
        <v>45894</v>
      </c>
    </row>
    <row r="175" spans="1:29" ht="15" customHeight="1" x14ac:dyDescent="0.45">
      <c r="A175" s="134" t="s">
        <v>142</v>
      </c>
      <c r="B175" s="134" t="s">
        <v>143</v>
      </c>
      <c r="C175" s="134" t="s">
        <v>144</v>
      </c>
      <c r="D175" s="134" t="s">
        <v>142</v>
      </c>
      <c r="E175" s="134" t="s">
        <v>143</v>
      </c>
      <c r="F175" s="134" t="s">
        <v>166</v>
      </c>
      <c r="G175" s="134" t="s">
        <v>160</v>
      </c>
      <c r="H175" s="134" t="s">
        <v>1014</v>
      </c>
      <c r="I175" s="134" t="s">
        <v>359</v>
      </c>
      <c r="J175" s="134" t="s">
        <v>3346</v>
      </c>
      <c r="K175" s="134" t="s">
        <v>3347</v>
      </c>
      <c r="L175" s="134" t="s">
        <v>149</v>
      </c>
      <c r="M175" s="134" t="s">
        <v>150</v>
      </c>
      <c r="N175" s="134" t="s">
        <v>175</v>
      </c>
      <c r="P175" s="134" t="s">
        <v>171</v>
      </c>
      <c r="Q175" s="134" t="s">
        <v>153</v>
      </c>
      <c r="R175" s="146">
        <v>17.016999999999999</v>
      </c>
      <c r="S175" s="134" t="s">
        <v>154</v>
      </c>
      <c r="T175" s="146">
        <v>17.016999999999999</v>
      </c>
      <c r="U175" s="146"/>
      <c r="V175" s="134" t="s">
        <v>155</v>
      </c>
      <c r="W175" s="147" t="s">
        <v>299</v>
      </c>
      <c r="X175" s="134">
        <v>2021</v>
      </c>
      <c r="Y175" s="151" t="s">
        <v>3348</v>
      </c>
      <c r="AA175" s="160" t="s">
        <v>3328</v>
      </c>
      <c r="AB175" s="163">
        <v>44368</v>
      </c>
      <c r="AC175" s="150">
        <v>45894</v>
      </c>
    </row>
    <row r="176" spans="1:29" ht="15" customHeight="1" x14ac:dyDescent="0.45">
      <c r="A176" s="134" t="s">
        <v>142</v>
      </c>
      <c r="B176" s="134" t="s">
        <v>143</v>
      </c>
      <c r="C176" s="134" t="s">
        <v>159</v>
      </c>
      <c r="D176" s="134" t="s">
        <v>142</v>
      </c>
      <c r="E176" s="134" t="s">
        <v>143</v>
      </c>
      <c r="F176" s="134" t="s">
        <v>166</v>
      </c>
      <c r="G176" s="134" t="s">
        <v>206</v>
      </c>
      <c r="H176" s="134" t="s">
        <v>270</v>
      </c>
      <c r="I176" s="134" t="s">
        <v>171</v>
      </c>
      <c r="J176" s="134" t="s">
        <v>3349</v>
      </c>
      <c r="K176" s="134" t="s">
        <v>3350</v>
      </c>
      <c r="L176" s="134" t="s">
        <v>171</v>
      </c>
      <c r="N176" s="134" t="s">
        <v>3</v>
      </c>
      <c r="P176" s="134" t="s">
        <v>171</v>
      </c>
      <c r="Q176" s="134" t="s">
        <v>153</v>
      </c>
      <c r="R176" s="146">
        <v>24.068999999999999</v>
      </c>
      <c r="S176" s="134" t="s">
        <v>154</v>
      </c>
      <c r="T176" s="146">
        <v>24.068999999999999</v>
      </c>
      <c r="U176" s="146"/>
      <c r="V176" s="134" t="s">
        <v>155</v>
      </c>
      <c r="W176" s="147" t="s">
        <v>299</v>
      </c>
      <c r="X176" s="134">
        <v>2021</v>
      </c>
      <c r="Y176" s="151" t="s">
        <v>3351</v>
      </c>
      <c r="AA176" s="160" t="s">
        <v>3328</v>
      </c>
      <c r="AB176" s="163">
        <v>44368</v>
      </c>
      <c r="AC176" s="150">
        <v>45894</v>
      </c>
    </row>
    <row r="177" spans="1:29" ht="15" customHeight="1" x14ac:dyDescent="0.45">
      <c r="A177" s="134" t="s">
        <v>142</v>
      </c>
      <c r="B177" s="134" t="s">
        <v>143</v>
      </c>
      <c r="C177" s="134" t="s">
        <v>159</v>
      </c>
      <c r="D177" s="134" t="s">
        <v>142</v>
      </c>
      <c r="E177" s="134" t="s">
        <v>143</v>
      </c>
      <c r="F177" s="134" t="s">
        <v>166</v>
      </c>
      <c r="G177" s="134" t="s">
        <v>172</v>
      </c>
      <c r="H177" s="134" t="s">
        <v>173</v>
      </c>
      <c r="I177" s="134" t="s">
        <v>173</v>
      </c>
      <c r="J177" s="134" t="s">
        <v>3352</v>
      </c>
      <c r="K177" s="134" t="s">
        <v>3353</v>
      </c>
      <c r="L177" s="134" t="s">
        <v>171</v>
      </c>
      <c r="M177" s="134" t="s">
        <v>262</v>
      </c>
      <c r="N177" s="134" t="s">
        <v>170</v>
      </c>
      <c r="P177" s="134" t="s">
        <v>171</v>
      </c>
      <c r="Q177" s="134" t="s">
        <v>153</v>
      </c>
      <c r="R177" s="146">
        <v>20.602</v>
      </c>
      <c r="S177" s="134" t="s">
        <v>154</v>
      </c>
      <c r="T177" s="146">
        <v>20.602</v>
      </c>
      <c r="U177" s="146"/>
      <c r="V177" s="134" t="s">
        <v>155</v>
      </c>
      <c r="W177" s="147" t="s">
        <v>299</v>
      </c>
      <c r="X177" s="134">
        <v>2021</v>
      </c>
      <c r="Y177" s="151" t="s">
        <v>3354</v>
      </c>
      <c r="AA177" s="160" t="s">
        <v>3328</v>
      </c>
      <c r="AB177" s="163">
        <v>44368</v>
      </c>
      <c r="AC177" s="150">
        <v>45894</v>
      </c>
    </row>
    <row r="178" spans="1:29" ht="15" customHeight="1" x14ac:dyDescent="0.45">
      <c r="A178" s="134" t="s">
        <v>157</v>
      </c>
      <c r="B178" s="134" t="s">
        <v>460</v>
      </c>
      <c r="C178" s="134" t="s">
        <v>165</v>
      </c>
      <c r="D178" s="134" t="s">
        <v>142</v>
      </c>
      <c r="E178" s="134" t="s">
        <v>143</v>
      </c>
      <c r="F178" s="134" t="s">
        <v>145</v>
      </c>
      <c r="G178" s="134" t="s">
        <v>160</v>
      </c>
      <c r="H178" s="134" t="s">
        <v>221</v>
      </c>
      <c r="I178" s="134" t="s">
        <v>222</v>
      </c>
      <c r="J178" s="134" t="s">
        <v>3355</v>
      </c>
      <c r="K178" s="134" t="s">
        <v>3355</v>
      </c>
      <c r="L178" s="134" t="s">
        <v>149</v>
      </c>
      <c r="M178" s="134" t="s">
        <v>262</v>
      </c>
      <c r="N178" s="134" t="s">
        <v>170</v>
      </c>
      <c r="P178" s="134">
        <v>14</v>
      </c>
      <c r="Q178" s="134" t="s">
        <v>153</v>
      </c>
      <c r="R178" s="146">
        <v>580.59900000000005</v>
      </c>
      <c r="S178" s="134" t="s">
        <v>154</v>
      </c>
      <c r="T178" s="146">
        <v>580.59900000000005</v>
      </c>
      <c r="U178" s="146"/>
      <c r="V178" s="134" t="s">
        <v>181</v>
      </c>
      <c r="W178" s="147" t="s">
        <v>299</v>
      </c>
      <c r="X178" s="134">
        <v>2021</v>
      </c>
      <c r="Y178" s="151" t="s">
        <v>3356</v>
      </c>
      <c r="AA178" s="160" t="s">
        <v>3357</v>
      </c>
      <c r="AB178" s="163">
        <v>44369</v>
      </c>
      <c r="AC178" s="150">
        <v>45894</v>
      </c>
    </row>
    <row r="179" spans="1:29" ht="15" customHeight="1" x14ac:dyDescent="0.45">
      <c r="A179" s="134" t="s">
        <v>142</v>
      </c>
      <c r="B179" s="134" t="s">
        <v>143</v>
      </c>
      <c r="C179" s="134" t="s">
        <v>144</v>
      </c>
      <c r="D179" s="134" t="s">
        <v>142</v>
      </c>
      <c r="E179" s="134" t="s">
        <v>143</v>
      </c>
      <c r="F179" s="134" t="s">
        <v>166</v>
      </c>
      <c r="G179" s="134" t="s">
        <v>152</v>
      </c>
      <c r="H179" s="134" t="s">
        <v>171</v>
      </c>
      <c r="I179" s="134" t="s">
        <v>171</v>
      </c>
      <c r="J179" s="134" t="s">
        <v>3359</v>
      </c>
      <c r="K179" s="134" t="s">
        <v>3359</v>
      </c>
      <c r="L179" s="134" t="s">
        <v>171</v>
      </c>
      <c r="N179" s="134" t="s">
        <v>175</v>
      </c>
      <c r="P179" s="134" t="s">
        <v>171</v>
      </c>
      <c r="Q179" s="134" t="s">
        <v>153</v>
      </c>
      <c r="R179" s="146">
        <v>65</v>
      </c>
      <c r="S179" s="134" t="s">
        <v>154</v>
      </c>
      <c r="T179" s="146">
        <v>65</v>
      </c>
      <c r="U179" s="146"/>
      <c r="V179" s="134" t="s">
        <v>155</v>
      </c>
      <c r="W179" s="147" t="s">
        <v>299</v>
      </c>
      <c r="X179" s="134">
        <v>2021</v>
      </c>
      <c r="Y179" s="151" t="s">
        <v>3358</v>
      </c>
      <c r="AA179" s="160" t="s">
        <v>3357</v>
      </c>
      <c r="AB179" s="163">
        <v>44369</v>
      </c>
      <c r="AC179" s="150">
        <v>45894</v>
      </c>
    </row>
    <row r="180" spans="1:29" ht="15" customHeight="1" x14ac:dyDescent="0.45">
      <c r="A180" s="134" t="s">
        <v>142</v>
      </c>
      <c r="B180" s="134" t="s">
        <v>143</v>
      </c>
      <c r="C180" s="134" t="s">
        <v>144</v>
      </c>
      <c r="D180" s="134" t="s">
        <v>142</v>
      </c>
      <c r="E180" s="134" t="s">
        <v>143</v>
      </c>
      <c r="F180" s="134" t="s">
        <v>166</v>
      </c>
      <c r="G180" s="134" t="s">
        <v>146</v>
      </c>
      <c r="H180" s="134" t="s">
        <v>231</v>
      </c>
      <c r="I180" s="134" t="s">
        <v>232</v>
      </c>
      <c r="J180" s="134" t="s">
        <v>3360</v>
      </c>
      <c r="K180" s="134" t="s">
        <v>3361</v>
      </c>
      <c r="L180" s="134" t="s">
        <v>149</v>
      </c>
      <c r="M180" s="134" t="s">
        <v>455</v>
      </c>
      <c r="N180" s="134" t="s">
        <v>170</v>
      </c>
      <c r="P180" s="134" t="s">
        <v>171</v>
      </c>
      <c r="Q180" s="134" t="s">
        <v>153</v>
      </c>
      <c r="R180" s="146">
        <v>44.384</v>
      </c>
      <c r="S180" s="134" t="s">
        <v>154</v>
      </c>
      <c r="T180" s="146">
        <v>44.384</v>
      </c>
      <c r="U180" s="146"/>
      <c r="V180" s="134" t="s">
        <v>155</v>
      </c>
      <c r="W180" s="147" t="s">
        <v>299</v>
      </c>
      <c r="X180" s="134">
        <v>2021</v>
      </c>
      <c r="Y180" s="151" t="s">
        <v>3362</v>
      </c>
      <c r="AA180" s="160" t="s">
        <v>3357</v>
      </c>
      <c r="AB180" s="163">
        <v>44369</v>
      </c>
      <c r="AC180" s="150">
        <v>45894</v>
      </c>
    </row>
    <row r="181" spans="1:29" ht="15" customHeight="1" x14ac:dyDescent="0.45">
      <c r="A181" s="165" t="s">
        <v>142</v>
      </c>
      <c r="B181" s="134" t="s">
        <v>143</v>
      </c>
      <c r="C181" s="134" t="s">
        <v>144</v>
      </c>
      <c r="D181" s="134" t="s">
        <v>142</v>
      </c>
      <c r="E181" s="134" t="s">
        <v>143</v>
      </c>
      <c r="F181" s="134" t="s">
        <v>166</v>
      </c>
      <c r="G181" s="134" t="s">
        <v>146</v>
      </c>
      <c r="H181" s="134" t="s">
        <v>231</v>
      </c>
      <c r="I181" s="134" t="s">
        <v>301</v>
      </c>
      <c r="J181" s="134" t="s">
        <v>3092</v>
      </c>
      <c r="K181" s="134" t="s">
        <v>3363</v>
      </c>
      <c r="L181" s="134" t="s">
        <v>149</v>
      </c>
      <c r="M181" s="134" t="s">
        <v>570</v>
      </c>
      <c r="N181" s="134" t="s">
        <v>151</v>
      </c>
      <c r="O181" s="134">
        <v>13</v>
      </c>
      <c r="P181" s="134" t="s">
        <v>171</v>
      </c>
      <c r="Q181" s="134" t="s">
        <v>153</v>
      </c>
      <c r="R181" s="146">
        <v>8.6839999999999993</v>
      </c>
      <c r="S181" s="134" t="s">
        <v>154</v>
      </c>
      <c r="T181" s="146">
        <v>8.6839999999999993</v>
      </c>
      <c r="U181" s="146"/>
      <c r="V181" s="134" t="s">
        <v>155</v>
      </c>
      <c r="W181" s="147" t="s">
        <v>299</v>
      </c>
      <c r="X181" s="134">
        <v>2021</v>
      </c>
      <c r="Y181" s="151" t="s">
        <v>3364</v>
      </c>
      <c r="AA181" s="160" t="s">
        <v>3357</v>
      </c>
      <c r="AB181" s="163">
        <v>44369</v>
      </c>
      <c r="AC181" s="150">
        <v>45895</v>
      </c>
    </row>
    <row r="182" spans="1:29" ht="15" customHeight="1" x14ac:dyDescent="0.45">
      <c r="A182" s="134" t="s">
        <v>142</v>
      </c>
      <c r="B182" s="134" t="s">
        <v>143</v>
      </c>
      <c r="C182" s="134" t="s">
        <v>165</v>
      </c>
      <c r="D182" s="134" t="s">
        <v>142</v>
      </c>
      <c r="E182" s="134" t="s">
        <v>143</v>
      </c>
      <c r="F182" s="134" t="s">
        <v>166</v>
      </c>
      <c r="G182" s="134" t="s">
        <v>152</v>
      </c>
      <c r="H182" s="134" t="s">
        <v>171</v>
      </c>
      <c r="I182" s="134" t="s">
        <v>171</v>
      </c>
      <c r="J182" s="134" t="s">
        <v>3365</v>
      </c>
      <c r="K182" s="134" t="s">
        <v>3365</v>
      </c>
      <c r="L182" s="134" t="s">
        <v>171</v>
      </c>
      <c r="N182" s="134" t="s">
        <v>398</v>
      </c>
      <c r="P182" s="134" t="s">
        <v>171</v>
      </c>
      <c r="Q182" s="134" t="s">
        <v>153</v>
      </c>
      <c r="R182" s="146">
        <v>64.454999999999998</v>
      </c>
      <c r="S182" s="134" t="s">
        <v>154</v>
      </c>
      <c r="T182" s="146">
        <v>64.454999999999998</v>
      </c>
      <c r="U182" s="146"/>
      <c r="V182" s="134" t="s">
        <v>155</v>
      </c>
      <c r="W182" s="147" t="s">
        <v>299</v>
      </c>
      <c r="X182" s="134">
        <v>2021</v>
      </c>
      <c r="Y182" s="151" t="s">
        <v>3366</v>
      </c>
      <c r="AA182" s="160" t="s">
        <v>3357</v>
      </c>
      <c r="AB182" s="163">
        <v>44369</v>
      </c>
      <c r="AC182" s="150">
        <v>45895</v>
      </c>
    </row>
    <row r="183" spans="1:29" ht="15" customHeight="1" x14ac:dyDescent="0.45">
      <c r="A183" s="134" t="s">
        <v>142</v>
      </c>
      <c r="B183" s="134" t="s">
        <v>143</v>
      </c>
      <c r="C183" s="134" t="s">
        <v>189</v>
      </c>
      <c r="D183" s="134" t="s">
        <v>142</v>
      </c>
      <c r="E183" s="134" t="s">
        <v>143</v>
      </c>
      <c r="F183" s="134" t="s">
        <v>166</v>
      </c>
      <c r="G183" s="134" t="s">
        <v>160</v>
      </c>
      <c r="H183" s="134" t="s">
        <v>161</v>
      </c>
      <c r="I183" s="134" t="s">
        <v>321</v>
      </c>
      <c r="J183" s="134" t="s">
        <v>3367</v>
      </c>
      <c r="K183" s="134" t="s">
        <v>3368</v>
      </c>
      <c r="L183" s="134" t="s">
        <v>149</v>
      </c>
      <c r="M183" s="134" t="s">
        <v>185</v>
      </c>
      <c r="N183" s="134" t="s">
        <v>170</v>
      </c>
      <c r="P183" s="134" t="s">
        <v>171</v>
      </c>
      <c r="Q183" s="134" t="s">
        <v>153</v>
      </c>
      <c r="R183" s="146">
        <v>12.757</v>
      </c>
      <c r="S183" s="134" t="s">
        <v>154</v>
      </c>
      <c r="T183" s="146">
        <v>12.757</v>
      </c>
      <c r="U183" s="146"/>
      <c r="V183" s="134" t="s">
        <v>155</v>
      </c>
      <c r="W183" s="147" t="s">
        <v>299</v>
      </c>
      <c r="X183" s="134">
        <v>2021</v>
      </c>
      <c r="Y183" s="151" t="s">
        <v>3369</v>
      </c>
      <c r="AA183" s="160" t="s">
        <v>3357</v>
      </c>
      <c r="AB183" s="163">
        <v>44369</v>
      </c>
      <c r="AC183" s="150">
        <v>45895</v>
      </c>
    </row>
    <row r="184" spans="1:29" ht="15" customHeight="1" x14ac:dyDescent="0.45">
      <c r="A184" s="134" t="s">
        <v>142</v>
      </c>
      <c r="B184" s="134" t="s">
        <v>143</v>
      </c>
      <c r="C184" s="134" t="s">
        <v>189</v>
      </c>
      <c r="D184" s="134" t="s">
        <v>142</v>
      </c>
      <c r="E184" s="134" t="s">
        <v>143</v>
      </c>
      <c r="F184" s="134" t="s">
        <v>166</v>
      </c>
      <c r="G184" s="134" t="s">
        <v>167</v>
      </c>
      <c r="H184" s="134" t="s">
        <v>171</v>
      </c>
      <c r="I184" s="134" t="s">
        <v>171</v>
      </c>
      <c r="J184" s="134" t="s">
        <v>3370</v>
      </c>
      <c r="K184" s="134" t="s">
        <v>3370</v>
      </c>
      <c r="L184" s="134" t="s">
        <v>171</v>
      </c>
      <c r="M184" s="134" t="s">
        <v>384</v>
      </c>
      <c r="N184" s="134" t="s">
        <v>170</v>
      </c>
      <c r="P184" s="134" t="s">
        <v>171</v>
      </c>
      <c r="Q184" s="134" t="s">
        <v>153</v>
      </c>
      <c r="R184" s="146">
        <v>950</v>
      </c>
      <c r="S184" s="134" t="s">
        <v>154</v>
      </c>
      <c r="T184" s="146">
        <v>950</v>
      </c>
      <c r="U184" s="146"/>
      <c r="V184" s="134" t="s">
        <v>155</v>
      </c>
      <c r="W184" s="147" t="s">
        <v>299</v>
      </c>
      <c r="X184" s="134">
        <v>2021</v>
      </c>
      <c r="Y184" s="151" t="s">
        <v>3371</v>
      </c>
      <c r="AA184" s="160" t="s">
        <v>3375</v>
      </c>
      <c r="AB184" s="163">
        <v>44370</v>
      </c>
      <c r="AC184" s="150">
        <v>45895</v>
      </c>
    </row>
    <row r="185" spans="1:29" ht="15" customHeight="1" x14ac:dyDescent="0.45">
      <c r="A185" s="134" t="s">
        <v>142</v>
      </c>
      <c r="B185" s="134" t="s">
        <v>143</v>
      </c>
      <c r="C185" s="134" t="s">
        <v>159</v>
      </c>
      <c r="D185" s="134" t="s">
        <v>142</v>
      </c>
      <c r="E185" s="134" t="s">
        <v>143</v>
      </c>
      <c r="F185" s="134" t="s">
        <v>166</v>
      </c>
      <c r="G185" s="134" t="s">
        <v>206</v>
      </c>
      <c r="H185" s="134" t="s">
        <v>211</v>
      </c>
      <c r="I185" s="134" t="s">
        <v>171</v>
      </c>
      <c r="J185" s="134" t="s">
        <v>3372</v>
      </c>
      <c r="K185" s="134" t="s">
        <v>3373</v>
      </c>
      <c r="L185" s="134" t="s">
        <v>171</v>
      </c>
      <c r="M185" s="134" t="s">
        <v>384</v>
      </c>
      <c r="N185" s="134" t="s">
        <v>3</v>
      </c>
      <c r="P185" s="134" t="s">
        <v>171</v>
      </c>
      <c r="Q185" s="134" t="s">
        <v>153</v>
      </c>
      <c r="R185" s="146">
        <v>950</v>
      </c>
      <c r="S185" s="134" t="s">
        <v>154</v>
      </c>
      <c r="T185" s="146">
        <v>950</v>
      </c>
      <c r="U185" s="146"/>
      <c r="V185" s="134" t="s">
        <v>155</v>
      </c>
      <c r="W185" s="147" t="s">
        <v>299</v>
      </c>
      <c r="X185" s="134">
        <v>2021</v>
      </c>
      <c r="Y185" s="151" t="s">
        <v>3374</v>
      </c>
      <c r="AA185" s="134" t="s">
        <v>3375</v>
      </c>
      <c r="AB185" s="163">
        <v>44370</v>
      </c>
      <c r="AC185" s="150">
        <v>45895</v>
      </c>
    </row>
    <row r="186" spans="1:29" ht="15" customHeight="1" x14ac:dyDescent="0.45">
      <c r="A186" s="134" t="s">
        <v>142</v>
      </c>
      <c r="B186" s="134" t="s">
        <v>143</v>
      </c>
      <c r="C186" s="134" t="s">
        <v>144</v>
      </c>
      <c r="D186" s="134" t="s">
        <v>142</v>
      </c>
      <c r="E186" s="134" t="s">
        <v>143</v>
      </c>
      <c r="F186" s="134" t="s">
        <v>166</v>
      </c>
      <c r="G186" s="134" t="s">
        <v>176</v>
      </c>
      <c r="H186" s="134" t="s">
        <v>215</v>
      </c>
      <c r="I186" s="134" t="s">
        <v>374</v>
      </c>
      <c r="J186" s="134" t="s">
        <v>3376</v>
      </c>
      <c r="K186" s="134" t="s">
        <v>3377</v>
      </c>
      <c r="L186" s="134" t="s">
        <v>171</v>
      </c>
      <c r="M186" s="134" t="s">
        <v>332</v>
      </c>
      <c r="N186" s="134" t="s">
        <v>170</v>
      </c>
      <c r="P186" s="134" t="s">
        <v>171</v>
      </c>
      <c r="Q186" s="134" t="s">
        <v>153</v>
      </c>
      <c r="R186" s="146">
        <v>116.15600000000001</v>
      </c>
      <c r="S186" s="134" t="s">
        <v>154</v>
      </c>
      <c r="T186" s="146">
        <v>116.15600000000001</v>
      </c>
      <c r="U186" s="146"/>
      <c r="V186" s="134" t="s">
        <v>155</v>
      </c>
      <c r="W186" s="147" t="s">
        <v>299</v>
      </c>
      <c r="X186" s="134">
        <v>2021</v>
      </c>
      <c r="Y186" s="151" t="s">
        <v>3378</v>
      </c>
      <c r="AA186" s="134" t="s">
        <v>3375</v>
      </c>
      <c r="AB186" s="163">
        <v>44370</v>
      </c>
      <c r="AC186" s="150">
        <v>45895</v>
      </c>
    </row>
    <row r="187" spans="1:29" ht="15" customHeight="1" x14ac:dyDescent="0.45">
      <c r="A187" s="134" t="s">
        <v>265</v>
      </c>
      <c r="B187" s="134" t="s">
        <v>407</v>
      </c>
      <c r="C187" s="134" t="s">
        <v>144</v>
      </c>
      <c r="D187" s="134" t="s">
        <v>142</v>
      </c>
      <c r="E187" s="134" t="s">
        <v>143</v>
      </c>
      <c r="F187" s="134" t="s">
        <v>145</v>
      </c>
      <c r="G187" s="134" t="s">
        <v>176</v>
      </c>
      <c r="H187" s="134" t="s">
        <v>215</v>
      </c>
      <c r="I187" s="134" t="s">
        <v>374</v>
      </c>
      <c r="J187" s="134" t="s">
        <v>3376</v>
      </c>
      <c r="K187" s="134" t="s">
        <v>3377</v>
      </c>
      <c r="L187" s="134" t="s">
        <v>171</v>
      </c>
      <c r="M187" s="134" t="s">
        <v>332</v>
      </c>
      <c r="N187" s="134" t="s">
        <v>170</v>
      </c>
      <c r="P187" s="134" t="s">
        <v>171</v>
      </c>
      <c r="Q187" s="134" t="s">
        <v>153</v>
      </c>
      <c r="R187" s="146">
        <v>20.315000000000001</v>
      </c>
      <c r="S187" s="134" t="s">
        <v>154</v>
      </c>
      <c r="T187" s="146">
        <v>20.315000000000001</v>
      </c>
      <c r="U187" s="146"/>
      <c r="V187" s="134" t="s">
        <v>181</v>
      </c>
      <c r="W187" s="147" t="s">
        <v>299</v>
      </c>
      <c r="X187" s="134">
        <v>2021</v>
      </c>
      <c r="Y187" s="151" t="s">
        <v>3378</v>
      </c>
      <c r="AA187" s="134" t="s">
        <v>3375</v>
      </c>
      <c r="AB187" s="163">
        <v>44370</v>
      </c>
      <c r="AC187" s="150">
        <v>45895</v>
      </c>
    </row>
    <row r="188" spans="1:29" ht="15" customHeight="1" x14ac:dyDescent="0.45">
      <c r="A188" s="134" t="s">
        <v>142</v>
      </c>
      <c r="B188" s="134" t="s">
        <v>143</v>
      </c>
      <c r="C188" s="134" t="s">
        <v>159</v>
      </c>
      <c r="D188" s="134" t="s">
        <v>142</v>
      </c>
      <c r="E188" s="134" t="s">
        <v>143</v>
      </c>
      <c r="F188" s="134" t="s">
        <v>166</v>
      </c>
      <c r="G188" s="134" t="s">
        <v>152</v>
      </c>
      <c r="H188" s="134" t="s">
        <v>171</v>
      </c>
      <c r="I188" s="134" t="s">
        <v>171</v>
      </c>
      <c r="J188" s="134" t="s">
        <v>3380</v>
      </c>
      <c r="K188" s="134" t="s">
        <v>3380</v>
      </c>
      <c r="L188" s="134" t="s">
        <v>171</v>
      </c>
      <c r="M188" s="134" t="s">
        <v>1626</v>
      </c>
      <c r="N188" s="134" t="s">
        <v>170</v>
      </c>
      <c r="P188" s="134" t="s">
        <v>171</v>
      </c>
      <c r="Q188" s="134" t="s">
        <v>153</v>
      </c>
      <c r="R188" s="146">
        <v>443.779</v>
      </c>
      <c r="S188" s="134" t="s">
        <v>154</v>
      </c>
      <c r="T188" s="146">
        <v>443.779</v>
      </c>
      <c r="U188" s="146"/>
      <c r="V188" s="134" t="s">
        <v>155</v>
      </c>
      <c r="W188" s="147" t="s">
        <v>299</v>
      </c>
      <c r="X188" s="134">
        <v>2021</v>
      </c>
      <c r="Y188" s="151" t="s">
        <v>3381</v>
      </c>
      <c r="AA188" s="134" t="s">
        <v>3379</v>
      </c>
      <c r="AB188" s="163">
        <v>44371</v>
      </c>
      <c r="AC188" s="150">
        <v>45895</v>
      </c>
    </row>
    <row r="189" spans="1:29" ht="15" customHeight="1" x14ac:dyDescent="0.45">
      <c r="A189" s="134" t="s">
        <v>142</v>
      </c>
      <c r="B189" s="134" t="s">
        <v>143</v>
      </c>
      <c r="C189" s="134" t="s">
        <v>144</v>
      </c>
      <c r="D189" s="134" t="s">
        <v>142</v>
      </c>
      <c r="E189" s="134" t="s">
        <v>143</v>
      </c>
      <c r="F189" s="134" t="s">
        <v>166</v>
      </c>
      <c r="G189" s="134" t="s">
        <v>167</v>
      </c>
      <c r="H189" s="134" t="s">
        <v>168</v>
      </c>
      <c r="I189" s="134" t="s">
        <v>171</v>
      </c>
      <c r="J189" s="134" t="s">
        <v>3382</v>
      </c>
      <c r="K189" s="134" t="s">
        <v>3382</v>
      </c>
      <c r="L189" s="134" t="s">
        <v>171</v>
      </c>
      <c r="M189" s="134" t="s">
        <v>2118</v>
      </c>
      <c r="N189" s="134" t="s">
        <v>170</v>
      </c>
      <c r="P189" s="134" t="s">
        <v>171</v>
      </c>
      <c r="Q189" s="134" t="s">
        <v>153</v>
      </c>
      <c r="R189" s="146">
        <v>217.65799999999999</v>
      </c>
      <c r="S189" s="134" t="s">
        <v>154</v>
      </c>
      <c r="T189" s="146">
        <v>217.65799999999999</v>
      </c>
      <c r="U189" s="146"/>
      <c r="V189" s="134" t="s">
        <v>155</v>
      </c>
      <c r="W189" s="147" t="s">
        <v>299</v>
      </c>
      <c r="X189" s="134">
        <v>2021</v>
      </c>
      <c r="Y189" s="151" t="s">
        <v>3383</v>
      </c>
      <c r="AA189" s="134" t="s">
        <v>3379</v>
      </c>
      <c r="AB189" s="163">
        <v>44371</v>
      </c>
      <c r="AC189" s="150">
        <v>45895</v>
      </c>
    </row>
    <row r="190" spans="1:29" ht="15" customHeight="1" x14ac:dyDescent="0.45">
      <c r="A190" s="134" t="s">
        <v>142</v>
      </c>
      <c r="B190" s="134" t="s">
        <v>143</v>
      </c>
      <c r="C190" s="134" t="s">
        <v>144</v>
      </c>
      <c r="D190" s="134" t="s">
        <v>142</v>
      </c>
      <c r="E190" s="134" t="s">
        <v>143</v>
      </c>
      <c r="F190" s="134" t="s">
        <v>166</v>
      </c>
      <c r="G190" s="134" t="s">
        <v>160</v>
      </c>
      <c r="H190" s="134" t="s">
        <v>161</v>
      </c>
      <c r="I190" s="134" t="s">
        <v>218</v>
      </c>
      <c r="J190" s="134" t="s">
        <v>3129</v>
      </c>
      <c r="K190" s="134" t="s">
        <v>3386</v>
      </c>
      <c r="L190" s="134" t="s">
        <v>149</v>
      </c>
      <c r="M190" s="134" t="s">
        <v>210</v>
      </c>
      <c r="N190" s="134" t="s">
        <v>170</v>
      </c>
      <c r="P190" s="134" t="s">
        <v>171</v>
      </c>
      <c r="Q190" s="134" t="s">
        <v>153</v>
      </c>
      <c r="R190" s="146">
        <v>4.0519999999999996</v>
      </c>
      <c r="S190" s="134" t="s">
        <v>154</v>
      </c>
      <c r="T190" s="146">
        <v>4.0519999999999996</v>
      </c>
      <c r="U190" s="146"/>
      <c r="V190" s="134" t="s">
        <v>155</v>
      </c>
      <c r="W190" s="147" t="s">
        <v>312</v>
      </c>
      <c r="X190" s="134">
        <v>2021</v>
      </c>
      <c r="Y190" s="151" t="s">
        <v>3384</v>
      </c>
      <c r="AA190" s="134" t="s">
        <v>3385</v>
      </c>
      <c r="AB190" s="163">
        <v>44398</v>
      </c>
      <c r="AC190" s="150">
        <v>45895</v>
      </c>
    </row>
    <row r="191" spans="1:29" ht="15" customHeight="1" x14ac:dyDescent="0.45">
      <c r="A191" s="134" t="s">
        <v>142</v>
      </c>
      <c r="B191" s="134" t="s">
        <v>143</v>
      </c>
      <c r="C191" s="134" t="s">
        <v>159</v>
      </c>
      <c r="D191" s="134" t="s">
        <v>142</v>
      </c>
      <c r="E191" s="134" t="s">
        <v>143</v>
      </c>
      <c r="F191" s="134" t="s">
        <v>166</v>
      </c>
      <c r="G191" s="134" t="s">
        <v>160</v>
      </c>
      <c r="H191" s="134" t="s">
        <v>161</v>
      </c>
      <c r="I191" s="134" t="s">
        <v>218</v>
      </c>
      <c r="J191" s="134" t="s">
        <v>3129</v>
      </c>
      <c r="K191" s="134" t="s">
        <v>3386</v>
      </c>
      <c r="L191" s="134" t="s">
        <v>149</v>
      </c>
      <c r="M191" s="134" t="s">
        <v>210</v>
      </c>
      <c r="N191" s="134" t="s">
        <v>170</v>
      </c>
      <c r="P191" s="134" t="s">
        <v>171</v>
      </c>
      <c r="Q191" s="134" t="s">
        <v>153</v>
      </c>
      <c r="R191" s="146">
        <v>2.93</v>
      </c>
      <c r="S191" s="134" t="s">
        <v>154</v>
      </c>
      <c r="T191" s="146">
        <v>2.93</v>
      </c>
      <c r="U191" s="146"/>
      <c r="V191" s="134" t="s">
        <v>155</v>
      </c>
      <c r="W191" s="147" t="s">
        <v>312</v>
      </c>
      <c r="X191" s="134">
        <v>2021</v>
      </c>
      <c r="Y191" s="151" t="s">
        <v>3384</v>
      </c>
      <c r="Z191" s="134" t="s">
        <v>3387</v>
      </c>
      <c r="AA191" s="134" t="s">
        <v>3385</v>
      </c>
      <c r="AB191" s="163">
        <v>44398</v>
      </c>
      <c r="AC191" s="150">
        <v>45895</v>
      </c>
    </row>
    <row r="192" spans="1:29" ht="15" customHeight="1" x14ac:dyDescent="0.45">
      <c r="A192" s="134" t="s">
        <v>152</v>
      </c>
      <c r="B192" s="134" t="s">
        <v>152</v>
      </c>
      <c r="C192" s="134" t="s">
        <v>144</v>
      </c>
      <c r="D192" s="134" t="s">
        <v>142</v>
      </c>
      <c r="E192" s="134" t="s">
        <v>143</v>
      </c>
      <c r="F192" s="134" t="s">
        <v>145</v>
      </c>
      <c r="G192" s="134" t="s">
        <v>160</v>
      </c>
      <c r="H192" s="134" t="s">
        <v>161</v>
      </c>
      <c r="I192" s="134" t="s">
        <v>218</v>
      </c>
      <c r="J192" s="134" t="s">
        <v>3129</v>
      </c>
      <c r="K192" s="134" t="s">
        <v>3386</v>
      </c>
      <c r="L192" s="134" t="s">
        <v>149</v>
      </c>
      <c r="M192" s="134" t="s">
        <v>210</v>
      </c>
      <c r="N192" s="134" t="s">
        <v>170</v>
      </c>
      <c r="P192" s="134" t="s">
        <v>171</v>
      </c>
      <c r="Q192" s="134" t="s">
        <v>153</v>
      </c>
      <c r="R192" s="146">
        <v>2.5510000000000002</v>
      </c>
      <c r="S192" s="134" t="s">
        <v>154</v>
      </c>
      <c r="T192" s="146">
        <v>2.5510000000000002</v>
      </c>
      <c r="U192" s="146"/>
      <c r="V192" s="134" t="s">
        <v>181</v>
      </c>
      <c r="W192" s="147" t="s">
        <v>312</v>
      </c>
      <c r="X192" s="134">
        <v>2021</v>
      </c>
      <c r="Y192" s="151" t="s">
        <v>3384</v>
      </c>
      <c r="Z192" s="134" t="s">
        <v>3387</v>
      </c>
      <c r="AA192" s="134" t="s">
        <v>3385</v>
      </c>
      <c r="AB192" s="163">
        <v>44398</v>
      </c>
      <c r="AC192" s="150">
        <v>45895</v>
      </c>
    </row>
    <row r="193" spans="1:29" ht="15" customHeight="1" x14ac:dyDescent="0.45">
      <c r="A193" s="134" t="s">
        <v>142</v>
      </c>
      <c r="B193" s="134" t="s">
        <v>143</v>
      </c>
      <c r="C193" s="134" t="s">
        <v>144</v>
      </c>
      <c r="D193" s="134" t="s">
        <v>142</v>
      </c>
      <c r="E193" s="134" t="s">
        <v>143</v>
      </c>
      <c r="F193" s="134" t="s">
        <v>166</v>
      </c>
      <c r="G193" s="134" t="s">
        <v>167</v>
      </c>
      <c r="H193" s="134" t="s">
        <v>752</v>
      </c>
      <c r="I193" s="134" t="s">
        <v>171</v>
      </c>
      <c r="J193" s="134" t="s">
        <v>3388</v>
      </c>
      <c r="K193" s="134" t="s">
        <v>3389</v>
      </c>
      <c r="L193" s="134" t="s">
        <v>171</v>
      </c>
      <c r="N193" s="134" t="s">
        <v>170</v>
      </c>
      <c r="P193" s="134" t="s">
        <v>171</v>
      </c>
      <c r="Q193" s="134" t="s">
        <v>153</v>
      </c>
      <c r="R193" s="146">
        <v>113.29600000000001</v>
      </c>
      <c r="S193" s="134" t="s">
        <v>154</v>
      </c>
      <c r="T193" s="146">
        <v>113.29600000000001</v>
      </c>
      <c r="U193" s="146"/>
      <c r="V193" s="134" t="s">
        <v>155</v>
      </c>
      <c r="W193" s="147" t="s">
        <v>299</v>
      </c>
      <c r="X193" s="134">
        <v>2021</v>
      </c>
      <c r="Y193" s="151" t="s">
        <v>3390</v>
      </c>
      <c r="AA193" s="134" t="s">
        <v>3379</v>
      </c>
      <c r="AB193" s="163">
        <v>44371</v>
      </c>
      <c r="AC193" s="150">
        <v>45895</v>
      </c>
    </row>
    <row r="194" spans="1:29" ht="15" customHeight="1" x14ac:dyDescent="0.45">
      <c r="A194" s="134" t="s">
        <v>142</v>
      </c>
      <c r="B194" s="134" t="s">
        <v>143</v>
      </c>
      <c r="C194" s="134" t="s">
        <v>144</v>
      </c>
      <c r="D194" s="134" t="s">
        <v>142</v>
      </c>
      <c r="E194" s="134" t="s">
        <v>143</v>
      </c>
      <c r="F194" s="134" t="s">
        <v>166</v>
      </c>
      <c r="G194" s="134" t="s">
        <v>160</v>
      </c>
      <c r="H194" s="134" t="s">
        <v>161</v>
      </c>
      <c r="I194" s="134" t="s">
        <v>218</v>
      </c>
      <c r="J194" s="134" t="s">
        <v>3391</v>
      </c>
      <c r="K194" s="134" t="s">
        <v>3392</v>
      </c>
      <c r="L194" s="134" t="s">
        <v>149</v>
      </c>
      <c r="M194" s="134" t="s">
        <v>584</v>
      </c>
      <c r="N194" s="134" t="s">
        <v>170</v>
      </c>
      <c r="P194" s="134">
        <v>4</v>
      </c>
      <c r="Q194" s="134" t="s">
        <v>153</v>
      </c>
      <c r="R194" s="146">
        <v>14.8</v>
      </c>
      <c r="S194" s="134" t="s">
        <v>154</v>
      </c>
      <c r="T194" s="146">
        <v>14.8</v>
      </c>
      <c r="U194" s="146"/>
      <c r="V194" s="134" t="s">
        <v>155</v>
      </c>
      <c r="W194" s="147" t="s">
        <v>299</v>
      </c>
      <c r="X194" s="134">
        <v>2021</v>
      </c>
      <c r="Y194" s="151" t="s">
        <v>3394</v>
      </c>
      <c r="AA194" s="134" t="s">
        <v>3379</v>
      </c>
      <c r="AB194" s="163">
        <v>44371</v>
      </c>
      <c r="AC194" s="150">
        <v>45895</v>
      </c>
    </row>
    <row r="195" spans="1:29" ht="15" customHeight="1" x14ac:dyDescent="0.45">
      <c r="A195" s="134" t="s">
        <v>142</v>
      </c>
      <c r="B195" s="134" t="s">
        <v>143</v>
      </c>
      <c r="C195" s="134" t="s">
        <v>144</v>
      </c>
      <c r="D195" s="134" t="s">
        <v>142</v>
      </c>
      <c r="E195" s="134" t="s">
        <v>143</v>
      </c>
      <c r="F195" s="134" t="s">
        <v>166</v>
      </c>
      <c r="G195" s="134" t="s">
        <v>160</v>
      </c>
      <c r="H195" s="134" t="s">
        <v>161</v>
      </c>
      <c r="I195" s="134" t="s">
        <v>218</v>
      </c>
      <c r="J195" s="134" t="s">
        <v>3391</v>
      </c>
      <c r="K195" s="134" t="s">
        <v>3393</v>
      </c>
      <c r="L195" s="134" t="s">
        <v>149</v>
      </c>
      <c r="M195" s="134" t="s">
        <v>584</v>
      </c>
      <c r="N195" s="134" t="s">
        <v>170</v>
      </c>
      <c r="P195" s="134">
        <v>2</v>
      </c>
      <c r="Q195" s="134" t="s">
        <v>153</v>
      </c>
      <c r="R195" s="146"/>
      <c r="T195" s="146"/>
      <c r="U195" s="146"/>
      <c r="V195" s="134" t="s">
        <v>155</v>
      </c>
      <c r="W195" s="147" t="s">
        <v>299</v>
      </c>
      <c r="X195" s="134">
        <v>2021</v>
      </c>
      <c r="Y195" s="151" t="s">
        <v>3394</v>
      </c>
      <c r="Z195" s="134" t="s">
        <v>3395</v>
      </c>
      <c r="AA195" s="134" t="s">
        <v>3379</v>
      </c>
      <c r="AB195" s="163">
        <v>44371</v>
      </c>
      <c r="AC195" s="150">
        <v>45895</v>
      </c>
    </row>
    <row r="196" spans="1:29" ht="15" customHeight="1" x14ac:dyDescent="0.45">
      <c r="A196" s="134" t="s">
        <v>142</v>
      </c>
      <c r="B196" s="134" t="s">
        <v>143</v>
      </c>
      <c r="C196" s="134" t="s">
        <v>165</v>
      </c>
      <c r="D196" s="134" t="s">
        <v>142</v>
      </c>
      <c r="E196" s="134" t="s">
        <v>143</v>
      </c>
      <c r="F196" s="134" t="s">
        <v>166</v>
      </c>
      <c r="G196" s="134" t="s">
        <v>152</v>
      </c>
      <c r="H196" s="134" t="s">
        <v>171</v>
      </c>
      <c r="I196" s="134" t="s">
        <v>171</v>
      </c>
      <c r="J196" s="134" t="s">
        <v>3396</v>
      </c>
      <c r="K196" s="134" t="s">
        <v>3396</v>
      </c>
      <c r="L196" s="134" t="s">
        <v>171</v>
      </c>
      <c r="N196" s="134" t="s">
        <v>170</v>
      </c>
      <c r="P196" s="134" t="s">
        <v>171</v>
      </c>
      <c r="Q196" s="134" t="s">
        <v>153</v>
      </c>
      <c r="R196" s="146">
        <v>94.742999999999995</v>
      </c>
      <c r="S196" s="134" t="s">
        <v>154</v>
      </c>
      <c r="T196" s="146">
        <v>94.742999999999995</v>
      </c>
      <c r="U196" s="146"/>
      <c r="V196" s="134" t="s">
        <v>155</v>
      </c>
      <c r="W196" s="147" t="s">
        <v>299</v>
      </c>
      <c r="X196" s="134">
        <v>2021</v>
      </c>
      <c r="Y196" s="151" t="s">
        <v>3397</v>
      </c>
      <c r="AA196" s="134" t="s">
        <v>3379</v>
      </c>
      <c r="AB196" s="163">
        <v>44371</v>
      </c>
      <c r="AC196" s="150">
        <v>45895</v>
      </c>
    </row>
    <row r="197" spans="1:29" ht="15" customHeight="1" x14ac:dyDescent="0.45">
      <c r="A197" s="134" t="s">
        <v>142</v>
      </c>
      <c r="B197" s="134" t="s">
        <v>143</v>
      </c>
      <c r="C197" s="134" t="s">
        <v>144</v>
      </c>
      <c r="D197" s="134" t="s">
        <v>142</v>
      </c>
      <c r="E197" s="134" t="s">
        <v>143</v>
      </c>
      <c r="F197" s="134" t="s">
        <v>166</v>
      </c>
      <c r="G197" s="134" t="s">
        <v>160</v>
      </c>
      <c r="H197" s="134" t="s">
        <v>221</v>
      </c>
      <c r="I197" s="134" t="s">
        <v>222</v>
      </c>
      <c r="J197" s="134" t="s">
        <v>3239</v>
      </c>
      <c r="K197" s="134" t="s">
        <v>3239</v>
      </c>
      <c r="L197" s="134" t="s">
        <v>149</v>
      </c>
      <c r="M197" s="134" t="s">
        <v>224</v>
      </c>
      <c r="N197" s="134" t="s">
        <v>170</v>
      </c>
      <c r="P197" s="134">
        <v>9</v>
      </c>
      <c r="Q197" s="134" t="s">
        <v>153</v>
      </c>
      <c r="R197" s="146">
        <v>735.90300000000002</v>
      </c>
      <c r="S197" s="134" t="s">
        <v>154</v>
      </c>
      <c r="T197" s="146">
        <v>735.90300000000002</v>
      </c>
      <c r="U197" s="146"/>
      <c r="V197" s="134" t="s">
        <v>155</v>
      </c>
      <c r="W197" s="147" t="s">
        <v>299</v>
      </c>
      <c r="X197" s="134">
        <v>2021</v>
      </c>
      <c r="Y197" s="151" t="s">
        <v>3398</v>
      </c>
      <c r="AA197" s="160" t="s">
        <v>3399</v>
      </c>
      <c r="AB197" s="163">
        <v>44372</v>
      </c>
      <c r="AC197" s="150">
        <v>45895</v>
      </c>
    </row>
    <row r="198" spans="1:29" ht="15" customHeight="1" x14ac:dyDescent="0.45">
      <c r="A198" s="134" t="s">
        <v>142</v>
      </c>
      <c r="B198" s="134" t="s">
        <v>143</v>
      </c>
      <c r="C198" s="134" t="s">
        <v>189</v>
      </c>
      <c r="D198" s="134" t="s">
        <v>142</v>
      </c>
      <c r="E198" s="134" t="s">
        <v>143</v>
      </c>
      <c r="F198" s="134" t="s">
        <v>166</v>
      </c>
      <c r="G198" s="134" t="s">
        <v>167</v>
      </c>
      <c r="H198" s="134" t="s">
        <v>207</v>
      </c>
      <c r="I198" s="134" t="s">
        <v>171</v>
      </c>
      <c r="J198" s="134" t="s">
        <v>3400</v>
      </c>
      <c r="K198" s="134" t="s">
        <v>3400</v>
      </c>
      <c r="L198" s="134" t="s">
        <v>171</v>
      </c>
      <c r="N198" s="134" t="s">
        <v>170</v>
      </c>
      <c r="P198" s="134" t="s">
        <v>171</v>
      </c>
      <c r="Q198" s="134" t="s">
        <v>153</v>
      </c>
      <c r="R198" s="146">
        <v>58.95</v>
      </c>
      <c r="S198" s="134" t="s">
        <v>154</v>
      </c>
      <c r="T198" s="146">
        <v>58.95</v>
      </c>
      <c r="U198" s="146"/>
      <c r="V198" s="134" t="s">
        <v>155</v>
      </c>
      <c r="W198" s="147" t="s">
        <v>299</v>
      </c>
      <c r="X198" s="134">
        <v>2021</v>
      </c>
      <c r="Y198" s="151" t="s">
        <v>3401</v>
      </c>
      <c r="AA198" s="160" t="s">
        <v>3399</v>
      </c>
      <c r="AB198" s="163">
        <v>44372</v>
      </c>
      <c r="AC198" s="150">
        <v>45895</v>
      </c>
    </row>
    <row r="199" spans="1:29" ht="15" customHeight="1" x14ac:dyDescent="0.45">
      <c r="A199" s="134" t="s">
        <v>142</v>
      </c>
      <c r="B199" s="134" t="s">
        <v>143</v>
      </c>
      <c r="C199" s="134" t="s">
        <v>165</v>
      </c>
      <c r="D199" s="134" t="s">
        <v>142</v>
      </c>
      <c r="E199" s="134" t="s">
        <v>143</v>
      </c>
      <c r="F199" s="134" t="s">
        <v>166</v>
      </c>
      <c r="G199" s="134" t="s">
        <v>182</v>
      </c>
      <c r="H199" s="134" t="s">
        <v>235</v>
      </c>
      <c r="I199" s="134" t="s">
        <v>207</v>
      </c>
      <c r="J199" s="134" t="s">
        <v>3402</v>
      </c>
      <c r="K199" s="134" t="s">
        <v>3402</v>
      </c>
      <c r="L199" s="134" t="s">
        <v>171</v>
      </c>
      <c r="N199" s="134" t="s">
        <v>170</v>
      </c>
      <c r="P199" s="134" t="s">
        <v>171</v>
      </c>
      <c r="Q199" s="134" t="s">
        <v>153</v>
      </c>
      <c r="R199" s="146">
        <v>71.605999999999995</v>
      </c>
      <c r="S199" s="134" t="s">
        <v>154</v>
      </c>
      <c r="T199" s="146">
        <v>71.605999999999995</v>
      </c>
      <c r="U199" s="146"/>
      <c r="V199" s="134" t="s">
        <v>155</v>
      </c>
      <c r="W199" s="147" t="s">
        <v>299</v>
      </c>
      <c r="X199" s="134">
        <v>2021</v>
      </c>
      <c r="Y199" s="151" t="s">
        <v>3403</v>
      </c>
      <c r="AA199" s="160" t="s">
        <v>3399</v>
      </c>
      <c r="AB199" s="163">
        <v>44372</v>
      </c>
      <c r="AC199" s="150">
        <v>45895</v>
      </c>
    </row>
    <row r="200" spans="1:29" ht="15" customHeight="1" x14ac:dyDescent="0.45">
      <c r="A200" s="134" t="s">
        <v>142</v>
      </c>
      <c r="B200" s="134" t="s">
        <v>143</v>
      </c>
      <c r="C200" s="134" t="s">
        <v>165</v>
      </c>
      <c r="D200" s="134" t="s">
        <v>142</v>
      </c>
      <c r="E200" s="134" t="s">
        <v>143</v>
      </c>
      <c r="F200" s="134" t="s">
        <v>166</v>
      </c>
      <c r="G200" s="134" t="s">
        <v>176</v>
      </c>
      <c r="H200" s="134" t="s">
        <v>171</v>
      </c>
      <c r="I200" s="134" t="s">
        <v>171</v>
      </c>
      <c r="J200" s="134" t="s">
        <v>3404</v>
      </c>
      <c r="K200" s="134" t="s">
        <v>3404</v>
      </c>
      <c r="L200" s="134" t="s">
        <v>171</v>
      </c>
      <c r="M200" s="134" t="s">
        <v>1926</v>
      </c>
      <c r="N200" s="134" t="s">
        <v>170</v>
      </c>
      <c r="P200" s="134" t="s">
        <v>171</v>
      </c>
      <c r="Q200" s="134" t="s">
        <v>153</v>
      </c>
      <c r="R200" s="146">
        <v>263.43200000000002</v>
      </c>
      <c r="S200" s="134" t="s">
        <v>154</v>
      </c>
      <c r="T200" s="146">
        <v>263.43200000000002</v>
      </c>
      <c r="U200" s="146"/>
      <c r="V200" s="134" t="s">
        <v>155</v>
      </c>
      <c r="W200" s="147" t="s">
        <v>299</v>
      </c>
      <c r="X200" s="134">
        <v>2021</v>
      </c>
      <c r="Y200" s="151" t="s">
        <v>3405</v>
      </c>
      <c r="AA200" s="160" t="s">
        <v>3406</v>
      </c>
      <c r="AB200" s="163">
        <v>44375</v>
      </c>
      <c r="AC200" s="150">
        <v>45895</v>
      </c>
    </row>
    <row r="201" spans="1:29" ht="15" customHeight="1" x14ac:dyDescent="0.45">
      <c r="A201" s="134" t="s">
        <v>157</v>
      </c>
      <c r="B201" s="134" t="s">
        <v>256</v>
      </c>
      <c r="C201" s="134" t="s">
        <v>159</v>
      </c>
      <c r="D201" s="134" t="s">
        <v>142</v>
      </c>
      <c r="E201" s="134" t="s">
        <v>143</v>
      </c>
      <c r="F201" s="134" t="s">
        <v>145</v>
      </c>
      <c r="G201" s="134" t="s">
        <v>160</v>
      </c>
      <c r="H201" s="134" t="s">
        <v>161</v>
      </c>
      <c r="I201" s="134" t="s">
        <v>313</v>
      </c>
      <c r="J201" s="134" t="s">
        <v>3407</v>
      </c>
      <c r="K201" s="134" t="s">
        <v>3407</v>
      </c>
      <c r="L201" s="134" t="s">
        <v>179</v>
      </c>
      <c r="M201" s="134" t="s">
        <v>314</v>
      </c>
      <c r="N201" s="134" t="s">
        <v>170</v>
      </c>
      <c r="P201" s="134" t="s">
        <v>152</v>
      </c>
      <c r="Q201" s="134" t="s">
        <v>153</v>
      </c>
      <c r="R201" s="146">
        <v>79.42</v>
      </c>
      <c r="S201" s="134" t="s">
        <v>154</v>
      </c>
      <c r="T201" s="146">
        <v>79.42</v>
      </c>
      <c r="U201" s="146"/>
      <c r="V201" s="134" t="s">
        <v>181</v>
      </c>
      <c r="W201" s="147" t="s">
        <v>299</v>
      </c>
      <c r="X201" s="134">
        <v>2021</v>
      </c>
      <c r="Y201" s="151" t="s">
        <v>3408</v>
      </c>
      <c r="AA201" s="160" t="s">
        <v>3406</v>
      </c>
      <c r="AB201" s="163">
        <v>44375</v>
      </c>
      <c r="AC201" s="150">
        <v>45895</v>
      </c>
    </row>
    <row r="202" spans="1:29" ht="15" customHeight="1" x14ac:dyDescent="0.45">
      <c r="A202" s="134" t="s">
        <v>142</v>
      </c>
      <c r="B202" s="134" t="s">
        <v>143</v>
      </c>
      <c r="C202" s="134" t="s">
        <v>144</v>
      </c>
      <c r="D202" s="134" t="s">
        <v>142</v>
      </c>
      <c r="E202" s="134" t="s">
        <v>143</v>
      </c>
      <c r="F202" s="134" t="s">
        <v>166</v>
      </c>
      <c r="G202" s="134" t="s">
        <v>146</v>
      </c>
      <c r="H202" s="134" t="s">
        <v>231</v>
      </c>
      <c r="I202" s="134" t="s">
        <v>548</v>
      </c>
      <c r="J202" s="134" t="s">
        <v>3409</v>
      </c>
      <c r="K202" s="134" t="s">
        <v>3410</v>
      </c>
      <c r="L202" s="134" t="s">
        <v>149</v>
      </c>
      <c r="M202" s="134" t="s">
        <v>391</v>
      </c>
      <c r="N202" s="134" t="s">
        <v>170</v>
      </c>
      <c r="P202" s="134" t="s">
        <v>171</v>
      </c>
      <c r="Q202" s="134" t="s">
        <v>153</v>
      </c>
      <c r="R202" s="146">
        <v>7.87</v>
      </c>
      <c r="S202" s="134" t="s">
        <v>154</v>
      </c>
      <c r="T202" s="146">
        <v>7.87</v>
      </c>
      <c r="U202" s="146"/>
      <c r="V202" s="134" t="s">
        <v>155</v>
      </c>
      <c r="W202" s="147" t="s">
        <v>299</v>
      </c>
      <c r="X202" s="134">
        <v>2021</v>
      </c>
      <c r="Y202" s="151" t="s">
        <v>3411</v>
      </c>
      <c r="AA202" s="160" t="s">
        <v>3406</v>
      </c>
      <c r="AB202" s="163">
        <v>44375</v>
      </c>
      <c r="AC202" s="150">
        <v>45895</v>
      </c>
    </row>
    <row r="203" spans="1:29" ht="15" customHeight="1" x14ac:dyDescent="0.45">
      <c r="A203" s="165" t="s">
        <v>142</v>
      </c>
      <c r="B203" s="134" t="s">
        <v>143</v>
      </c>
      <c r="C203" s="134" t="s">
        <v>159</v>
      </c>
      <c r="D203" s="134" t="s">
        <v>142</v>
      </c>
      <c r="E203" s="134" t="s">
        <v>143</v>
      </c>
      <c r="F203" s="134" t="s">
        <v>166</v>
      </c>
      <c r="G203" s="134" t="s">
        <v>167</v>
      </c>
      <c r="H203" s="134" t="s">
        <v>274</v>
      </c>
      <c r="I203" s="134" t="s">
        <v>171</v>
      </c>
      <c r="J203" s="134" t="s">
        <v>3412</v>
      </c>
      <c r="K203" s="134" t="s">
        <v>3413</v>
      </c>
      <c r="L203" s="134" t="s">
        <v>171</v>
      </c>
      <c r="N203" s="134" t="s">
        <v>170</v>
      </c>
      <c r="P203" s="134" t="s">
        <v>171</v>
      </c>
      <c r="Q203" s="134" t="s">
        <v>153</v>
      </c>
      <c r="R203" s="146">
        <v>133</v>
      </c>
      <c r="S203" s="134" t="s">
        <v>154</v>
      </c>
      <c r="T203" s="146">
        <v>133</v>
      </c>
      <c r="U203" s="146"/>
      <c r="V203" s="134" t="s">
        <v>155</v>
      </c>
      <c r="W203" s="147" t="s">
        <v>299</v>
      </c>
      <c r="X203" s="134">
        <v>2021</v>
      </c>
      <c r="Y203" s="151" t="s">
        <v>3414</v>
      </c>
      <c r="AA203" s="160" t="s">
        <v>3415</v>
      </c>
      <c r="AB203" s="163">
        <v>44376</v>
      </c>
      <c r="AC203" s="150">
        <v>45897</v>
      </c>
    </row>
    <row r="204" spans="1:29" ht="15" customHeight="1" x14ac:dyDescent="0.45">
      <c r="A204" s="134" t="s">
        <v>272</v>
      </c>
      <c r="B204" s="134" t="s">
        <v>273</v>
      </c>
      <c r="C204" s="134" t="s">
        <v>159</v>
      </c>
      <c r="D204" s="134" t="s">
        <v>142</v>
      </c>
      <c r="E204" s="134" t="s">
        <v>143</v>
      </c>
      <c r="F204" s="134" t="s">
        <v>145</v>
      </c>
      <c r="G204" s="134" t="s">
        <v>160</v>
      </c>
      <c r="H204" s="134" t="s">
        <v>161</v>
      </c>
      <c r="I204" s="134" t="s">
        <v>247</v>
      </c>
      <c r="J204" s="134" t="s">
        <v>3416</v>
      </c>
      <c r="K204" s="134" t="s">
        <v>3416</v>
      </c>
      <c r="L204" s="134" t="s">
        <v>149</v>
      </c>
      <c r="M204" s="134" t="s">
        <v>180</v>
      </c>
      <c r="N204" s="134" t="s">
        <v>151</v>
      </c>
      <c r="O204" s="134">
        <v>12</v>
      </c>
      <c r="P204" s="134" t="s">
        <v>171</v>
      </c>
      <c r="Q204" s="134" t="s">
        <v>153</v>
      </c>
      <c r="R204" s="146">
        <v>19.297000000000001</v>
      </c>
      <c r="S204" s="134" t="s">
        <v>154</v>
      </c>
      <c r="T204" s="146">
        <v>19.297000000000001</v>
      </c>
      <c r="U204" s="146"/>
      <c r="V204" s="134" t="s">
        <v>181</v>
      </c>
      <c r="W204" s="147" t="s">
        <v>299</v>
      </c>
      <c r="X204" s="134">
        <v>2021</v>
      </c>
      <c r="Y204" s="151" t="s">
        <v>3418</v>
      </c>
      <c r="AA204" s="160" t="s">
        <v>3415</v>
      </c>
      <c r="AB204" s="163">
        <v>44376</v>
      </c>
      <c r="AC204" s="150">
        <v>45897</v>
      </c>
    </row>
    <row r="205" spans="1:29" ht="15" customHeight="1" x14ac:dyDescent="0.45">
      <c r="A205" s="134" t="s">
        <v>272</v>
      </c>
      <c r="B205" s="134" t="s">
        <v>273</v>
      </c>
      <c r="C205" s="134" t="s">
        <v>159</v>
      </c>
      <c r="D205" s="134" t="s">
        <v>142</v>
      </c>
      <c r="E205" s="134" t="s">
        <v>143</v>
      </c>
      <c r="F205" s="134" t="s">
        <v>145</v>
      </c>
      <c r="G205" s="134" t="s">
        <v>160</v>
      </c>
      <c r="H205" s="134" t="s">
        <v>161</v>
      </c>
      <c r="I205" s="134" t="s">
        <v>162</v>
      </c>
      <c r="J205" s="134" t="s">
        <v>3417</v>
      </c>
      <c r="K205" s="134" t="s">
        <v>3417</v>
      </c>
      <c r="L205" s="134" t="s">
        <v>149</v>
      </c>
      <c r="M205" s="134" t="s">
        <v>180</v>
      </c>
      <c r="N205" s="134" t="s">
        <v>151</v>
      </c>
      <c r="P205" s="134" t="s">
        <v>171</v>
      </c>
      <c r="Q205" s="134" t="s">
        <v>153</v>
      </c>
      <c r="R205" s="146"/>
      <c r="T205" s="146"/>
      <c r="U205" s="146"/>
      <c r="V205" s="134" t="s">
        <v>181</v>
      </c>
      <c r="W205" s="147" t="s">
        <v>299</v>
      </c>
      <c r="X205" s="134">
        <v>2021</v>
      </c>
      <c r="Y205" s="151" t="s">
        <v>3418</v>
      </c>
      <c r="Z205" s="134" t="s">
        <v>3419</v>
      </c>
      <c r="AA205" s="160" t="s">
        <v>3415</v>
      </c>
      <c r="AB205" s="163">
        <v>44376</v>
      </c>
      <c r="AC205" s="150">
        <v>45897</v>
      </c>
    </row>
    <row r="206" spans="1:29" ht="15" customHeight="1" x14ac:dyDescent="0.45">
      <c r="A206" s="134" t="s">
        <v>272</v>
      </c>
      <c r="B206" s="134" t="s">
        <v>273</v>
      </c>
      <c r="C206" s="134" t="s">
        <v>159</v>
      </c>
      <c r="D206" s="134" t="s">
        <v>142</v>
      </c>
      <c r="E206" s="134" t="s">
        <v>143</v>
      </c>
      <c r="F206" s="134" t="s">
        <v>145</v>
      </c>
      <c r="G206" s="134" t="s">
        <v>160</v>
      </c>
      <c r="H206" s="134" t="s">
        <v>161</v>
      </c>
      <c r="I206" s="134" t="s">
        <v>171</v>
      </c>
      <c r="J206" s="134" t="s">
        <v>3420</v>
      </c>
      <c r="K206" s="134" t="s">
        <v>3420</v>
      </c>
      <c r="L206" s="134" t="s">
        <v>149</v>
      </c>
      <c r="M206" s="134" t="s">
        <v>248</v>
      </c>
      <c r="N206" s="134" t="s">
        <v>151</v>
      </c>
      <c r="O206" s="134">
        <v>3</v>
      </c>
      <c r="P206" s="134" t="s">
        <v>171</v>
      </c>
      <c r="Q206" s="134" t="s">
        <v>153</v>
      </c>
      <c r="R206" s="146">
        <v>7.6050000000000004</v>
      </c>
      <c r="S206" s="134" t="s">
        <v>154</v>
      </c>
      <c r="T206" s="146">
        <v>7.6050000000000004</v>
      </c>
      <c r="U206" s="146"/>
      <c r="V206" s="134" t="s">
        <v>181</v>
      </c>
      <c r="W206" s="147" t="s">
        <v>299</v>
      </c>
      <c r="X206" s="134">
        <v>2021</v>
      </c>
      <c r="Y206" s="151" t="s">
        <v>3421</v>
      </c>
      <c r="AA206" s="160" t="s">
        <v>3415</v>
      </c>
      <c r="AB206" s="163">
        <v>44376</v>
      </c>
      <c r="AC206" s="150">
        <v>45897</v>
      </c>
    </row>
    <row r="207" spans="1:29" ht="15" customHeight="1" x14ac:dyDescent="0.45">
      <c r="A207" s="134" t="s">
        <v>142</v>
      </c>
      <c r="B207" s="134" t="s">
        <v>143</v>
      </c>
      <c r="C207" s="134" t="s">
        <v>144</v>
      </c>
      <c r="D207" s="134" t="s">
        <v>142</v>
      </c>
      <c r="E207" s="134" t="s">
        <v>143</v>
      </c>
      <c r="F207" s="134" t="s">
        <v>166</v>
      </c>
      <c r="G207" s="134" t="s">
        <v>160</v>
      </c>
      <c r="H207" s="134" t="s">
        <v>221</v>
      </c>
      <c r="I207" s="134" t="s">
        <v>222</v>
      </c>
      <c r="J207" s="70" t="s">
        <v>3422</v>
      </c>
      <c r="K207" s="70" t="s">
        <v>3423</v>
      </c>
      <c r="L207" s="134" t="s">
        <v>149</v>
      </c>
      <c r="M207" s="134" t="s">
        <v>210</v>
      </c>
      <c r="N207" s="134" t="s">
        <v>170</v>
      </c>
      <c r="P207" s="134">
        <v>3</v>
      </c>
      <c r="Q207" s="134" t="s">
        <v>153</v>
      </c>
      <c r="R207" s="146">
        <v>129</v>
      </c>
      <c r="S207" s="134" t="s">
        <v>154</v>
      </c>
      <c r="T207" s="146">
        <v>129</v>
      </c>
      <c r="U207" s="146"/>
      <c r="V207" s="134" t="s">
        <v>155</v>
      </c>
      <c r="W207" s="147" t="s">
        <v>299</v>
      </c>
      <c r="X207" s="134">
        <v>2021</v>
      </c>
      <c r="Y207" s="151" t="s">
        <v>3424</v>
      </c>
      <c r="AA207" s="160" t="s">
        <v>3415</v>
      </c>
      <c r="AB207" s="163">
        <v>44376</v>
      </c>
      <c r="AC207" s="150">
        <v>45897</v>
      </c>
    </row>
    <row r="208" spans="1:29" ht="15" customHeight="1" x14ac:dyDescent="0.45">
      <c r="A208" s="134" t="s">
        <v>142</v>
      </c>
      <c r="B208" s="134" t="s">
        <v>143</v>
      </c>
      <c r="C208" s="134" t="s">
        <v>144</v>
      </c>
      <c r="D208" s="134" t="s">
        <v>142</v>
      </c>
      <c r="E208" s="134" t="s">
        <v>143</v>
      </c>
      <c r="F208" s="134" t="s">
        <v>166</v>
      </c>
      <c r="G208" s="134" t="s">
        <v>146</v>
      </c>
      <c r="H208" s="134" t="s">
        <v>231</v>
      </c>
      <c r="I208" s="134" t="s">
        <v>301</v>
      </c>
      <c r="J208" s="134" t="s">
        <v>3092</v>
      </c>
      <c r="K208" s="134" t="s">
        <v>3425</v>
      </c>
      <c r="L208" s="134" t="s">
        <v>149</v>
      </c>
      <c r="M208" s="134" t="s">
        <v>384</v>
      </c>
      <c r="N208" s="134" t="s">
        <v>170</v>
      </c>
      <c r="P208" s="134" t="s">
        <v>171</v>
      </c>
      <c r="Q208" s="134" t="s">
        <v>153</v>
      </c>
      <c r="R208" s="146">
        <v>72.667000000000002</v>
      </c>
      <c r="S208" s="134" t="s">
        <v>154</v>
      </c>
      <c r="T208" s="146">
        <v>72.667000000000002</v>
      </c>
      <c r="U208" s="146"/>
      <c r="V208" s="134" t="s">
        <v>155</v>
      </c>
      <c r="W208" s="147" t="s">
        <v>299</v>
      </c>
      <c r="X208" s="134">
        <v>2021</v>
      </c>
      <c r="Y208" s="151" t="s">
        <v>3426</v>
      </c>
      <c r="AA208" s="160" t="s">
        <v>3415</v>
      </c>
      <c r="AB208" s="163">
        <v>44376</v>
      </c>
      <c r="AC208" s="150">
        <v>45897</v>
      </c>
    </row>
    <row r="209" spans="1:29" ht="15" customHeight="1" x14ac:dyDescent="0.45">
      <c r="A209" s="134" t="s">
        <v>142</v>
      </c>
      <c r="B209" s="134" t="s">
        <v>143</v>
      </c>
      <c r="C209" s="134" t="s">
        <v>144</v>
      </c>
      <c r="D209" s="134" t="s">
        <v>142</v>
      </c>
      <c r="E209" s="134" t="s">
        <v>143</v>
      </c>
      <c r="F209" s="134" t="s">
        <v>166</v>
      </c>
      <c r="G209" s="134" t="s">
        <v>160</v>
      </c>
      <c r="H209" s="134" t="s">
        <v>161</v>
      </c>
      <c r="I209" s="134" t="s">
        <v>95</v>
      </c>
      <c r="J209" s="134" t="s">
        <v>3427</v>
      </c>
      <c r="K209" s="134" t="s">
        <v>3428</v>
      </c>
      <c r="L209" s="134" t="s">
        <v>149</v>
      </c>
      <c r="M209" s="134" t="s">
        <v>401</v>
      </c>
      <c r="N209" s="134" t="s">
        <v>170</v>
      </c>
      <c r="P209" s="134">
        <v>1</v>
      </c>
      <c r="Q209" s="134" t="s">
        <v>153</v>
      </c>
      <c r="R209" s="146">
        <v>18.158999999999999</v>
      </c>
      <c r="S209" s="134" t="s">
        <v>154</v>
      </c>
      <c r="T209" s="146">
        <v>18.158999999999999</v>
      </c>
      <c r="U209" s="146"/>
      <c r="V209" s="134" t="s">
        <v>155</v>
      </c>
      <c r="W209" s="147" t="s">
        <v>299</v>
      </c>
      <c r="X209" s="134">
        <v>2021</v>
      </c>
      <c r="Y209" s="151" t="s">
        <v>3430</v>
      </c>
      <c r="AA209" s="160" t="s">
        <v>3415</v>
      </c>
      <c r="AB209" s="163">
        <v>44376</v>
      </c>
      <c r="AC209" s="150">
        <v>45897</v>
      </c>
    </row>
    <row r="210" spans="1:29" ht="15" customHeight="1" x14ac:dyDescent="0.45">
      <c r="A210" s="134" t="s">
        <v>142</v>
      </c>
      <c r="B210" s="134" t="s">
        <v>143</v>
      </c>
      <c r="C210" s="134" t="s">
        <v>144</v>
      </c>
      <c r="D210" s="134" t="s">
        <v>142</v>
      </c>
      <c r="E210" s="134" t="s">
        <v>143</v>
      </c>
      <c r="F210" s="134" t="s">
        <v>166</v>
      </c>
      <c r="G210" s="134" t="s">
        <v>160</v>
      </c>
      <c r="H210" s="134" t="s">
        <v>161</v>
      </c>
      <c r="I210" s="134" t="s">
        <v>95</v>
      </c>
      <c r="J210" s="134" t="s">
        <v>3427</v>
      </c>
      <c r="K210" s="134" t="s">
        <v>3429</v>
      </c>
      <c r="L210" s="134" t="s">
        <v>149</v>
      </c>
      <c r="M210" s="134" t="s">
        <v>401</v>
      </c>
      <c r="N210" s="134" t="s">
        <v>170</v>
      </c>
      <c r="P210" s="148">
        <v>1</v>
      </c>
      <c r="Q210" s="134" t="s">
        <v>153</v>
      </c>
      <c r="R210" s="146"/>
      <c r="T210" s="146"/>
      <c r="U210" s="146"/>
      <c r="V210" s="134" t="s">
        <v>155</v>
      </c>
      <c r="W210" s="147" t="s">
        <v>299</v>
      </c>
      <c r="X210" s="134">
        <v>2021</v>
      </c>
      <c r="Y210" s="151" t="s">
        <v>3430</v>
      </c>
      <c r="Z210" s="134" t="s">
        <v>3431</v>
      </c>
      <c r="AA210" s="160" t="s">
        <v>3415</v>
      </c>
      <c r="AB210" s="163">
        <v>44376</v>
      </c>
      <c r="AC210" s="150">
        <v>45897</v>
      </c>
    </row>
    <row r="211" spans="1:29" ht="15" customHeight="1" x14ac:dyDescent="0.45">
      <c r="A211" s="134" t="s">
        <v>142</v>
      </c>
      <c r="B211" s="134" t="s">
        <v>143</v>
      </c>
      <c r="C211" s="134" t="s">
        <v>144</v>
      </c>
      <c r="D211" s="134" t="s">
        <v>142</v>
      </c>
      <c r="E211" s="134" t="s">
        <v>143</v>
      </c>
      <c r="F211" s="134" t="s">
        <v>166</v>
      </c>
      <c r="G211" s="134" t="s">
        <v>160</v>
      </c>
      <c r="H211" s="134" t="s">
        <v>161</v>
      </c>
      <c r="I211" s="134" t="s">
        <v>218</v>
      </c>
      <c r="J211" s="134" t="s">
        <v>3129</v>
      </c>
      <c r="K211" s="134" t="s">
        <v>3432</v>
      </c>
      <c r="L211" s="134" t="s">
        <v>149</v>
      </c>
      <c r="M211" s="134" t="s">
        <v>210</v>
      </c>
      <c r="N211" s="134" t="s">
        <v>151</v>
      </c>
      <c r="O211" s="134">
        <v>6</v>
      </c>
      <c r="P211" s="134" t="s">
        <v>171</v>
      </c>
      <c r="Q211" s="134" t="s">
        <v>153</v>
      </c>
      <c r="R211" s="146">
        <v>1685.471</v>
      </c>
      <c r="S211" s="134" t="s">
        <v>154</v>
      </c>
      <c r="T211" s="146">
        <v>1685.471</v>
      </c>
      <c r="U211" s="146"/>
      <c r="V211" s="134" t="s">
        <v>155</v>
      </c>
      <c r="W211" s="147" t="s">
        <v>299</v>
      </c>
      <c r="X211" s="134">
        <v>2021</v>
      </c>
      <c r="Y211" s="151" t="s">
        <v>3433</v>
      </c>
      <c r="AA211" s="160" t="s">
        <v>3170</v>
      </c>
      <c r="AB211" s="163">
        <v>44377</v>
      </c>
      <c r="AC211" s="150">
        <v>45897</v>
      </c>
    </row>
    <row r="212" spans="1:29" ht="15" customHeight="1" x14ac:dyDescent="0.45">
      <c r="A212" s="134" t="s">
        <v>152</v>
      </c>
      <c r="B212" s="134" t="s">
        <v>152</v>
      </c>
      <c r="C212" s="134" t="s">
        <v>144</v>
      </c>
      <c r="D212" s="134" t="s">
        <v>142</v>
      </c>
      <c r="E212" s="134" t="s">
        <v>143</v>
      </c>
      <c r="F212" s="134" t="s">
        <v>145</v>
      </c>
      <c r="G212" s="134" t="s">
        <v>160</v>
      </c>
      <c r="H212" s="134" t="s">
        <v>161</v>
      </c>
      <c r="I212" s="134" t="s">
        <v>218</v>
      </c>
      <c r="J212" s="134" t="s">
        <v>3129</v>
      </c>
      <c r="K212" s="134" t="s">
        <v>3432</v>
      </c>
      <c r="L212" s="134" t="s">
        <v>149</v>
      </c>
      <c r="M212" s="134" t="s">
        <v>210</v>
      </c>
      <c r="N212" s="134" t="s">
        <v>151</v>
      </c>
      <c r="P212" s="134" t="s">
        <v>171</v>
      </c>
      <c r="Q212" s="134" t="s">
        <v>153</v>
      </c>
      <c r="R212" s="146">
        <v>76.945999999999998</v>
      </c>
      <c r="S212" s="134" t="s">
        <v>154</v>
      </c>
      <c r="T212" s="146">
        <v>76.945999999999998</v>
      </c>
      <c r="U212" s="146"/>
      <c r="V212" s="134" t="s">
        <v>181</v>
      </c>
      <c r="W212" s="147" t="s">
        <v>299</v>
      </c>
      <c r="X212" s="134">
        <v>2021</v>
      </c>
      <c r="Y212" s="151" t="s">
        <v>3433</v>
      </c>
      <c r="Z212" s="134" t="s">
        <v>3434</v>
      </c>
      <c r="AA212" s="160" t="s">
        <v>3170</v>
      </c>
      <c r="AB212" s="163">
        <v>44377</v>
      </c>
      <c r="AC212" s="150">
        <v>45897</v>
      </c>
    </row>
    <row r="213" spans="1:29" ht="15" customHeight="1" x14ac:dyDescent="0.45">
      <c r="A213" s="134" t="s">
        <v>152</v>
      </c>
      <c r="B213" s="134" t="s">
        <v>152</v>
      </c>
      <c r="C213" s="134" t="s">
        <v>144</v>
      </c>
      <c r="D213" s="134" t="s">
        <v>142</v>
      </c>
      <c r="E213" s="134" t="s">
        <v>143</v>
      </c>
      <c r="F213" s="134" t="s">
        <v>145</v>
      </c>
      <c r="G213" s="134" t="s">
        <v>160</v>
      </c>
      <c r="H213" s="134" t="s">
        <v>161</v>
      </c>
      <c r="I213" s="134" t="s">
        <v>218</v>
      </c>
      <c r="J213" s="134" t="s">
        <v>3129</v>
      </c>
      <c r="K213" s="134" t="s">
        <v>3432</v>
      </c>
      <c r="L213" s="134" t="s">
        <v>149</v>
      </c>
      <c r="M213" s="134" t="s">
        <v>210</v>
      </c>
      <c r="N213" s="134" t="s">
        <v>151</v>
      </c>
      <c r="P213" s="134" t="s">
        <v>171</v>
      </c>
      <c r="Q213" s="134" t="s">
        <v>153</v>
      </c>
      <c r="R213" s="146">
        <v>41.267000000000003</v>
      </c>
      <c r="S213" s="134" t="s">
        <v>154</v>
      </c>
      <c r="T213" s="146">
        <v>41.267000000000003</v>
      </c>
      <c r="U213" s="146"/>
      <c r="V213" s="134" t="s">
        <v>181</v>
      </c>
      <c r="W213" s="147" t="s">
        <v>299</v>
      </c>
      <c r="X213" s="134">
        <v>2021</v>
      </c>
      <c r="Y213" s="151" t="s">
        <v>3433</v>
      </c>
      <c r="Z213" s="134" t="s">
        <v>3435</v>
      </c>
      <c r="AA213" s="160" t="s">
        <v>3170</v>
      </c>
      <c r="AB213" s="163">
        <v>44377</v>
      </c>
      <c r="AC213" s="150">
        <v>45897</v>
      </c>
    </row>
    <row r="214" spans="1:29" ht="15" customHeight="1" x14ac:dyDescent="0.45">
      <c r="A214" s="134" t="s">
        <v>142</v>
      </c>
      <c r="B214" s="134" t="s">
        <v>143</v>
      </c>
      <c r="C214" s="134" t="s">
        <v>144</v>
      </c>
      <c r="D214" s="134" t="s">
        <v>142</v>
      </c>
      <c r="E214" s="134" t="s">
        <v>143</v>
      </c>
      <c r="F214" s="134" t="s">
        <v>166</v>
      </c>
      <c r="G214" s="134" t="s">
        <v>146</v>
      </c>
      <c r="H214" s="134" t="s">
        <v>236</v>
      </c>
      <c r="I214" s="134" t="s">
        <v>243</v>
      </c>
      <c r="J214" s="134" t="s">
        <v>3436</v>
      </c>
      <c r="K214" s="134" t="s">
        <v>3437</v>
      </c>
      <c r="L214" s="134" t="s">
        <v>149</v>
      </c>
      <c r="M214" s="134" t="s">
        <v>302</v>
      </c>
      <c r="N214" s="134" t="s">
        <v>151</v>
      </c>
      <c r="O214" s="134">
        <v>4</v>
      </c>
      <c r="P214" s="134" t="s">
        <v>171</v>
      </c>
      <c r="Q214" s="134" t="s">
        <v>153</v>
      </c>
      <c r="R214" s="146">
        <v>300.20699999999999</v>
      </c>
      <c r="S214" s="134" t="s">
        <v>154</v>
      </c>
      <c r="T214" s="146">
        <v>300.20699999999999</v>
      </c>
      <c r="U214" s="146"/>
      <c r="V214" s="134" t="s">
        <v>155</v>
      </c>
      <c r="W214" s="147" t="s">
        <v>299</v>
      </c>
      <c r="X214" s="134">
        <v>2021</v>
      </c>
      <c r="Y214" s="151" t="s">
        <v>3438</v>
      </c>
      <c r="AA214" s="160" t="s">
        <v>3170</v>
      </c>
      <c r="AB214" s="163">
        <v>44377</v>
      </c>
      <c r="AC214" s="150">
        <v>45897</v>
      </c>
    </row>
    <row r="215" spans="1:29" ht="15" customHeight="1" x14ac:dyDescent="0.45">
      <c r="A215" s="134" t="s">
        <v>142</v>
      </c>
      <c r="B215" s="134" t="s">
        <v>143</v>
      </c>
      <c r="C215" s="134" t="s">
        <v>144</v>
      </c>
      <c r="D215" s="134" t="s">
        <v>142</v>
      </c>
      <c r="E215" s="134" t="s">
        <v>143</v>
      </c>
      <c r="F215" s="134" t="s">
        <v>166</v>
      </c>
      <c r="G215" s="134" t="s">
        <v>146</v>
      </c>
      <c r="H215" s="134" t="s">
        <v>171</v>
      </c>
      <c r="I215" s="134" t="s">
        <v>171</v>
      </c>
      <c r="J215" s="134" t="s">
        <v>3439</v>
      </c>
      <c r="K215" s="134" t="s">
        <v>3439</v>
      </c>
      <c r="L215" s="134" t="s">
        <v>149</v>
      </c>
      <c r="M215" s="134" t="s">
        <v>346</v>
      </c>
      <c r="N215" s="134" t="s">
        <v>170</v>
      </c>
      <c r="P215" s="134" t="s">
        <v>171</v>
      </c>
      <c r="Q215" s="134" t="s">
        <v>153</v>
      </c>
      <c r="R215" s="146">
        <v>98.524000000000001</v>
      </c>
      <c r="S215" s="134" t="s">
        <v>154</v>
      </c>
      <c r="T215" s="146">
        <v>98.524000000000001</v>
      </c>
      <c r="U215" s="146"/>
      <c r="V215" s="134" t="s">
        <v>155</v>
      </c>
      <c r="W215" s="147" t="s">
        <v>299</v>
      </c>
      <c r="X215" s="134">
        <v>2021</v>
      </c>
      <c r="Y215" s="151" t="s">
        <v>3440</v>
      </c>
      <c r="AA215" s="160" t="s">
        <v>3170</v>
      </c>
      <c r="AB215" s="163">
        <v>44377</v>
      </c>
      <c r="AC215" s="150">
        <v>45897</v>
      </c>
    </row>
    <row r="216" spans="1:29" ht="15" customHeight="1" x14ac:dyDescent="0.45">
      <c r="A216" s="134" t="s">
        <v>142</v>
      </c>
      <c r="B216" s="134" t="s">
        <v>143</v>
      </c>
      <c r="C216" s="134" t="s">
        <v>144</v>
      </c>
      <c r="D216" s="134" t="s">
        <v>142</v>
      </c>
      <c r="E216" s="134" t="s">
        <v>143</v>
      </c>
      <c r="F216" s="134" t="s">
        <v>166</v>
      </c>
      <c r="G216" s="134" t="s">
        <v>176</v>
      </c>
      <c r="H216" s="134" t="s">
        <v>215</v>
      </c>
      <c r="I216" s="134" t="s">
        <v>351</v>
      </c>
      <c r="J216" s="134" t="s">
        <v>3441</v>
      </c>
      <c r="K216" s="134" t="s">
        <v>3441</v>
      </c>
      <c r="L216" s="134" t="s">
        <v>171</v>
      </c>
      <c r="M216" s="134" t="s">
        <v>332</v>
      </c>
      <c r="N216" s="134" t="s">
        <v>170</v>
      </c>
      <c r="P216" s="134" t="s">
        <v>171</v>
      </c>
      <c r="Q216" s="134" t="s">
        <v>153</v>
      </c>
      <c r="R216" s="146">
        <v>27.693999999999999</v>
      </c>
      <c r="S216" s="134" t="s">
        <v>154</v>
      </c>
      <c r="T216" s="146">
        <v>27.693999999999999</v>
      </c>
      <c r="U216" s="146"/>
      <c r="V216" s="134" t="s">
        <v>155</v>
      </c>
      <c r="W216" s="147" t="s">
        <v>299</v>
      </c>
      <c r="X216" s="134">
        <v>2021</v>
      </c>
      <c r="Y216" s="151" t="s">
        <v>3442</v>
      </c>
      <c r="AA216" s="160" t="s">
        <v>3170</v>
      </c>
      <c r="AB216" s="163">
        <v>44377</v>
      </c>
      <c r="AC216" s="150">
        <v>45897</v>
      </c>
    </row>
    <row r="217" spans="1:29" ht="15" customHeight="1" x14ac:dyDescent="0.45">
      <c r="A217" s="134" t="s">
        <v>142</v>
      </c>
      <c r="B217" s="134" t="s">
        <v>143</v>
      </c>
      <c r="C217" s="134" t="s">
        <v>144</v>
      </c>
      <c r="D217" s="134" t="s">
        <v>142</v>
      </c>
      <c r="E217" s="134" t="s">
        <v>143</v>
      </c>
      <c r="F217" s="134" t="s">
        <v>166</v>
      </c>
      <c r="G217" s="134" t="s">
        <v>146</v>
      </c>
      <c r="H217" s="134" t="s">
        <v>202</v>
      </c>
      <c r="I217" s="134" t="s">
        <v>202</v>
      </c>
      <c r="J217" s="134" t="s">
        <v>3443</v>
      </c>
      <c r="K217" s="134" t="s">
        <v>33</v>
      </c>
      <c r="L217" s="134" t="s">
        <v>179</v>
      </c>
      <c r="M217" s="134" t="s">
        <v>417</v>
      </c>
      <c r="N217" s="134" t="s">
        <v>170</v>
      </c>
      <c r="P217" s="134" t="s">
        <v>171</v>
      </c>
      <c r="Q217" s="134" t="s">
        <v>153</v>
      </c>
      <c r="R217" s="146">
        <v>27.437000000000001</v>
      </c>
      <c r="S217" s="134" t="s">
        <v>154</v>
      </c>
      <c r="T217" s="146">
        <v>27.437000000000001</v>
      </c>
      <c r="U217" s="146"/>
      <c r="V217" s="134" t="s">
        <v>155</v>
      </c>
      <c r="W217" s="147" t="s">
        <v>299</v>
      </c>
      <c r="X217" s="134">
        <v>2021</v>
      </c>
      <c r="Y217" s="151" t="s">
        <v>3444</v>
      </c>
      <c r="AA217" s="160" t="s">
        <v>3170</v>
      </c>
      <c r="AB217" s="163">
        <v>44377</v>
      </c>
      <c r="AC217" s="150">
        <v>45897</v>
      </c>
    </row>
    <row r="218" spans="1:29" ht="15" customHeight="1" x14ac:dyDescent="0.45">
      <c r="A218" s="134" t="s">
        <v>142</v>
      </c>
      <c r="B218" s="134" t="s">
        <v>143</v>
      </c>
      <c r="C218" s="134" t="s">
        <v>144</v>
      </c>
      <c r="D218" s="134" t="s">
        <v>142</v>
      </c>
      <c r="E218" s="134" t="s">
        <v>143</v>
      </c>
      <c r="F218" s="134" t="s">
        <v>166</v>
      </c>
      <c r="G218" s="134" t="s">
        <v>160</v>
      </c>
      <c r="H218" s="134" t="s">
        <v>1014</v>
      </c>
      <c r="I218" s="134" t="s">
        <v>359</v>
      </c>
      <c r="J218" s="134" t="s">
        <v>3346</v>
      </c>
      <c r="K218" s="134" t="s">
        <v>3445</v>
      </c>
      <c r="L218" s="134" t="s">
        <v>149</v>
      </c>
      <c r="M218" s="134" t="s">
        <v>249</v>
      </c>
      <c r="N218" s="134" t="s">
        <v>170</v>
      </c>
      <c r="P218" s="134">
        <v>12</v>
      </c>
      <c r="Q218" s="134" t="s">
        <v>153</v>
      </c>
      <c r="R218" s="146">
        <v>17.303999999999998</v>
      </c>
      <c r="S218" s="134" t="s">
        <v>154</v>
      </c>
      <c r="T218" s="146">
        <v>17.303999999999998</v>
      </c>
      <c r="U218" s="146"/>
      <c r="V218" s="134" t="s">
        <v>155</v>
      </c>
      <c r="W218" s="147" t="s">
        <v>299</v>
      </c>
      <c r="X218" s="134">
        <v>2021</v>
      </c>
      <c r="Y218" s="151" t="s">
        <v>3448</v>
      </c>
      <c r="AA218" s="160" t="s">
        <v>3170</v>
      </c>
      <c r="AB218" s="163">
        <v>44377</v>
      </c>
      <c r="AC218" s="150">
        <v>45897</v>
      </c>
    </row>
    <row r="219" spans="1:29" ht="15" customHeight="1" x14ac:dyDescent="0.45">
      <c r="A219" s="134" t="s">
        <v>142</v>
      </c>
      <c r="B219" s="134" t="s">
        <v>143</v>
      </c>
      <c r="C219" s="134" t="s">
        <v>144</v>
      </c>
      <c r="D219" s="134" t="s">
        <v>142</v>
      </c>
      <c r="E219" s="134" t="s">
        <v>143</v>
      </c>
      <c r="F219" s="134" t="s">
        <v>166</v>
      </c>
      <c r="G219" s="134" t="s">
        <v>160</v>
      </c>
      <c r="H219" s="134" t="s">
        <v>1014</v>
      </c>
      <c r="I219" s="134" t="s">
        <v>359</v>
      </c>
      <c r="J219" s="134" t="s">
        <v>3346</v>
      </c>
      <c r="K219" s="134" t="s">
        <v>3446</v>
      </c>
      <c r="L219" s="134" t="s">
        <v>149</v>
      </c>
      <c r="M219" s="134" t="s">
        <v>249</v>
      </c>
      <c r="N219" s="134" t="s">
        <v>170</v>
      </c>
      <c r="P219" s="134">
        <v>24</v>
      </c>
      <c r="Q219" s="134" t="s">
        <v>153</v>
      </c>
      <c r="R219" s="146"/>
      <c r="T219" s="146"/>
      <c r="U219" s="146" t="s">
        <v>3451</v>
      </c>
      <c r="V219" s="134" t="s">
        <v>155</v>
      </c>
      <c r="W219" s="147" t="s">
        <v>299</v>
      </c>
      <c r="X219" s="134">
        <v>2021</v>
      </c>
      <c r="Y219" s="151" t="s">
        <v>3448</v>
      </c>
      <c r="AA219" s="160" t="s">
        <v>3170</v>
      </c>
      <c r="AB219" s="163">
        <v>44377</v>
      </c>
      <c r="AC219" s="150">
        <v>45897</v>
      </c>
    </row>
    <row r="220" spans="1:29" ht="15" customHeight="1" x14ac:dyDescent="0.45">
      <c r="A220" s="134" t="s">
        <v>142</v>
      </c>
      <c r="B220" s="134" t="s">
        <v>143</v>
      </c>
      <c r="C220" s="134" t="s">
        <v>144</v>
      </c>
      <c r="D220" s="134" t="s">
        <v>142</v>
      </c>
      <c r="E220" s="134" t="s">
        <v>143</v>
      </c>
      <c r="F220" s="134" t="s">
        <v>166</v>
      </c>
      <c r="G220" s="134" t="s">
        <v>160</v>
      </c>
      <c r="H220" s="134" t="s">
        <v>1014</v>
      </c>
      <c r="I220" s="134" t="s">
        <v>359</v>
      </c>
      <c r="J220" s="134" t="s">
        <v>3346</v>
      </c>
      <c r="K220" s="134" t="s">
        <v>3447</v>
      </c>
      <c r="L220" s="134" t="s">
        <v>149</v>
      </c>
      <c r="M220" s="134" t="s">
        <v>249</v>
      </c>
      <c r="N220" s="134" t="s">
        <v>170</v>
      </c>
      <c r="P220" s="134">
        <v>60</v>
      </c>
      <c r="Q220" s="134" t="s">
        <v>153</v>
      </c>
      <c r="R220" s="146"/>
      <c r="T220" s="146"/>
      <c r="U220" s="146" t="s">
        <v>3451</v>
      </c>
      <c r="V220" s="134" t="s">
        <v>155</v>
      </c>
      <c r="W220" s="147" t="s">
        <v>299</v>
      </c>
      <c r="X220" s="134">
        <v>2021</v>
      </c>
      <c r="Y220" s="151" t="s">
        <v>3448</v>
      </c>
      <c r="AA220" s="160" t="s">
        <v>3170</v>
      </c>
      <c r="AB220" s="163">
        <v>44377</v>
      </c>
      <c r="AC220" s="150">
        <v>45897</v>
      </c>
    </row>
    <row r="221" spans="1:29" ht="15" customHeight="1" x14ac:dyDescent="0.45">
      <c r="A221" s="134" t="s">
        <v>142</v>
      </c>
      <c r="B221" s="134" t="s">
        <v>143</v>
      </c>
      <c r="C221" s="134" t="s">
        <v>144</v>
      </c>
      <c r="D221" s="134" t="s">
        <v>157</v>
      </c>
      <c r="E221" s="134" t="s">
        <v>460</v>
      </c>
      <c r="F221" s="134" t="s">
        <v>145</v>
      </c>
      <c r="G221" s="134" t="s">
        <v>160</v>
      </c>
      <c r="H221" s="134" t="s">
        <v>161</v>
      </c>
      <c r="I221" s="134" t="s">
        <v>95</v>
      </c>
      <c r="J221" s="134" t="s">
        <v>3449</v>
      </c>
      <c r="K221" s="134" t="s">
        <v>3450</v>
      </c>
      <c r="L221" s="134" t="s">
        <v>149</v>
      </c>
      <c r="N221" s="134" t="s">
        <v>170</v>
      </c>
      <c r="P221" s="134">
        <v>1</v>
      </c>
      <c r="Q221" s="134" t="s">
        <v>153</v>
      </c>
      <c r="R221" s="146">
        <v>15</v>
      </c>
      <c r="S221" s="134" t="s">
        <v>154</v>
      </c>
      <c r="T221" s="146">
        <v>15</v>
      </c>
      <c r="U221" s="146"/>
      <c r="V221" s="134" t="s">
        <v>181</v>
      </c>
      <c r="W221" s="147" t="s">
        <v>299</v>
      </c>
      <c r="X221" s="134">
        <v>2021</v>
      </c>
      <c r="Y221" s="151" t="s">
        <v>3452</v>
      </c>
      <c r="AA221" s="160" t="s">
        <v>3170</v>
      </c>
      <c r="AB221" s="163">
        <v>44377</v>
      </c>
      <c r="AC221" s="150">
        <v>45897</v>
      </c>
    </row>
    <row r="222" spans="1:29" ht="15" customHeight="1" x14ac:dyDescent="0.45">
      <c r="A222" s="134" t="s">
        <v>157</v>
      </c>
      <c r="B222" s="134" t="s">
        <v>408</v>
      </c>
      <c r="C222" s="134" t="s">
        <v>144</v>
      </c>
      <c r="D222" s="134" t="s">
        <v>142</v>
      </c>
      <c r="E222" s="134" t="s">
        <v>143</v>
      </c>
      <c r="F222" s="134" t="s">
        <v>145</v>
      </c>
      <c r="G222" s="134" t="s">
        <v>167</v>
      </c>
      <c r="H222" s="134" t="s">
        <v>207</v>
      </c>
      <c r="I222" s="134" t="s">
        <v>171</v>
      </c>
      <c r="J222" s="134" t="s">
        <v>3455</v>
      </c>
      <c r="K222" s="134" t="s">
        <v>3455</v>
      </c>
      <c r="L222" s="134" t="s">
        <v>171</v>
      </c>
      <c r="M222" s="134" t="s">
        <v>384</v>
      </c>
      <c r="N222" s="134" t="s">
        <v>170</v>
      </c>
      <c r="P222" s="134" t="s">
        <v>171</v>
      </c>
      <c r="Q222" s="134" t="s">
        <v>153</v>
      </c>
      <c r="R222" s="146">
        <v>500</v>
      </c>
      <c r="S222" s="134" t="s">
        <v>154</v>
      </c>
      <c r="T222" s="146">
        <v>500</v>
      </c>
      <c r="U222" s="146"/>
      <c r="V222" s="134" t="s">
        <v>181</v>
      </c>
      <c r="W222" s="147" t="s">
        <v>299</v>
      </c>
      <c r="X222" s="134">
        <v>2021</v>
      </c>
      <c r="Y222" s="151" t="s">
        <v>3453</v>
      </c>
      <c r="Z222" s="134" t="s">
        <v>3454</v>
      </c>
      <c r="AA222" s="160" t="s">
        <v>3170</v>
      </c>
      <c r="AB222" s="163">
        <v>44377</v>
      </c>
      <c r="AC222" s="150">
        <v>45897</v>
      </c>
    </row>
    <row r="223" spans="1:29" ht="15" customHeight="1" x14ac:dyDescent="0.45">
      <c r="A223" s="134" t="s">
        <v>142</v>
      </c>
      <c r="B223" s="134" t="s">
        <v>143</v>
      </c>
      <c r="C223" s="134" t="s">
        <v>144</v>
      </c>
      <c r="D223" s="134" t="s">
        <v>142</v>
      </c>
      <c r="E223" s="134" t="s">
        <v>143</v>
      </c>
      <c r="F223" s="134" t="s">
        <v>166</v>
      </c>
      <c r="G223" s="134" t="s">
        <v>206</v>
      </c>
      <c r="H223" s="134" t="s">
        <v>270</v>
      </c>
      <c r="I223" s="134" t="s">
        <v>171</v>
      </c>
      <c r="J223" s="134" t="s">
        <v>3456</v>
      </c>
      <c r="K223" s="134" t="s">
        <v>3456</v>
      </c>
      <c r="L223" s="134" t="s">
        <v>171</v>
      </c>
      <c r="M223" s="134" t="s">
        <v>479</v>
      </c>
      <c r="N223" s="134" t="s">
        <v>170</v>
      </c>
      <c r="P223" s="134">
        <v>1</v>
      </c>
      <c r="Q223" s="134" t="s">
        <v>153</v>
      </c>
      <c r="R223" s="146">
        <v>64.879000000000005</v>
      </c>
      <c r="S223" s="134" t="s">
        <v>154</v>
      </c>
      <c r="T223" s="146">
        <v>64.879000000000005</v>
      </c>
      <c r="U223" s="146"/>
      <c r="V223" s="134" t="s">
        <v>155</v>
      </c>
      <c r="W223" s="147" t="s">
        <v>299</v>
      </c>
      <c r="X223" s="134">
        <v>2021</v>
      </c>
      <c r="Y223" s="151" t="s">
        <v>3457</v>
      </c>
      <c r="AA223" s="168" t="s">
        <v>3170</v>
      </c>
      <c r="AB223" s="163">
        <v>44377</v>
      </c>
      <c r="AC223" s="150">
        <v>45897</v>
      </c>
    </row>
    <row r="224" spans="1:29" ht="15" customHeight="1" x14ac:dyDescent="0.45">
      <c r="A224" s="134" t="s">
        <v>142</v>
      </c>
      <c r="B224" s="134" t="s">
        <v>143</v>
      </c>
      <c r="C224" s="134" t="s">
        <v>159</v>
      </c>
      <c r="D224" s="134" t="s">
        <v>142</v>
      </c>
      <c r="E224" s="134" t="s">
        <v>143</v>
      </c>
      <c r="F224" s="134" t="s">
        <v>166</v>
      </c>
      <c r="G224" s="134" t="s">
        <v>206</v>
      </c>
      <c r="H224" s="134" t="s">
        <v>270</v>
      </c>
      <c r="I224" s="134" t="s">
        <v>171</v>
      </c>
      <c r="J224" s="134" t="s">
        <v>3458</v>
      </c>
      <c r="K224" s="134" t="s">
        <v>3458</v>
      </c>
      <c r="L224" s="134" t="s">
        <v>171</v>
      </c>
      <c r="M224" s="134" t="s">
        <v>262</v>
      </c>
      <c r="N224" s="134" t="s">
        <v>170</v>
      </c>
      <c r="P224" s="134" t="s">
        <v>171</v>
      </c>
      <c r="Q224" s="134" t="s">
        <v>153</v>
      </c>
      <c r="R224" s="146">
        <v>128.84399999999999</v>
      </c>
      <c r="S224" s="134" t="s">
        <v>154</v>
      </c>
      <c r="T224" s="146">
        <v>128.84399999999999</v>
      </c>
      <c r="U224" s="146"/>
      <c r="V224" s="134" t="s">
        <v>155</v>
      </c>
      <c r="W224" s="147" t="s">
        <v>299</v>
      </c>
      <c r="X224" s="134">
        <v>2021</v>
      </c>
      <c r="Y224" s="151" t="s">
        <v>3459</v>
      </c>
      <c r="AA224" s="134" t="s">
        <v>3406</v>
      </c>
      <c r="AB224" s="163">
        <v>44375</v>
      </c>
      <c r="AC224" s="150">
        <v>45897</v>
      </c>
    </row>
    <row r="225" spans="1:28" ht="15" customHeight="1" x14ac:dyDescent="0.45">
      <c r="A225" s="165"/>
      <c r="P225" s="134"/>
      <c r="R225" s="146"/>
      <c r="T225" s="146"/>
      <c r="U225" s="146"/>
      <c r="W225" s="147"/>
      <c r="AB225" s="156"/>
    </row>
    <row r="226" spans="1:28" ht="15" customHeight="1" x14ac:dyDescent="0.45">
      <c r="P226" s="134"/>
      <c r="R226" s="146"/>
      <c r="T226" s="146"/>
      <c r="U226" s="146"/>
      <c r="W226" s="147"/>
      <c r="AA226" s="160"/>
      <c r="AB226" s="156"/>
    </row>
    <row r="227" spans="1:28" ht="15" customHeight="1" x14ac:dyDescent="0.45">
      <c r="P227" s="134"/>
      <c r="R227" s="146"/>
      <c r="T227" s="146"/>
      <c r="U227" s="146"/>
      <c r="W227" s="147"/>
      <c r="AB227" s="156"/>
    </row>
    <row r="228" spans="1:28" ht="15" customHeight="1" x14ac:dyDescent="0.45">
      <c r="P228" s="134"/>
      <c r="R228" s="146"/>
      <c r="T228" s="146"/>
      <c r="U228" s="146"/>
      <c r="W228" s="147"/>
      <c r="AB228" s="156"/>
    </row>
    <row r="229" spans="1:28" ht="15" customHeight="1" x14ac:dyDescent="0.45">
      <c r="P229" s="134"/>
      <c r="R229" s="146"/>
      <c r="T229" s="146"/>
      <c r="U229" s="146"/>
      <c r="W229" s="147"/>
      <c r="AB229" s="156"/>
    </row>
    <row r="230" spans="1:28" ht="15" customHeight="1" x14ac:dyDescent="0.45">
      <c r="P230" s="134"/>
      <c r="R230" s="146"/>
      <c r="T230" s="146"/>
      <c r="U230" s="146"/>
      <c r="W230" s="147"/>
      <c r="AB230" s="156"/>
    </row>
    <row r="231" spans="1:28" ht="15" customHeight="1" x14ac:dyDescent="0.45">
      <c r="P231" s="134"/>
      <c r="R231" s="146"/>
      <c r="T231" s="146"/>
      <c r="U231" s="146"/>
      <c r="W231" s="147"/>
      <c r="AA231" s="160"/>
      <c r="AB231" s="156"/>
    </row>
    <row r="232" spans="1:28" ht="15" customHeight="1" x14ac:dyDescent="0.45">
      <c r="P232" s="134"/>
      <c r="R232" s="146"/>
      <c r="T232" s="146"/>
      <c r="U232" s="146"/>
      <c r="W232" s="147"/>
      <c r="AB232" s="156"/>
    </row>
    <row r="233" spans="1:28" ht="15" customHeight="1" x14ac:dyDescent="0.45">
      <c r="P233" s="134"/>
      <c r="R233" s="146"/>
      <c r="T233" s="146"/>
      <c r="U233" s="146"/>
      <c r="W233" s="147"/>
      <c r="AA233" s="160"/>
      <c r="AB233" s="156"/>
    </row>
    <row r="234" spans="1:28" ht="15" customHeight="1" x14ac:dyDescent="0.45">
      <c r="P234" s="134"/>
      <c r="R234" s="146"/>
      <c r="T234" s="146"/>
      <c r="U234" s="146"/>
      <c r="W234" s="147"/>
      <c r="AA234" s="160"/>
      <c r="AB234" s="156"/>
    </row>
    <row r="235" spans="1:28" ht="15" customHeight="1" x14ac:dyDescent="0.45">
      <c r="P235" s="134"/>
      <c r="R235" s="146"/>
      <c r="T235" s="146"/>
      <c r="U235" s="146"/>
      <c r="W235" s="147"/>
      <c r="AA235" s="160"/>
      <c r="AB235" s="156"/>
    </row>
    <row r="236" spans="1:28" ht="15" customHeight="1" x14ac:dyDescent="0.45">
      <c r="P236" s="134"/>
      <c r="R236" s="146"/>
      <c r="T236" s="146"/>
      <c r="U236" s="146"/>
      <c r="W236" s="147"/>
      <c r="AB236" s="156"/>
    </row>
    <row r="237" spans="1:28" ht="15" customHeight="1" x14ac:dyDescent="0.45">
      <c r="P237" s="134"/>
      <c r="R237" s="146"/>
      <c r="T237" s="146"/>
      <c r="U237" s="146"/>
      <c r="W237" s="147"/>
      <c r="Z237" s="152"/>
      <c r="AA237" s="160"/>
      <c r="AB237" s="156"/>
    </row>
    <row r="238" spans="1:28" ht="15" customHeight="1" x14ac:dyDescent="0.45">
      <c r="P238" s="134"/>
      <c r="R238" s="146"/>
      <c r="T238" s="146"/>
      <c r="U238" s="146"/>
      <c r="W238" s="147"/>
      <c r="AB238" s="156"/>
    </row>
    <row r="239" spans="1:28" ht="15" customHeight="1" x14ac:dyDescent="0.45">
      <c r="P239" s="134"/>
      <c r="R239" s="146"/>
      <c r="T239" s="146"/>
      <c r="U239" s="146"/>
      <c r="W239" s="147"/>
      <c r="AB239" s="156"/>
    </row>
    <row r="240" spans="1:28" ht="15" customHeight="1" x14ac:dyDescent="0.45">
      <c r="P240" s="134"/>
      <c r="R240" s="146"/>
      <c r="T240" s="146"/>
      <c r="U240" s="146"/>
      <c r="W240" s="147"/>
      <c r="AB240" s="156"/>
    </row>
    <row r="241" spans="16:28" ht="15" customHeight="1" x14ac:dyDescent="0.45">
      <c r="P241" s="134"/>
      <c r="R241" s="146"/>
      <c r="T241" s="146"/>
      <c r="U241" s="146"/>
      <c r="W241" s="147"/>
      <c r="AB241" s="156"/>
    </row>
    <row r="242" spans="16:28" ht="15" customHeight="1" x14ac:dyDescent="0.45">
      <c r="P242" s="134"/>
      <c r="R242" s="146"/>
      <c r="T242" s="146"/>
      <c r="U242" s="146"/>
      <c r="W242" s="147"/>
      <c r="AB242" s="156"/>
    </row>
    <row r="243" spans="16:28" ht="15" customHeight="1" x14ac:dyDescent="0.45">
      <c r="P243" s="134"/>
      <c r="R243" s="146"/>
      <c r="T243" s="146"/>
      <c r="U243" s="146"/>
      <c r="W243" s="147"/>
      <c r="AB243" s="156"/>
    </row>
    <row r="244" spans="16:28" ht="15" customHeight="1" x14ac:dyDescent="0.45">
      <c r="P244" s="134"/>
      <c r="R244" s="146"/>
      <c r="T244" s="146"/>
      <c r="U244" s="146"/>
      <c r="W244" s="147"/>
      <c r="AB244" s="156"/>
    </row>
    <row r="245" spans="16:28" ht="15" customHeight="1" x14ac:dyDescent="0.45">
      <c r="P245" s="134"/>
      <c r="R245" s="146"/>
      <c r="T245" s="146"/>
      <c r="U245" s="146"/>
      <c r="W245" s="147"/>
      <c r="AB245" s="156"/>
    </row>
    <row r="246" spans="16:28" ht="15" customHeight="1" x14ac:dyDescent="0.45">
      <c r="P246" s="134"/>
      <c r="R246" s="146"/>
      <c r="T246" s="146"/>
      <c r="U246" s="146"/>
      <c r="W246" s="147"/>
      <c r="AB246" s="156"/>
    </row>
    <row r="247" spans="16:28" ht="15" customHeight="1" x14ac:dyDescent="0.45">
      <c r="P247" s="134"/>
      <c r="R247" s="146"/>
      <c r="T247" s="146"/>
      <c r="U247" s="146"/>
      <c r="W247" s="147"/>
      <c r="AB247" s="156"/>
    </row>
    <row r="248" spans="16:28" ht="15" customHeight="1" x14ac:dyDescent="0.45">
      <c r="P248" s="134"/>
      <c r="R248" s="146"/>
      <c r="T248" s="146"/>
      <c r="U248" s="146"/>
      <c r="W248" s="147"/>
      <c r="AA248" s="160"/>
      <c r="AB248" s="156"/>
    </row>
    <row r="249" spans="16:28" ht="15" customHeight="1" x14ac:dyDescent="0.45">
      <c r="P249" s="134"/>
      <c r="R249" s="146"/>
      <c r="T249" s="146"/>
      <c r="U249" s="146"/>
      <c r="W249" s="147"/>
      <c r="AB249" s="156"/>
    </row>
    <row r="250" spans="16:28" ht="15" customHeight="1" x14ac:dyDescent="0.45">
      <c r="P250" s="134"/>
      <c r="R250" s="146"/>
      <c r="T250" s="146"/>
      <c r="U250" s="146"/>
      <c r="W250" s="147"/>
      <c r="AB250" s="156"/>
    </row>
    <row r="251" spans="16:28" ht="15" customHeight="1" x14ac:dyDescent="0.45">
      <c r="P251" s="134"/>
      <c r="R251" s="146"/>
      <c r="T251" s="146"/>
      <c r="U251" s="146"/>
      <c r="W251" s="147"/>
      <c r="AB251" s="156"/>
    </row>
    <row r="252" spans="16:28" ht="15" customHeight="1" x14ac:dyDescent="0.45">
      <c r="P252" s="134"/>
      <c r="R252" s="146"/>
      <c r="T252" s="146"/>
      <c r="U252" s="146"/>
      <c r="W252" s="147"/>
      <c r="AB252" s="156"/>
    </row>
    <row r="253" spans="16:28" ht="15" customHeight="1" x14ac:dyDescent="0.45">
      <c r="P253" s="134"/>
      <c r="R253" s="146"/>
      <c r="T253" s="146"/>
      <c r="U253" s="146"/>
      <c r="W253" s="147"/>
      <c r="AA253" s="160"/>
      <c r="AB253" s="156"/>
    </row>
    <row r="254" spans="16:28" ht="15" customHeight="1" x14ac:dyDescent="0.45">
      <c r="P254" s="134"/>
      <c r="R254" s="146"/>
      <c r="T254" s="146"/>
      <c r="U254" s="146"/>
      <c r="W254" s="147"/>
      <c r="AB254" s="156"/>
    </row>
    <row r="255" spans="16:28" ht="15" customHeight="1" x14ac:dyDescent="0.45">
      <c r="P255" s="134"/>
      <c r="R255" s="146"/>
      <c r="T255" s="146"/>
      <c r="U255" s="146"/>
      <c r="W255" s="147"/>
      <c r="AA255" s="160"/>
      <c r="AB255" s="156"/>
    </row>
    <row r="256" spans="16:28" ht="15" customHeight="1" x14ac:dyDescent="0.45">
      <c r="P256" s="134"/>
      <c r="R256" s="146"/>
      <c r="T256" s="146"/>
      <c r="U256" s="146"/>
      <c r="W256" s="147"/>
      <c r="AA256" s="160"/>
      <c r="AB256" s="156"/>
    </row>
    <row r="257" spans="16:28" ht="15" customHeight="1" x14ac:dyDescent="0.45">
      <c r="P257" s="134"/>
      <c r="R257" s="146"/>
      <c r="T257" s="146"/>
      <c r="U257" s="146"/>
      <c r="W257" s="147"/>
      <c r="AA257" s="160"/>
      <c r="AB257" s="156"/>
    </row>
    <row r="258" spans="16:28" ht="15" customHeight="1" x14ac:dyDescent="0.45">
      <c r="P258" s="134"/>
      <c r="R258" s="146"/>
      <c r="T258" s="146"/>
      <c r="U258" s="146"/>
      <c r="W258" s="147"/>
      <c r="AA258" s="160"/>
      <c r="AB258" s="156"/>
    </row>
    <row r="259" spans="16:28" ht="15" customHeight="1" x14ac:dyDescent="0.45">
      <c r="P259" s="134"/>
      <c r="R259" s="146"/>
      <c r="T259" s="146"/>
      <c r="U259" s="146"/>
      <c r="W259" s="147"/>
      <c r="AA259" s="160"/>
      <c r="AB259" s="156"/>
    </row>
    <row r="260" spans="16:28" ht="15" customHeight="1" x14ac:dyDescent="0.45">
      <c r="P260" s="134"/>
      <c r="R260" s="146"/>
      <c r="T260" s="146"/>
      <c r="U260" s="146"/>
      <c r="W260" s="147"/>
      <c r="AB260" s="156"/>
    </row>
    <row r="261" spans="16:28" ht="15" customHeight="1" x14ac:dyDescent="0.45">
      <c r="P261" s="134"/>
      <c r="R261" s="146"/>
      <c r="T261" s="146"/>
      <c r="U261" s="146"/>
      <c r="W261" s="147"/>
      <c r="AB261" s="156"/>
    </row>
    <row r="262" spans="16:28" ht="15" customHeight="1" x14ac:dyDescent="0.45">
      <c r="P262" s="134"/>
      <c r="R262" s="146"/>
      <c r="T262" s="146"/>
      <c r="U262" s="146"/>
      <c r="W262" s="147"/>
      <c r="AB262" s="156"/>
    </row>
    <row r="263" spans="16:28" ht="15" customHeight="1" x14ac:dyDescent="0.45">
      <c r="P263" s="134"/>
      <c r="R263" s="146"/>
      <c r="T263" s="146"/>
      <c r="U263" s="146"/>
      <c r="W263" s="147"/>
      <c r="AA263" s="160"/>
      <c r="AB263" s="156"/>
    </row>
    <row r="264" spans="16:28" ht="15" customHeight="1" x14ac:dyDescent="0.45">
      <c r="P264" s="134"/>
      <c r="R264" s="146"/>
      <c r="T264" s="146"/>
      <c r="U264" s="146"/>
      <c r="W264" s="147"/>
      <c r="AA264" s="160"/>
      <c r="AB264" s="156"/>
    </row>
    <row r="265" spans="16:28" ht="15" customHeight="1" x14ac:dyDescent="0.45">
      <c r="P265" s="134"/>
      <c r="R265" s="146"/>
      <c r="T265" s="146"/>
      <c r="U265" s="146"/>
      <c r="W265" s="147"/>
      <c r="AA265" s="160"/>
      <c r="AB265" s="156"/>
    </row>
    <row r="266" spans="16:28" ht="15" customHeight="1" x14ac:dyDescent="0.45">
      <c r="P266" s="134"/>
      <c r="R266" s="146"/>
      <c r="T266" s="146"/>
      <c r="U266" s="146"/>
      <c r="W266" s="147"/>
      <c r="AB266" s="156"/>
    </row>
    <row r="267" spans="16:28" ht="15" customHeight="1" x14ac:dyDescent="0.45">
      <c r="P267" s="134"/>
      <c r="R267" s="146"/>
      <c r="T267" s="146"/>
      <c r="U267" s="146"/>
      <c r="W267" s="147"/>
      <c r="AA267" s="160"/>
      <c r="AB267" s="156"/>
    </row>
    <row r="268" spans="16:28" ht="15" customHeight="1" x14ac:dyDescent="0.45">
      <c r="P268" s="134"/>
      <c r="R268" s="146"/>
      <c r="T268" s="146"/>
      <c r="U268" s="146"/>
      <c r="W268" s="147"/>
      <c r="AB268" s="156"/>
    </row>
    <row r="269" spans="16:28" ht="15" customHeight="1" x14ac:dyDescent="0.45">
      <c r="P269" s="134"/>
      <c r="R269" s="146"/>
      <c r="T269" s="146"/>
      <c r="U269" s="146"/>
      <c r="W269" s="147"/>
      <c r="AB269" s="156"/>
    </row>
    <row r="270" spans="16:28" ht="15" customHeight="1" x14ac:dyDescent="0.45">
      <c r="P270" s="134"/>
      <c r="R270" s="146"/>
      <c r="T270" s="146"/>
      <c r="U270" s="146"/>
      <c r="W270" s="147"/>
      <c r="AB270" s="156"/>
    </row>
    <row r="271" spans="16:28" ht="15" customHeight="1" x14ac:dyDescent="0.45">
      <c r="P271" s="134"/>
      <c r="R271" s="146"/>
      <c r="T271" s="146"/>
      <c r="U271" s="146"/>
      <c r="W271" s="147"/>
      <c r="AB271" s="156"/>
    </row>
    <row r="272" spans="16:28" ht="15" customHeight="1" x14ac:dyDescent="0.45">
      <c r="P272" s="134"/>
      <c r="R272" s="146"/>
      <c r="T272" s="146"/>
      <c r="U272" s="146"/>
      <c r="W272" s="147"/>
      <c r="AB272" s="156"/>
    </row>
    <row r="273" spans="16:28" ht="15" customHeight="1" x14ac:dyDescent="0.45">
      <c r="P273" s="134"/>
      <c r="R273" s="146"/>
      <c r="T273" s="146"/>
      <c r="U273" s="146"/>
      <c r="W273" s="147"/>
      <c r="AB273" s="156"/>
    </row>
    <row r="274" spans="16:28" ht="15" customHeight="1" x14ac:dyDescent="0.45">
      <c r="P274" s="134"/>
      <c r="R274" s="146"/>
      <c r="T274" s="146"/>
      <c r="U274" s="146"/>
      <c r="W274" s="147"/>
      <c r="AB274" s="156"/>
    </row>
    <row r="275" spans="16:28" ht="15" customHeight="1" x14ac:dyDescent="0.45">
      <c r="P275" s="134"/>
      <c r="R275" s="146"/>
      <c r="T275" s="146"/>
      <c r="U275" s="146"/>
      <c r="W275" s="147"/>
      <c r="AB275" s="156"/>
    </row>
    <row r="276" spans="16:28" ht="15" customHeight="1" x14ac:dyDescent="0.45">
      <c r="P276" s="134"/>
      <c r="R276" s="146"/>
      <c r="T276" s="146"/>
      <c r="U276" s="146"/>
      <c r="W276" s="147"/>
      <c r="AB276" s="156"/>
    </row>
    <row r="277" spans="16:28" ht="15" customHeight="1" x14ac:dyDescent="0.45">
      <c r="P277" s="134"/>
      <c r="R277" s="146"/>
      <c r="T277" s="146"/>
      <c r="U277" s="146"/>
      <c r="W277" s="147"/>
      <c r="AB277" s="156"/>
    </row>
    <row r="278" spans="16:28" ht="15" customHeight="1" x14ac:dyDescent="0.45">
      <c r="P278" s="134"/>
      <c r="R278" s="146"/>
      <c r="T278" s="146"/>
      <c r="U278" s="146"/>
      <c r="W278" s="147"/>
      <c r="AB278" s="156"/>
    </row>
    <row r="279" spans="16:28" ht="15" customHeight="1" x14ac:dyDescent="0.45">
      <c r="P279" s="134"/>
      <c r="R279" s="146"/>
      <c r="T279" s="146"/>
      <c r="U279" s="146"/>
      <c r="W279" s="147"/>
      <c r="AB279" s="156"/>
    </row>
    <row r="280" spans="16:28" ht="15" customHeight="1" x14ac:dyDescent="0.45">
      <c r="P280" s="134"/>
      <c r="R280" s="146"/>
      <c r="T280" s="146"/>
      <c r="U280" s="146"/>
      <c r="W280" s="147"/>
      <c r="AB280" s="156"/>
    </row>
    <row r="281" spans="16:28" ht="15" customHeight="1" x14ac:dyDescent="0.45">
      <c r="P281" s="134"/>
      <c r="R281" s="146"/>
      <c r="T281" s="146"/>
      <c r="U281" s="146"/>
      <c r="W281" s="147"/>
      <c r="AB281" s="156"/>
    </row>
    <row r="282" spans="16:28" ht="15" customHeight="1" x14ac:dyDescent="0.45">
      <c r="P282" s="134"/>
      <c r="R282" s="146"/>
      <c r="T282" s="146"/>
      <c r="U282" s="146"/>
      <c r="W282" s="147"/>
      <c r="AB282" s="156"/>
    </row>
    <row r="283" spans="16:28" ht="15" customHeight="1" x14ac:dyDescent="0.45">
      <c r="P283" s="134"/>
      <c r="R283" s="146"/>
      <c r="T283" s="146"/>
      <c r="U283" s="146"/>
      <c r="W283" s="147"/>
      <c r="AB283" s="156"/>
    </row>
    <row r="284" spans="16:28" ht="15" customHeight="1" x14ac:dyDescent="0.45">
      <c r="P284" s="134"/>
      <c r="R284" s="146"/>
      <c r="T284" s="146"/>
      <c r="U284" s="146"/>
      <c r="W284" s="147"/>
      <c r="AA284" s="160"/>
      <c r="AB284" s="156"/>
    </row>
    <row r="285" spans="16:28" ht="15" customHeight="1" x14ac:dyDescent="0.45">
      <c r="P285" s="134"/>
      <c r="R285" s="146"/>
      <c r="T285" s="146"/>
      <c r="U285" s="146"/>
      <c r="W285" s="147"/>
      <c r="AA285" s="160"/>
      <c r="AB285" s="156"/>
    </row>
    <row r="286" spans="16:28" ht="15" customHeight="1" x14ac:dyDescent="0.45">
      <c r="P286" s="134"/>
      <c r="R286" s="146"/>
      <c r="T286" s="146"/>
      <c r="U286" s="146"/>
      <c r="W286" s="147"/>
      <c r="AB286" s="156"/>
    </row>
    <row r="287" spans="16:28" ht="15" customHeight="1" x14ac:dyDescent="0.45">
      <c r="P287" s="134"/>
      <c r="R287" s="146"/>
      <c r="T287" s="146"/>
      <c r="U287" s="146"/>
      <c r="W287" s="147"/>
      <c r="AB287" s="156"/>
    </row>
    <row r="288" spans="16:28" ht="15" customHeight="1" x14ac:dyDescent="0.45">
      <c r="P288" s="134"/>
      <c r="R288" s="146"/>
      <c r="T288" s="146"/>
      <c r="U288" s="146"/>
      <c r="W288" s="147"/>
      <c r="AB288" s="156"/>
    </row>
    <row r="289" spans="16:28" ht="15" customHeight="1" x14ac:dyDescent="0.45">
      <c r="P289" s="134"/>
      <c r="R289" s="146"/>
      <c r="T289" s="146"/>
      <c r="U289" s="146"/>
      <c r="W289" s="147"/>
      <c r="AB289" s="156"/>
    </row>
    <row r="290" spans="16:28" ht="15" customHeight="1" x14ac:dyDescent="0.45">
      <c r="P290" s="134"/>
      <c r="R290" s="146"/>
      <c r="T290" s="146"/>
      <c r="U290" s="146"/>
      <c r="W290" s="147"/>
      <c r="AB290" s="156"/>
    </row>
    <row r="291" spans="16:28" ht="15" customHeight="1" x14ac:dyDescent="0.45">
      <c r="P291" s="134"/>
      <c r="R291" s="146"/>
      <c r="T291" s="146"/>
      <c r="U291" s="146"/>
      <c r="W291" s="147"/>
      <c r="AB291" s="156"/>
    </row>
    <row r="292" spans="16:28" ht="15" customHeight="1" x14ac:dyDescent="0.45">
      <c r="P292" s="134"/>
      <c r="R292" s="146"/>
      <c r="T292" s="146"/>
      <c r="U292" s="146"/>
      <c r="W292" s="147"/>
      <c r="AB292" s="156"/>
    </row>
    <row r="293" spans="16:28" ht="15" customHeight="1" x14ac:dyDescent="0.45">
      <c r="P293" s="134"/>
      <c r="R293" s="146"/>
      <c r="T293" s="146"/>
      <c r="U293" s="146"/>
      <c r="W293" s="147"/>
      <c r="AB293" s="156"/>
    </row>
    <row r="294" spans="16:28" ht="15" customHeight="1" x14ac:dyDescent="0.45">
      <c r="P294" s="134"/>
      <c r="R294" s="146"/>
      <c r="T294" s="146"/>
      <c r="U294" s="146"/>
      <c r="W294" s="147"/>
      <c r="AB294" s="156"/>
    </row>
    <row r="295" spans="16:28" ht="15" customHeight="1" x14ac:dyDescent="0.45">
      <c r="P295" s="134"/>
      <c r="R295" s="146"/>
      <c r="T295" s="146"/>
      <c r="U295" s="146"/>
      <c r="W295" s="147"/>
      <c r="AB295" s="156"/>
    </row>
    <row r="296" spans="16:28" ht="15" customHeight="1" x14ac:dyDescent="0.45">
      <c r="P296" s="134"/>
      <c r="R296" s="146"/>
      <c r="T296" s="146"/>
      <c r="U296" s="146"/>
      <c r="W296" s="147"/>
      <c r="AB296" s="156"/>
    </row>
    <row r="297" spans="16:28" ht="15" customHeight="1" x14ac:dyDescent="0.45">
      <c r="P297" s="134"/>
      <c r="R297" s="146"/>
      <c r="T297" s="146"/>
      <c r="U297" s="146"/>
      <c r="W297" s="147"/>
      <c r="AB297" s="156"/>
    </row>
    <row r="298" spans="16:28" ht="15" customHeight="1" x14ac:dyDescent="0.45">
      <c r="P298" s="134"/>
      <c r="R298" s="146"/>
      <c r="T298" s="146"/>
      <c r="U298" s="146"/>
      <c r="W298" s="147"/>
      <c r="AA298" s="160"/>
      <c r="AB298" s="156"/>
    </row>
    <row r="299" spans="16:28" ht="15" customHeight="1" x14ac:dyDescent="0.45">
      <c r="P299" s="134"/>
      <c r="R299" s="146"/>
      <c r="T299" s="146"/>
      <c r="U299" s="146"/>
      <c r="W299" s="147"/>
      <c r="AA299" s="160"/>
      <c r="AB299" s="156"/>
    </row>
    <row r="300" spans="16:28" ht="15" customHeight="1" x14ac:dyDescent="0.45">
      <c r="P300" s="134"/>
      <c r="R300" s="146"/>
      <c r="T300" s="146"/>
      <c r="U300" s="146"/>
      <c r="W300" s="147"/>
      <c r="AA300" s="160"/>
      <c r="AB300" s="156"/>
    </row>
    <row r="301" spans="16:28" ht="15" customHeight="1" x14ac:dyDescent="0.45">
      <c r="P301" s="134"/>
      <c r="R301" s="146"/>
      <c r="T301" s="146"/>
      <c r="U301" s="146"/>
      <c r="W301" s="147"/>
      <c r="AB301" s="156"/>
    </row>
    <row r="302" spans="16:28" ht="15" customHeight="1" x14ac:dyDescent="0.45">
      <c r="P302" s="134"/>
      <c r="R302" s="146"/>
      <c r="T302" s="146"/>
      <c r="U302" s="146"/>
      <c r="W302" s="147"/>
      <c r="AA302" s="160"/>
      <c r="AB302" s="156"/>
    </row>
    <row r="303" spans="16:28" ht="15" customHeight="1" x14ac:dyDescent="0.45">
      <c r="P303" s="134"/>
      <c r="R303" s="146"/>
      <c r="T303" s="146"/>
      <c r="U303" s="146"/>
      <c r="W303" s="147"/>
      <c r="AB303" s="156"/>
    </row>
    <row r="304" spans="16:28" ht="15" customHeight="1" x14ac:dyDescent="0.45">
      <c r="P304" s="134"/>
      <c r="R304" s="146"/>
      <c r="T304" s="146"/>
      <c r="U304" s="146"/>
      <c r="W304" s="147"/>
      <c r="AB304" s="156"/>
    </row>
    <row r="305" spans="16:28" ht="15" customHeight="1" x14ac:dyDescent="0.45">
      <c r="P305" s="134"/>
      <c r="R305" s="146"/>
      <c r="T305" s="146"/>
      <c r="U305" s="146"/>
      <c r="W305" s="147"/>
      <c r="AB305" s="156"/>
    </row>
    <row r="306" spans="16:28" ht="15" customHeight="1" x14ac:dyDescent="0.45">
      <c r="P306" s="134"/>
      <c r="R306" s="146"/>
      <c r="T306" s="146"/>
      <c r="U306" s="146"/>
      <c r="W306" s="147"/>
      <c r="AB306" s="156"/>
    </row>
    <row r="307" spans="16:28" ht="15" customHeight="1" x14ac:dyDescent="0.45">
      <c r="P307" s="134"/>
      <c r="R307" s="146"/>
      <c r="T307" s="146"/>
      <c r="U307" s="146"/>
      <c r="W307" s="147"/>
      <c r="AB307" s="156"/>
    </row>
    <row r="308" spans="16:28" ht="15" customHeight="1" x14ac:dyDescent="0.45">
      <c r="P308" s="134"/>
      <c r="R308" s="146"/>
      <c r="T308" s="146"/>
      <c r="U308" s="146"/>
      <c r="W308" s="147"/>
      <c r="AB308" s="156"/>
    </row>
    <row r="309" spans="16:28" ht="15" customHeight="1" x14ac:dyDescent="0.45">
      <c r="P309" s="134"/>
      <c r="R309" s="146"/>
      <c r="T309" s="146"/>
      <c r="U309" s="146"/>
      <c r="W309" s="147"/>
      <c r="AB309" s="156"/>
    </row>
    <row r="310" spans="16:28" ht="15" customHeight="1" x14ac:dyDescent="0.45">
      <c r="P310" s="134"/>
      <c r="R310" s="146"/>
      <c r="T310" s="146"/>
      <c r="U310" s="146"/>
      <c r="W310" s="147"/>
      <c r="AB310" s="156"/>
    </row>
    <row r="311" spans="16:28" ht="15" customHeight="1" x14ac:dyDescent="0.45">
      <c r="P311" s="134"/>
      <c r="R311" s="146"/>
      <c r="T311" s="146"/>
      <c r="U311" s="146"/>
      <c r="W311" s="147"/>
      <c r="AA311" s="160"/>
      <c r="AB311" s="156"/>
    </row>
    <row r="312" spans="16:28" ht="15" customHeight="1" x14ac:dyDescent="0.45">
      <c r="P312" s="134"/>
      <c r="R312" s="146"/>
      <c r="T312" s="146"/>
      <c r="U312" s="146"/>
      <c r="W312" s="147"/>
      <c r="AB312" s="156"/>
    </row>
    <row r="313" spans="16:28" ht="15" customHeight="1" x14ac:dyDescent="0.45">
      <c r="P313" s="134"/>
      <c r="R313" s="146"/>
      <c r="T313" s="146"/>
      <c r="U313" s="146"/>
      <c r="W313" s="147"/>
      <c r="AB313" s="156"/>
    </row>
    <row r="314" spans="16:28" ht="15" customHeight="1" x14ac:dyDescent="0.45">
      <c r="P314" s="134"/>
      <c r="R314" s="146"/>
      <c r="T314" s="146"/>
      <c r="U314" s="146"/>
      <c r="W314" s="147"/>
      <c r="AB314" s="156"/>
    </row>
    <row r="315" spans="16:28" ht="15" customHeight="1" x14ac:dyDescent="0.45">
      <c r="P315" s="134"/>
      <c r="R315" s="146"/>
      <c r="T315" s="146"/>
      <c r="U315" s="146"/>
      <c r="W315" s="147"/>
      <c r="AB315" s="156"/>
    </row>
    <row r="316" spans="16:28" ht="15" customHeight="1" x14ac:dyDescent="0.45">
      <c r="P316" s="134"/>
      <c r="R316" s="146"/>
      <c r="T316" s="146"/>
      <c r="U316" s="146"/>
      <c r="W316" s="147"/>
      <c r="AA316" s="160"/>
      <c r="AB316" s="156"/>
    </row>
    <row r="317" spans="16:28" ht="15" customHeight="1" x14ac:dyDescent="0.45">
      <c r="P317" s="134"/>
      <c r="R317" s="146"/>
      <c r="T317" s="146"/>
      <c r="U317" s="146"/>
      <c r="W317" s="147"/>
      <c r="AA317" s="160"/>
      <c r="AB317" s="156"/>
    </row>
    <row r="318" spans="16:28" ht="15" customHeight="1" x14ac:dyDescent="0.45">
      <c r="P318" s="134"/>
      <c r="R318" s="146"/>
      <c r="T318" s="146"/>
      <c r="U318" s="146"/>
      <c r="W318" s="147"/>
      <c r="AA318" s="160"/>
      <c r="AB318" s="156"/>
    </row>
    <row r="319" spans="16:28" ht="15" customHeight="1" x14ac:dyDescent="0.45">
      <c r="P319" s="134"/>
      <c r="R319" s="146"/>
      <c r="T319" s="146"/>
      <c r="U319" s="146"/>
      <c r="W319" s="147"/>
      <c r="AA319" s="160"/>
      <c r="AB319" s="156"/>
    </row>
    <row r="320" spans="16:28" ht="15" customHeight="1" x14ac:dyDescent="0.45">
      <c r="P320" s="134"/>
      <c r="R320" s="146"/>
      <c r="T320" s="146"/>
      <c r="U320" s="146"/>
      <c r="W320" s="147"/>
      <c r="AA320" s="160"/>
      <c r="AB320" s="156"/>
    </row>
    <row r="321" spans="16:28" ht="15" customHeight="1" x14ac:dyDescent="0.45">
      <c r="P321" s="134"/>
      <c r="R321" s="146"/>
      <c r="T321" s="146"/>
      <c r="U321" s="146"/>
      <c r="W321" s="147"/>
      <c r="AB321" s="156"/>
    </row>
    <row r="322" spans="16:28" ht="15" customHeight="1" x14ac:dyDescent="0.45">
      <c r="P322" s="134"/>
      <c r="R322" s="146"/>
      <c r="T322" s="146"/>
      <c r="U322" s="146"/>
      <c r="W322" s="147"/>
      <c r="AB322" s="156"/>
    </row>
    <row r="323" spans="16:28" ht="15" customHeight="1" x14ac:dyDescent="0.45">
      <c r="P323" s="134"/>
      <c r="R323" s="146"/>
      <c r="T323" s="146"/>
      <c r="U323" s="146"/>
      <c r="W323" s="147"/>
      <c r="AB323" s="156"/>
    </row>
    <row r="324" spans="16:28" ht="15" customHeight="1" x14ac:dyDescent="0.45">
      <c r="P324" s="134"/>
      <c r="R324" s="146"/>
      <c r="T324" s="146"/>
      <c r="U324" s="146"/>
      <c r="W324" s="147"/>
      <c r="AB324" s="156"/>
    </row>
    <row r="325" spans="16:28" ht="15" customHeight="1" x14ac:dyDescent="0.45">
      <c r="P325" s="134"/>
      <c r="R325" s="146"/>
      <c r="T325" s="146"/>
      <c r="U325" s="146"/>
      <c r="W325" s="147"/>
      <c r="AB325" s="156"/>
    </row>
    <row r="326" spans="16:28" ht="15" customHeight="1" x14ac:dyDescent="0.45">
      <c r="P326" s="134"/>
      <c r="R326" s="146"/>
      <c r="T326" s="146"/>
      <c r="U326" s="146"/>
      <c r="W326" s="147"/>
      <c r="AB326" s="156"/>
    </row>
    <row r="327" spans="16:28" ht="15" customHeight="1" x14ac:dyDescent="0.45">
      <c r="P327" s="134"/>
      <c r="R327" s="146"/>
      <c r="T327" s="146"/>
      <c r="U327" s="146"/>
      <c r="W327" s="147"/>
      <c r="AB327" s="156"/>
    </row>
    <row r="328" spans="16:28" ht="15" customHeight="1" x14ac:dyDescent="0.45">
      <c r="P328" s="134"/>
      <c r="R328" s="146"/>
      <c r="T328" s="146"/>
      <c r="U328" s="146"/>
      <c r="W328" s="147"/>
      <c r="AB328" s="156"/>
    </row>
    <row r="329" spans="16:28" ht="15" customHeight="1" x14ac:dyDescent="0.45">
      <c r="P329" s="134"/>
      <c r="R329" s="146"/>
      <c r="T329" s="146"/>
      <c r="U329" s="146"/>
      <c r="W329" s="147"/>
      <c r="AA329" s="160"/>
      <c r="AB329" s="156"/>
    </row>
    <row r="330" spans="16:28" ht="15" customHeight="1" x14ac:dyDescent="0.45">
      <c r="P330" s="134"/>
      <c r="R330" s="146"/>
      <c r="T330" s="146"/>
      <c r="U330" s="146"/>
      <c r="W330" s="147"/>
      <c r="AA330" s="160"/>
      <c r="AB330" s="156"/>
    </row>
    <row r="331" spans="16:28" ht="15" customHeight="1" x14ac:dyDescent="0.45">
      <c r="P331" s="134"/>
      <c r="R331" s="146"/>
      <c r="T331" s="146"/>
      <c r="U331" s="146"/>
      <c r="W331" s="147"/>
      <c r="AB331" s="156"/>
    </row>
    <row r="332" spans="16:28" ht="15" customHeight="1" x14ac:dyDescent="0.45">
      <c r="P332" s="134"/>
      <c r="R332" s="146"/>
      <c r="T332" s="146"/>
      <c r="U332" s="146"/>
      <c r="W332" s="147"/>
      <c r="AB332" s="156"/>
    </row>
    <row r="333" spans="16:28" ht="15" customHeight="1" x14ac:dyDescent="0.45">
      <c r="P333" s="134"/>
      <c r="R333" s="146"/>
      <c r="T333" s="146"/>
      <c r="U333" s="146"/>
      <c r="W333" s="147"/>
      <c r="AB333" s="156"/>
    </row>
    <row r="334" spans="16:28" ht="15" customHeight="1" x14ac:dyDescent="0.45">
      <c r="P334" s="134"/>
      <c r="R334" s="146"/>
      <c r="T334" s="146"/>
      <c r="U334" s="146"/>
      <c r="W334" s="147"/>
      <c r="AB334" s="156"/>
    </row>
    <row r="335" spans="16:28" ht="15" customHeight="1" x14ac:dyDescent="0.45">
      <c r="P335" s="134"/>
      <c r="R335" s="146"/>
      <c r="T335" s="146"/>
      <c r="U335" s="146"/>
      <c r="W335" s="147"/>
      <c r="AB335" s="156"/>
    </row>
    <row r="336" spans="16:28" ht="15" customHeight="1" x14ac:dyDescent="0.45">
      <c r="P336" s="134"/>
      <c r="R336" s="146"/>
      <c r="T336" s="146"/>
      <c r="U336" s="146"/>
      <c r="W336" s="147"/>
      <c r="AB336" s="156"/>
    </row>
    <row r="337" spans="16:28" ht="15" customHeight="1" x14ac:dyDescent="0.45">
      <c r="P337" s="134"/>
      <c r="R337" s="146"/>
      <c r="T337" s="146"/>
      <c r="U337" s="146"/>
      <c r="W337" s="147"/>
      <c r="AB337" s="156"/>
    </row>
    <row r="338" spans="16:28" ht="15" customHeight="1" x14ac:dyDescent="0.45">
      <c r="P338" s="134"/>
      <c r="R338" s="146"/>
      <c r="T338" s="146"/>
      <c r="U338" s="146"/>
      <c r="W338" s="147"/>
      <c r="AB338" s="156"/>
    </row>
    <row r="339" spans="16:28" ht="15" customHeight="1" x14ac:dyDescent="0.45">
      <c r="P339" s="134"/>
      <c r="R339" s="146"/>
      <c r="T339" s="146"/>
      <c r="U339" s="146"/>
      <c r="W339" s="147"/>
      <c r="AB339" s="156"/>
    </row>
    <row r="340" spans="16:28" ht="15" customHeight="1" x14ac:dyDescent="0.45">
      <c r="P340" s="134"/>
      <c r="R340" s="146"/>
      <c r="T340" s="146"/>
      <c r="U340" s="146"/>
      <c r="W340" s="147"/>
      <c r="AB340" s="156"/>
    </row>
    <row r="341" spans="16:28" ht="15" customHeight="1" x14ac:dyDescent="0.45">
      <c r="P341" s="134"/>
      <c r="R341" s="146"/>
      <c r="T341" s="146"/>
      <c r="U341" s="146"/>
      <c r="W341" s="147"/>
      <c r="AB341" s="156"/>
    </row>
    <row r="342" spans="16:28" ht="15" customHeight="1" x14ac:dyDescent="0.45">
      <c r="P342" s="134"/>
      <c r="R342" s="146"/>
      <c r="T342" s="146"/>
      <c r="U342" s="146"/>
      <c r="W342" s="147"/>
      <c r="AB342" s="156"/>
    </row>
    <row r="343" spans="16:28" ht="15" customHeight="1" x14ac:dyDescent="0.45">
      <c r="P343" s="134"/>
      <c r="R343" s="146"/>
      <c r="T343" s="146"/>
      <c r="U343" s="146"/>
      <c r="W343" s="147"/>
      <c r="AB343" s="156"/>
    </row>
    <row r="344" spans="16:28" ht="15" customHeight="1" x14ac:dyDescent="0.45">
      <c r="P344" s="134"/>
      <c r="R344" s="146"/>
      <c r="T344" s="146"/>
      <c r="U344" s="146"/>
      <c r="W344" s="147"/>
      <c r="AB344" s="156"/>
    </row>
    <row r="345" spans="16:28" ht="15" customHeight="1" x14ac:dyDescent="0.45">
      <c r="P345" s="134"/>
      <c r="R345" s="146"/>
      <c r="T345" s="146"/>
      <c r="U345" s="146"/>
      <c r="W345" s="147"/>
      <c r="AB345" s="156"/>
    </row>
    <row r="346" spans="16:28" ht="15" customHeight="1" x14ac:dyDescent="0.45">
      <c r="P346" s="134"/>
      <c r="R346" s="146"/>
      <c r="T346" s="146"/>
      <c r="U346" s="146"/>
      <c r="W346" s="147"/>
      <c r="AB346" s="156"/>
    </row>
    <row r="347" spans="16:28" ht="15" customHeight="1" x14ac:dyDescent="0.45">
      <c r="P347" s="134"/>
      <c r="R347" s="146"/>
      <c r="T347" s="146"/>
      <c r="U347" s="146"/>
      <c r="W347" s="147"/>
      <c r="AB347" s="156"/>
    </row>
    <row r="348" spans="16:28" ht="15" customHeight="1" x14ac:dyDescent="0.45">
      <c r="P348" s="134"/>
      <c r="R348" s="146"/>
      <c r="T348" s="146"/>
      <c r="U348" s="146"/>
      <c r="W348" s="147"/>
      <c r="AB348" s="156"/>
    </row>
    <row r="349" spans="16:28" ht="15" customHeight="1" x14ac:dyDescent="0.45">
      <c r="P349" s="134"/>
      <c r="R349" s="146"/>
      <c r="T349" s="146"/>
      <c r="U349" s="146"/>
      <c r="W349" s="147"/>
      <c r="AA349" s="160"/>
      <c r="AB349" s="156"/>
    </row>
    <row r="350" spans="16:28" ht="15" customHeight="1" x14ac:dyDescent="0.45">
      <c r="P350" s="134"/>
      <c r="R350" s="146"/>
      <c r="T350" s="146"/>
      <c r="U350" s="146"/>
      <c r="W350" s="147"/>
      <c r="AB350" s="156"/>
    </row>
    <row r="351" spans="16:28" ht="15" customHeight="1" x14ac:dyDescent="0.45">
      <c r="P351" s="134"/>
      <c r="R351" s="146"/>
      <c r="T351" s="146"/>
      <c r="U351" s="146"/>
      <c r="W351" s="147"/>
      <c r="AB351" s="156"/>
    </row>
    <row r="352" spans="16:28" ht="15" customHeight="1" x14ac:dyDescent="0.45">
      <c r="P352" s="134"/>
      <c r="R352" s="146"/>
      <c r="T352" s="146"/>
      <c r="U352" s="146"/>
      <c r="W352" s="147"/>
      <c r="AB352" s="156"/>
    </row>
    <row r="353" spans="16:28" ht="15" customHeight="1" x14ac:dyDescent="0.45">
      <c r="P353" s="134"/>
      <c r="R353" s="146"/>
      <c r="T353" s="146"/>
      <c r="U353" s="146"/>
      <c r="W353" s="147"/>
      <c r="AB353" s="156"/>
    </row>
    <row r="354" spans="16:28" ht="15" customHeight="1" x14ac:dyDescent="0.45">
      <c r="P354" s="134"/>
      <c r="R354" s="146"/>
      <c r="T354" s="146"/>
      <c r="U354" s="146"/>
      <c r="W354" s="147"/>
      <c r="AB354" s="156"/>
    </row>
    <row r="355" spans="16:28" ht="15" customHeight="1" x14ac:dyDescent="0.45">
      <c r="P355" s="134"/>
      <c r="R355" s="146"/>
      <c r="T355" s="146"/>
      <c r="U355" s="146"/>
      <c r="W355" s="147"/>
      <c r="AB355" s="156"/>
    </row>
    <row r="356" spans="16:28" ht="15" customHeight="1" x14ac:dyDescent="0.45">
      <c r="P356" s="134"/>
      <c r="R356" s="146"/>
      <c r="T356" s="146"/>
      <c r="U356" s="146"/>
      <c r="W356" s="147"/>
      <c r="AB356" s="156"/>
    </row>
    <row r="357" spans="16:28" ht="15" customHeight="1" x14ac:dyDescent="0.45">
      <c r="P357" s="134"/>
      <c r="R357" s="146"/>
      <c r="T357" s="146"/>
      <c r="U357" s="146"/>
      <c r="W357" s="147"/>
      <c r="AB357" s="156"/>
    </row>
    <row r="358" spans="16:28" ht="15" customHeight="1" x14ac:dyDescent="0.45">
      <c r="P358" s="134"/>
      <c r="R358" s="146"/>
      <c r="T358" s="146"/>
      <c r="U358" s="146"/>
      <c r="W358" s="147"/>
      <c r="AB358" s="156"/>
    </row>
    <row r="359" spans="16:28" ht="15" customHeight="1" x14ac:dyDescent="0.45">
      <c r="P359" s="134"/>
      <c r="R359" s="146"/>
      <c r="T359" s="146"/>
      <c r="U359" s="146"/>
      <c r="W359" s="147"/>
      <c r="AB359" s="156"/>
    </row>
    <row r="360" spans="16:28" ht="15" customHeight="1" x14ac:dyDescent="0.45">
      <c r="P360" s="134"/>
      <c r="R360" s="146"/>
      <c r="T360" s="146"/>
      <c r="U360" s="146"/>
      <c r="W360" s="147"/>
      <c r="AB360" s="156"/>
    </row>
    <row r="361" spans="16:28" ht="15" customHeight="1" x14ac:dyDescent="0.45">
      <c r="P361" s="134"/>
      <c r="R361" s="146"/>
      <c r="T361" s="146"/>
      <c r="U361" s="146"/>
      <c r="W361" s="147"/>
      <c r="AA361" s="160"/>
      <c r="AB361" s="156"/>
    </row>
    <row r="362" spans="16:28" ht="15" customHeight="1" x14ac:dyDescent="0.45">
      <c r="P362" s="134"/>
      <c r="R362" s="146"/>
      <c r="T362" s="146"/>
      <c r="U362" s="146"/>
      <c r="W362" s="147"/>
      <c r="AA362" s="160"/>
      <c r="AB362" s="156"/>
    </row>
    <row r="363" spans="16:28" ht="15" customHeight="1" x14ac:dyDescent="0.45">
      <c r="P363" s="134"/>
      <c r="R363" s="146"/>
      <c r="T363" s="146"/>
      <c r="U363" s="146"/>
      <c r="W363" s="147"/>
      <c r="AB363" s="156"/>
    </row>
    <row r="364" spans="16:28" ht="15" customHeight="1" x14ac:dyDescent="0.45">
      <c r="P364" s="134"/>
      <c r="R364" s="146"/>
      <c r="T364" s="146"/>
      <c r="U364" s="146"/>
      <c r="W364" s="147"/>
      <c r="AB364" s="156"/>
    </row>
    <row r="365" spans="16:28" ht="15" customHeight="1" x14ac:dyDescent="0.45">
      <c r="P365" s="134"/>
      <c r="R365" s="146"/>
      <c r="T365" s="146"/>
      <c r="U365" s="146"/>
      <c r="W365" s="147"/>
      <c r="AB365" s="156"/>
    </row>
    <row r="366" spans="16:28" ht="15" customHeight="1" x14ac:dyDescent="0.45">
      <c r="P366" s="134"/>
      <c r="R366" s="146"/>
      <c r="T366" s="146"/>
      <c r="U366" s="146"/>
      <c r="W366" s="147"/>
      <c r="AB366" s="156"/>
    </row>
    <row r="367" spans="16:28" ht="15" customHeight="1" x14ac:dyDescent="0.45">
      <c r="P367" s="134"/>
      <c r="R367" s="146"/>
      <c r="T367" s="146"/>
      <c r="U367" s="146"/>
      <c r="W367" s="147"/>
      <c r="AB367" s="156"/>
    </row>
    <row r="368" spans="16:28" ht="15" customHeight="1" x14ac:dyDescent="0.45">
      <c r="P368" s="134"/>
      <c r="R368" s="146"/>
      <c r="T368" s="146"/>
      <c r="U368" s="146"/>
      <c r="W368" s="147"/>
      <c r="AB368" s="156"/>
    </row>
    <row r="369" spans="16:28" ht="15" customHeight="1" x14ac:dyDescent="0.45">
      <c r="P369" s="134"/>
      <c r="R369" s="146"/>
      <c r="T369" s="146"/>
      <c r="U369" s="146"/>
      <c r="W369" s="147"/>
      <c r="AB369" s="156"/>
    </row>
    <row r="370" spans="16:28" ht="15" customHeight="1" x14ac:dyDescent="0.45">
      <c r="P370" s="134"/>
      <c r="R370" s="146"/>
      <c r="T370" s="146"/>
      <c r="U370" s="146"/>
      <c r="W370" s="147"/>
      <c r="AB370" s="156"/>
    </row>
    <row r="371" spans="16:28" ht="15" customHeight="1" x14ac:dyDescent="0.45">
      <c r="P371" s="134"/>
      <c r="R371" s="146"/>
      <c r="T371" s="146"/>
      <c r="U371" s="146"/>
      <c r="W371" s="147"/>
      <c r="AB371" s="156"/>
    </row>
    <row r="372" spans="16:28" ht="15" customHeight="1" x14ac:dyDescent="0.45">
      <c r="P372" s="134"/>
      <c r="R372" s="146"/>
      <c r="T372" s="146"/>
      <c r="U372" s="146"/>
      <c r="W372" s="147"/>
      <c r="AB372" s="156"/>
    </row>
    <row r="373" spans="16:28" ht="15" customHeight="1" x14ac:dyDescent="0.45">
      <c r="P373" s="134"/>
      <c r="R373" s="146"/>
      <c r="T373" s="146"/>
      <c r="U373" s="146"/>
      <c r="W373" s="147"/>
      <c r="AB373" s="156"/>
    </row>
    <row r="374" spans="16:28" ht="15" customHeight="1" x14ac:dyDescent="0.45">
      <c r="P374" s="134"/>
      <c r="R374" s="146"/>
      <c r="T374" s="146"/>
      <c r="U374" s="146"/>
      <c r="W374" s="147"/>
      <c r="AB374" s="156"/>
    </row>
    <row r="375" spans="16:28" ht="15" customHeight="1" x14ac:dyDescent="0.45">
      <c r="P375" s="134"/>
      <c r="R375" s="146"/>
      <c r="T375" s="146"/>
      <c r="U375" s="146"/>
      <c r="W375" s="147"/>
      <c r="AB375" s="156"/>
    </row>
    <row r="376" spans="16:28" ht="15" customHeight="1" x14ac:dyDescent="0.45">
      <c r="P376" s="134"/>
      <c r="R376" s="146"/>
      <c r="T376" s="146"/>
      <c r="U376" s="146"/>
      <c r="W376" s="147"/>
      <c r="AB376" s="156"/>
    </row>
    <row r="377" spans="16:28" ht="15" customHeight="1" x14ac:dyDescent="0.45">
      <c r="P377" s="134"/>
      <c r="R377" s="146"/>
      <c r="T377" s="146"/>
      <c r="U377" s="146"/>
      <c r="W377" s="147"/>
      <c r="AB377" s="156"/>
    </row>
    <row r="378" spans="16:28" ht="15" customHeight="1" x14ac:dyDescent="0.45">
      <c r="P378" s="134"/>
      <c r="R378" s="146"/>
      <c r="T378" s="146"/>
      <c r="U378" s="146"/>
      <c r="W378" s="147"/>
      <c r="AB378" s="156"/>
    </row>
    <row r="379" spans="16:28" ht="15" customHeight="1" x14ac:dyDescent="0.45">
      <c r="P379" s="134"/>
      <c r="R379" s="146"/>
      <c r="T379" s="146"/>
      <c r="U379" s="146"/>
      <c r="W379" s="147"/>
      <c r="AB379" s="156"/>
    </row>
    <row r="380" spans="16:28" ht="15" customHeight="1" x14ac:dyDescent="0.45">
      <c r="P380" s="134"/>
      <c r="R380" s="146"/>
      <c r="T380" s="146"/>
      <c r="U380" s="146"/>
      <c r="W380" s="147"/>
      <c r="AB380" s="156"/>
    </row>
    <row r="381" spans="16:28" ht="15" customHeight="1" x14ac:dyDescent="0.45">
      <c r="P381" s="134"/>
      <c r="R381" s="146"/>
      <c r="T381" s="146"/>
      <c r="U381" s="146"/>
      <c r="W381" s="147"/>
      <c r="AB381" s="156"/>
    </row>
    <row r="382" spans="16:28" ht="15" customHeight="1" x14ac:dyDescent="0.45">
      <c r="P382" s="134"/>
      <c r="R382" s="146"/>
      <c r="T382" s="146"/>
      <c r="U382" s="146"/>
      <c r="W382" s="147"/>
      <c r="AB382" s="156"/>
    </row>
    <row r="383" spans="16:28" ht="15" customHeight="1" x14ac:dyDescent="0.45">
      <c r="P383" s="134"/>
      <c r="R383" s="146"/>
      <c r="T383" s="146"/>
      <c r="U383" s="146"/>
      <c r="W383" s="147"/>
      <c r="AB383" s="156"/>
    </row>
    <row r="384" spans="16:28" ht="15" customHeight="1" x14ac:dyDescent="0.45">
      <c r="P384" s="134"/>
      <c r="R384" s="146"/>
      <c r="T384" s="146"/>
      <c r="U384" s="146"/>
      <c r="W384" s="147"/>
      <c r="AB384" s="156"/>
    </row>
    <row r="385" spans="10:28" ht="15" customHeight="1" x14ac:dyDescent="0.45">
      <c r="P385" s="134"/>
      <c r="R385" s="146"/>
      <c r="T385" s="146"/>
      <c r="U385" s="146"/>
      <c r="W385" s="147"/>
      <c r="AB385" s="156"/>
    </row>
    <row r="386" spans="10:28" ht="15" customHeight="1" x14ac:dyDescent="0.45">
      <c r="P386" s="134"/>
      <c r="R386" s="146"/>
      <c r="T386" s="146"/>
      <c r="U386" s="146"/>
      <c r="W386" s="147"/>
      <c r="AB386" s="156"/>
    </row>
    <row r="387" spans="10:28" ht="15" customHeight="1" x14ac:dyDescent="0.45">
      <c r="P387" s="134"/>
      <c r="R387" s="146"/>
      <c r="T387" s="146"/>
      <c r="U387" s="146"/>
      <c r="W387" s="147"/>
      <c r="AB387" s="156"/>
    </row>
    <row r="388" spans="10:28" ht="15" customHeight="1" x14ac:dyDescent="0.45">
      <c r="P388" s="134"/>
      <c r="R388" s="146"/>
      <c r="T388" s="146"/>
      <c r="U388" s="146"/>
      <c r="W388" s="147"/>
      <c r="AB388" s="156"/>
    </row>
    <row r="389" spans="10:28" ht="15" customHeight="1" x14ac:dyDescent="0.45">
      <c r="P389" s="134"/>
      <c r="R389" s="146"/>
      <c r="T389" s="146"/>
      <c r="U389" s="146"/>
      <c r="W389" s="147"/>
      <c r="AB389" s="156"/>
    </row>
    <row r="390" spans="10:28" ht="15" customHeight="1" x14ac:dyDescent="0.45">
      <c r="P390" s="134"/>
      <c r="R390" s="146"/>
      <c r="T390" s="146"/>
      <c r="U390" s="146"/>
      <c r="W390" s="147"/>
      <c r="AB390" s="156"/>
    </row>
    <row r="391" spans="10:28" ht="15" customHeight="1" x14ac:dyDescent="0.45">
      <c r="P391" s="134"/>
      <c r="R391" s="146"/>
      <c r="T391" s="146"/>
      <c r="U391" s="146"/>
      <c r="W391" s="147"/>
      <c r="AB391" s="156"/>
    </row>
    <row r="392" spans="10:28" ht="15" customHeight="1" x14ac:dyDescent="0.45">
      <c r="P392" s="134"/>
      <c r="R392" s="146"/>
      <c r="T392" s="146"/>
      <c r="U392" s="146"/>
      <c r="W392" s="147"/>
      <c r="AB392" s="156"/>
    </row>
    <row r="393" spans="10:28" ht="15" customHeight="1" x14ac:dyDescent="0.45">
      <c r="P393" s="134"/>
      <c r="R393" s="146"/>
      <c r="T393" s="146"/>
      <c r="U393" s="146"/>
      <c r="W393" s="147"/>
      <c r="AA393" s="160"/>
      <c r="AB393" s="156"/>
    </row>
    <row r="394" spans="10:28" ht="15" customHeight="1" x14ac:dyDescent="0.45">
      <c r="P394" s="134"/>
      <c r="R394" s="146"/>
      <c r="T394" s="146"/>
      <c r="U394" s="146"/>
      <c r="W394" s="147"/>
      <c r="AA394" s="160"/>
      <c r="AB394" s="156"/>
    </row>
    <row r="395" spans="10:28" ht="15" customHeight="1" x14ac:dyDescent="0.45">
      <c r="P395" s="134"/>
      <c r="R395" s="146"/>
      <c r="T395" s="146"/>
      <c r="U395" s="146"/>
      <c r="W395" s="147"/>
      <c r="AB395" s="156"/>
    </row>
    <row r="396" spans="10:28" ht="15" customHeight="1" x14ac:dyDescent="0.45">
      <c r="J396" s="148"/>
      <c r="P396" s="134"/>
      <c r="R396" s="146"/>
      <c r="T396" s="146"/>
      <c r="U396" s="146"/>
      <c r="W396" s="147"/>
      <c r="AB396" s="156"/>
    </row>
    <row r="397" spans="10:28" ht="15" customHeight="1" x14ac:dyDescent="0.45">
      <c r="P397" s="134"/>
      <c r="R397" s="146"/>
      <c r="T397" s="146"/>
      <c r="U397" s="146"/>
      <c r="W397" s="147"/>
      <c r="AB397" s="156"/>
    </row>
    <row r="398" spans="10:28" ht="15" customHeight="1" x14ac:dyDescent="0.45">
      <c r="P398" s="134"/>
      <c r="R398" s="146"/>
      <c r="T398" s="146"/>
      <c r="U398" s="146"/>
      <c r="W398" s="147"/>
      <c r="AA398" s="160"/>
      <c r="AB398" s="156"/>
    </row>
    <row r="399" spans="10:28" ht="15" customHeight="1" x14ac:dyDescent="0.45">
      <c r="P399" s="134"/>
      <c r="R399" s="146"/>
      <c r="T399" s="146"/>
      <c r="U399" s="146"/>
      <c r="W399" s="147"/>
      <c r="AB399" s="156"/>
    </row>
    <row r="400" spans="10:28" ht="15" customHeight="1" x14ac:dyDescent="0.45">
      <c r="P400" s="134"/>
      <c r="R400" s="146"/>
      <c r="T400" s="146"/>
      <c r="U400" s="146"/>
      <c r="W400" s="147"/>
      <c r="AB400" s="156"/>
    </row>
    <row r="401" spans="16:28" ht="15" customHeight="1" x14ac:dyDescent="0.45">
      <c r="P401" s="134"/>
      <c r="R401" s="146"/>
      <c r="T401" s="146"/>
      <c r="U401" s="146"/>
      <c r="W401" s="147"/>
      <c r="AB401" s="156"/>
    </row>
    <row r="402" spans="16:28" ht="15" customHeight="1" x14ac:dyDescent="0.45">
      <c r="P402" s="134"/>
      <c r="R402" s="146"/>
      <c r="T402" s="146"/>
      <c r="U402" s="146"/>
      <c r="W402" s="147"/>
      <c r="AA402" s="160"/>
      <c r="AB402" s="156"/>
    </row>
    <row r="403" spans="16:28" ht="15" customHeight="1" x14ac:dyDescent="0.45">
      <c r="P403" s="134"/>
      <c r="R403" s="146"/>
      <c r="T403" s="146"/>
      <c r="U403" s="146"/>
      <c r="W403" s="147"/>
      <c r="AB403" s="156"/>
    </row>
    <row r="404" spans="16:28" ht="15" customHeight="1" x14ac:dyDescent="0.45">
      <c r="P404" s="134"/>
      <c r="R404" s="146"/>
      <c r="T404" s="146"/>
      <c r="U404" s="146"/>
      <c r="W404" s="147"/>
      <c r="AB404" s="156"/>
    </row>
    <row r="405" spans="16:28" ht="15" customHeight="1" x14ac:dyDescent="0.45">
      <c r="P405" s="134"/>
      <c r="R405" s="146"/>
      <c r="T405" s="146"/>
      <c r="U405" s="146"/>
      <c r="W405" s="147"/>
      <c r="AB405" s="156"/>
    </row>
    <row r="406" spans="16:28" ht="15" customHeight="1" x14ac:dyDescent="0.45">
      <c r="P406" s="148"/>
      <c r="R406" s="146"/>
      <c r="T406" s="146"/>
      <c r="U406" s="146"/>
      <c r="W406" s="147"/>
      <c r="AA406" s="160"/>
      <c r="AB406" s="156"/>
    </row>
    <row r="407" spans="16:28" ht="15" customHeight="1" x14ac:dyDescent="0.45">
      <c r="P407" s="134"/>
      <c r="R407" s="146"/>
      <c r="T407" s="146"/>
      <c r="U407" s="146"/>
      <c r="W407" s="147"/>
      <c r="AB407" s="156"/>
    </row>
    <row r="408" spans="16:28" ht="15" customHeight="1" x14ac:dyDescent="0.45">
      <c r="P408" s="134"/>
      <c r="R408" s="146"/>
      <c r="T408" s="146"/>
      <c r="U408" s="146"/>
      <c r="W408" s="147"/>
      <c r="AB408" s="156"/>
    </row>
    <row r="409" spans="16:28" ht="15" customHeight="1" x14ac:dyDescent="0.45">
      <c r="P409" s="134"/>
      <c r="R409" s="146"/>
      <c r="T409" s="146"/>
      <c r="U409" s="146"/>
      <c r="W409" s="147"/>
      <c r="AB409" s="156"/>
    </row>
    <row r="410" spans="16:28" ht="15" customHeight="1" x14ac:dyDescent="0.45">
      <c r="P410" s="134"/>
      <c r="R410" s="146"/>
      <c r="T410" s="146"/>
      <c r="U410" s="146"/>
      <c r="W410" s="147"/>
      <c r="AB410" s="156"/>
    </row>
    <row r="411" spans="16:28" ht="15" customHeight="1" x14ac:dyDescent="0.45">
      <c r="P411" s="134"/>
      <c r="R411" s="146"/>
      <c r="T411" s="146"/>
      <c r="U411" s="146"/>
      <c r="W411" s="147"/>
      <c r="AB411" s="156"/>
    </row>
    <row r="412" spans="16:28" ht="15" customHeight="1" x14ac:dyDescent="0.45">
      <c r="P412" s="134"/>
      <c r="R412" s="146"/>
      <c r="T412" s="146"/>
      <c r="U412" s="146"/>
      <c r="W412" s="147"/>
      <c r="AB412" s="156"/>
    </row>
    <row r="413" spans="16:28" ht="15" customHeight="1" x14ac:dyDescent="0.45">
      <c r="P413" s="134"/>
      <c r="R413" s="146"/>
      <c r="T413" s="146"/>
      <c r="U413" s="146"/>
      <c r="W413" s="147"/>
      <c r="AB413" s="156"/>
    </row>
    <row r="414" spans="16:28" ht="15" customHeight="1" x14ac:dyDescent="0.45">
      <c r="P414" s="134"/>
      <c r="R414" s="146"/>
      <c r="T414" s="146"/>
      <c r="U414" s="146"/>
      <c r="W414" s="147"/>
      <c r="AB414" s="156"/>
    </row>
    <row r="415" spans="16:28" ht="15" customHeight="1" x14ac:dyDescent="0.45">
      <c r="P415" s="134"/>
      <c r="R415" s="146"/>
      <c r="T415" s="146"/>
      <c r="U415" s="146"/>
      <c r="W415" s="147"/>
      <c r="AB415" s="156"/>
    </row>
    <row r="416" spans="16:28" ht="15" customHeight="1" x14ac:dyDescent="0.45">
      <c r="P416" s="134"/>
      <c r="R416" s="146"/>
      <c r="T416" s="146"/>
      <c r="U416" s="146"/>
      <c r="W416" s="147"/>
      <c r="AA416" s="160"/>
      <c r="AB416" s="156"/>
    </row>
    <row r="417" spans="16:28" ht="15" customHeight="1" x14ac:dyDescent="0.45">
      <c r="P417" s="134"/>
      <c r="R417" s="146"/>
      <c r="T417" s="146"/>
      <c r="U417" s="146"/>
      <c r="W417" s="147"/>
      <c r="AB417" s="156"/>
    </row>
    <row r="418" spans="16:28" ht="15" customHeight="1" x14ac:dyDescent="0.45">
      <c r="P418" s="134"/>
      <c r="R418" s="146"/>
      <c r="T418" s="146"/>
      <c r="U418" s="146"/>
      <c r="W418" s="147"/>
      <c r="AB418" s="156"/>
    </row>
    <row r="419" spans="16:28" ht="15" customHeight="1" x14ac:dyDescent="0.45">
      <c r="P419" s="134"/>
      <c r="R419" s="146"/>
      <c r="T419" s="146"/>
      <c r="U419" s="146"/>
      <c r="W419" s="147"/>
      <c r="AB419" s="156"/>
    </row>
    <row r="420" spans="16:28" ht="15" customHeight="1" x14ac:dyDescent="0.45">
      <c r="P420" s="134"/>
      <c r="R420" s="146"/>
      <c r="T420" s="146"/>
      <c r="U420" s="146"/>
      <c r="W420" s="147"/>
      <c r="AB420" s="156"/>
    </row>
    <row r="421" spans="16:28" ht="15" customHeight="1" x14ac:dyDescent="0.45">
      <c r="P421" s="134"/>
      <c r="R421" s="146"/>
      <c r="T421" s="146"/>
      <c r="U421" s="146"/>
      <c r="W421" s="147"/>
      <c r="AB421" s="156"/>
    </row>
    <row r="422" spans="16:28" ht="15" customHeight="1" x14ac:dyDescent="0.45">
      <c r="P422" s="134"/>
      <c r="R422" s="146"/>
      <c r="T422" s="146"/>
      <c r="U422" s="146"/>
      <c r="W422" s="147"/>
      <c r="AA422" s="160"/>
      <c r="AB422" s="156"/>
    </row>
    <row r="423" spans="16:28" ht="15" customHeight="1" x14ac:dyDescent="0.45">
      <c r="P423" s="134"/>
      <c r="R423" s="146"/>
      <c r="T423" s="146"/>
      <c r="U423" s="146"/>
      <c r="W423" s="147"/>
      <c r="AA423" s="160"/>
      <c r="AB423" s="156"/>
    </row>
    <row r="424" spans="16:28" ht="15" customHeight="1" x14ac:dyDescent="0.45">
      <c r="P424" s="134"/>
      <c r="R424" s="146"/>
      <c r="T424" s="146"/>
      <c r="U424" s="146"/>
      <c r="W424" s="147"/>
      <c r="AB424" s="156"/>
    </row>
    <row r="425" spans="16:28" ht="15" customHeight="1" x14ac:dyDescent="0.45">
      <c r="P425" s="134"/>
      <c r="R425" s="146"/>
      <c r="T425" s="146"/>
      <c r="U425" s="146"/>
      <c r="W425" s="147"/>
      <c r="AB425" s="156"/>
    </row>
    <row r="426" spans="16:28" ht="15" customHeight="1" x14ac:dyDescent="0.45">
      <c r="P426" s="134"/>
      <c r="R426" s="146"/>
      <c r="T426" s="146"/>
      <c r="U426" s="146"/>
      <c r="W426" s="147"/>
      <c r="AB426" s="156"/>
    </row>
    <row r="427" spans="16:28" ht="15" customHeight="1" x14ac:dyDescent="0.45">
      <c r="P427" s="134"/>
      <c r="R427" s="146"/>
      <c r="T427" s="146"/>
      <c r="U427" s="146"/>
      <c r="W427" s="147"/>
      <c r="AB427" s="156"/>
    </row>
    <row r="428" spans="16:28" ht="15" customHeight="1" x14ac:dyDescent="0.45">
      <c r="P428" s="134"/>
      <c r="R428" s="146"/>
      <c r="T428" s="146"/>
      <c r="U428" s="146"/>
      <c r="W428" s="147"/>
      <c r="AB428" s="156"/>
    </row>
    <row r="429" spans="16:28" ht="15" customHeight="1" x14ac:dyDescent="0.45">
      <c r="P429" s="134"/>
      <c r="R429" s="146"/>
      <c r="T429" s="146"/>
      <c r="U429" s="146"/>
      <c r="W429" s="147"/>
      <c r="AB429" s="156"/>
    </row>
    <row r="430" spans="16:28" ht="15" customHeight="1" x14ac:dyDescent="0.45">
      <c r="P430" s="134"/>
      <c r="R430" s="146"/>
      <c r="T430" s="146"/>
      <c r="U430" s="146"/>
      <c r="W430" s="147"/>
      <c r="AA430" s="160"/>
      <c r="AB430" s="156"/>
    </row>
    <row r="431" spans="16:28" ht="15" customHeight="1" x14ac:dyDescent="0.45">
      <c r="P431" s="134"/>
      <c r="R431" s="146"/>
      <c r="T431" s="146"/>
      <c r="U431" s="146"/>
      <c r="W431" s="147"/>
      <c r="AA431" s="160"/>
      <c r="AB431" s="156"/>
    </row>
    <row r="432" spans="16:28" ht="15" customHeight="1" x14ac:dyDescent="0.45">
      <c r="P432" s="134"/>
      <c r="R432" s="146"/>
      <c r="T432" s="146"/>
      <c r="U432" s="146"/>
      <c r="W432" s="147"/>
      <c r="AA432" s="160"/>
      <c r="AB432" s="156"/>
    </row>
    <row r="433" spans="16:28" ht="15" customHeight="1" x14ac:dyDescent="0.45">
      <c r="P433" s="134"/>
      <c r="R433" s="146"/>
      <c r="T433" s="146"/>
      <c r="U433" s="146"/>
      <c r="W433" s="147"/>
      <c r="AB433" s="156"/>
    </row>
    <row r="434" spans="16:28" ht="15" customHeight="1" x14ac:dyDescent="0.45">
      <c r="P434" s="134"/>
      <c r="R434" s="146"/>
      <c r="T434" s="146"/>
      <c r="U434" s="146"/>
      <c r="W434" s="147"/>
      <c r="AB434" s="156"/>
    </row>
    <row r="435" spans="16:28" ht="15" customHeight="1" x14ac:dyDescent="0.45">
      <c r="P435" s="148"/>
      <c r="R435" s="146"/>
      <c r="T435" s="146"/>
      <c r="U435" s="146"/>
      <c r="W435" s="147"/>
      <c r="AB435" s="156"/>
    </row>
    <row r="436" spans="16:28" ht="15" customHeight="1" x14ac:dyDescent="0.45">
      <c r="P436" s="134"/>
      <c r="R436" s="146"/>
      <c r="T436" s="146"/>
      <c r="U436" s="146"/>
      <c r="W436" s="147"/>
      <c r="AB436" s="156"/>
    </row>
    <row r="437" spans="16:28" ht="15" customHeight="1" x14ac:dyDescent="0.45">
      <c r="P437" s="134"/>
      <c r="R437" s="146"/>
      <c r="T437" s="146"/>
      <c r="U437" s="146"/>
      <c r="W437" s="147"/>
      <c r="AB437" s="156"/>
    </row>
    <row r="438" spans="16:28" ht="15" customHeight="1" x14ac:dyDescent="0.45">
      <c r="P438" s="148"/>
      <c r="R438" s="146"/>
      <c r="T438" s="146"/>
      <c r="U438" s="146"/>
      <c r="W438" s="147"/>
      <c r="AA438" s="160"/>
      <c r="AB438" s="156"/>
    </row>
    <row r="439" spans="16:28" ht="15" customHeight="1" x14ac:dyDescent="0.45">
      <c r="P439" s="134"/>
      <c r="R439" s="146"/>
      <c r="T439" s="146"/>
      <c r="U439" s="146"/>
      <c r="W439" s="147"/>
      <c r="AB439" s="156"/>
    </row>
    <row r="440" spans="16:28" ht="15" customHeight="1" x14ac:dyDescent="0.45">
      <c r="P440" s="134"/>
      <c r="R440" s="146"/>
      <c r="T440" s="146"/>
      <c r="U440" s="146"/>
      <c r="W440" s="147"/>
      <c r="AB440" s="156"/>
    </row>
    <row r="441" spans="16:28" ht="15" customHeight="1" x14ac:dyDescent="0.45">
      <c r="P441" s="134"/>
      <c r="R441" s="146"/>
      <c r="T441" s="146"/>
      <c r="U441" s="146"/>
      <c r="W441" s="147"/>
      <c r="AB441" s="156"/>
    </row>
    <row r="442" spans="16:28" ht="15" customHeight="1" x14ac:dyDescent="0.45">
      <c r="P442" s="134"/>
      <c r="R442" s="146"/>
      <c r="T442" s="146"/>
      <c r="U442" s="146"/>
      <c r="W442" s="147"/>
      <c r="AB442" s="156"/>
    </row>
    <row r="443" spans="16:28" ht="15" customHeight="1" x14ac:dyDescent="0.45">
      <c r="P443" s="134"/>
      <c r="R443" s="146"/>
      <c r="T443" s="146"/>
      <c r="U443" s="146"/>
      <c r="W443" s="147"/>
      <c r="AB443" s="156"/>
    </row>
    <row r="444" spans="16:28" ht="15" customHeight="1" x14ac:dyDescent="0.45">
      <c r="P444" s="134"/>
      <c r="R444" s="146"/>
      <c r="T444" s="146"/>
      <c r="U444" s="146"/>
      <c r="W444" s="147"/>
      <c r="AB444" s="156"/>
    </row>
    <row r="445" spans="16:28" ht="15" customHeight="1" x14ac:dyDescent="0.45">
      <c r="P445" s="134"/>
      <c r="R445" s="146"/>
      <c r="T445" s="146"/>
      <c r="U445" s="146"/>
      <c r="W445" s="147"/>
      <c r="AA445" s="160"/>
      <c r="AB445" s="156"/>
    </row>
    <row r="446" spans="16:28" ht="15" customHeight="1" x14ac:dyDescent="0.45">
      <c r="P446" s="134"/>
      <c r="R446" s="146"/>
      <c r="T446" s="146"/>
      <c r="U446" s="146"/>
      <c r="W446" s="147"/>
      <c r="AB446" s="156"/>
    </row>
    <row r="447" spans="16:28" ht="15" customHeight="1" x14ac:dyDescent="0.45">
      <c r="P447" s="134"/>
      <c r="R447" s="146"/>
      <c r="T447" s="146"/>
      <c r="U447" s="146"/>
      <c r="W447" s="147"/>
      <c r="AB447" s="156"/>
    </row>
    <row r="448" spans="16:28" ht="15" customHeight="1" x14ac:dyDescent="0.45">
      <c r="P448" s="134"/>
      <c r="R448" s="146"/>
      <c r="T448" s="146"/>
      <c r="U448" s="146"/>
      <c r="W448" s="147"/>
      <c r="AA448" s="160"/>
      <c r="AB448" s="156"/>
    </row>
    <row r="449" spans="16:28" ht="15" customHeight="1" x14ac:dyDescent="0.45">
      <c r="P449" s="134"/>
      <c r="R449" s="146"/>
      <c r="T449" s="146"/>
      <c r="U449" s="146"/>
      <c r="W449" s="147"/>
      <c r="AA449" s="160"/>
      <c r="AB449" s="156"/>
    </row>
    <row r="450" spans="16:28" ht="15" customHeight="1" x14ac:dyDescent="0.45">
      <c r="P450" s="134"/>
      <c r="R450" s="146"/>
      <c r="T450" s="146"/>
      <c r="U450" s="146"/>
      <c r="W450" s="147"/>
      <c r="AB450" s="156"/>
    </row>
    <row r="451" spans="16:28" ht="15" customHeight="1" x14ac:dyDescent="0.45">
      <c r="P451" s="134"/>
      <c r="R451" s="146"/>
      <c r="T451" s="146"/>
      <c r="U451" s="146"/>
      <c r="W451" s="147"/>
      <c r="AA451" s="160"/>
      <c r="AB451" s="156"/>
    </row>
    <row r="452" spans="16:28" ht="15" customHeight="1" x14ac:dyDescent="0.45">
      <c r="P452" s="134"/>
      <c r="R452" s="146"/>
      <c r="T452" s="146"/>
      <c r="U452" s="146"/>
      <c r="W452" s="147"/>
      <c r="AB452" s="156"/>
    </row>
    <row r="453" spans="16:28" ht="15" customHeight="1" x14ac:dyDescent="0.45">
      <c r="P453" s="134"/>
      <c r="R453" s="146"/>
      <c r="T453" s="146"/>
      <c r="U453" s="146"/>
      <c r="W453" s="147"/>
      <c r="AB453" s="156"/>
    </row>
    <row r="454" spans="16:28" ht="15" customHeight="1" x14ac:dyDescent="0.45">
      <c r="P454" s="134"/>
      <c r="R454" s="146"/>
      <c r="T454" s="146"/>
      <c r="U454" s="146"/>
      <c r="W454" s="147"/>
      <c r="AB454" s="156"/>
    </row>
    <row r="455" spans="16:28" ht="15" customHeight="1" x14ac:dyDescent="0.45">
      <c r="P455" s="134"/>
      <c r="R455" s="146"/>
      <c r="T455" s="146"/>
      <c r="U455" s="146"/>
      <c r="W455" s="147"/>
      <c r="AB455" s="156"/>
    </row>
    <row r="456" spans="16:28" ht="15" customHeight="1" x14ac:dyDescent="0.45">
      <c r="P456" s="134"/>
      <c r="R456" s="146"/>
      <c r="T456" s="146"/>
      <c r="U456" s="146"/>
      <c r="W456" s="147"/>
      <c r="AB456" s="156"/>
    </row>
    <row r="457" spans="16:28" ht="15" customHeight="1" x14ac:dyDescent="0.45">
      <c r="P457" s="134"/>
      <c r="R457" s="146"/>
      <c r="T457" s="146"/>
      <c r="U457" s="146"/>
      <c r="W457" s="147"/>
      <c r="AB457" s="156"/>
    </row>
    <row r="458" spans="16:28" ht="15" customHeight="1" x14ac:dyDescent="0.45">
      <c r="P458" s="134"/>
      <c r="R458" s="146"/>
      <c r="T458" s="146"/>
      <c r="U458" s="146"/>
      <c r="W458" s="147"/>
      <c r="AB458" s="156"/>
    </row>
    <row r="459" spans="16:28" ht="15" customHeight="1" x14ac:dyDescent="0.45">
      <c r="P459" s="134"/>
      <c r="R459" s="146"/>
      <c r="T459" s="146"/>
      <c r="U459" s="146"/>
      <c r="W459" s="147"/>
      <c r="AB459" s="156"/>
    </row>
    <row r="460" spans="16:28" ht="15" customHeight="1" x14ac:dyDescent="0.45">
      <c r="P460" s="134"/>
      <c r="R460" s="146"/>
      <c r="T460" s="146"/>
      <c r="U460" s="146"/>
      <c r="W460" s="147"/>
      <c r="AB460" s="156"/>
    </row>
    <row r="461" spans="16:28" ht="15" customHeight="1" x14ac:dyDescent="0.45">
      <c r="P461" s="134"/>
      <c r="R461" s="146"/>
      <c r="T461" s="146"/>
      <c r="U461" s="146"/>
      <c r="W461" s="147"/>
      <c r="AB461" s="156"/>
    </row>
    <row r="462" spans="16:28" ht="15" customHeight="1" x14ac:dyDescent="0.45">
      <c r="P462" s="134"/>
      <c r="R462" s="146"/>
      <c r="T462" s="146"/>
      <c r="U462" s="146"/>
      <c r="W462" s="147"/>
      <c r="AB462" s="156"/>
    </row>
    <row r="463" spans="16:28" ht="15" customHeight="1" x14ac:dyDescent="0.45">
      <c r="P463" s="134"/>
      <c r="R463" s="146"/>
      <c r="T463" s="146"/>
      <c r="U463" s="146"/>
      <c r="W463" s="147"/>
      <c r="AB463" s="156"/>
    </row>
    <row r="464" spans="16:28" ht="15" customHeight="1" x14ac:dyDescent="0.45">
      <c r="P464" s="134"/>
      <c r="R464" s="146"/>
      <c r="T464" s="146"/>
      <c r="U464" s="146"/>
      <c r="W464" s="147"/>
      <c r="AB464" s="156"/>
    </row>
    <row r="465" spans="16:28" ht="15" customHeight="1" x14ac:dyDescent="0.45">
      <c r="P465" s="134"/>
      <c r="R465" s="146"/>
      <c r="T465" s="146"/>
      <c r="U465" s="146"/>
      <c r="W465" s="147"/>
      <c r="AB465" s="156"/>
    </row>
    <row r="466" spans="16:28" ht="15" customHeight="1" x14ac:dyDescent="0.45">
      <c r="P466" s="134"/>
      <c r="R466" s="146"/>
      <c r="T466" s="146"/>
      <c r="U466" s="146"/>
      <c r="W466" s="147"/>
      <c r="AB466" s="156"/>
    </row>
    <row r="467" spans="16:28" ht="15" customHeight="1" x14ac:dyDescent="0.45">
      <c r="P467" s="134"/>
      <c r="R467" s="146"/>
      <c r="T467" s="146"/>
      <c r="U467" s="146"/>
      <c r="W467" s="147"/>
      <c r="AB467" s="156"/>
    </row>
    <row r="468" spans="16:28" ht="15" customHeight="1" x14ac:dyDescent="0.45">
      <c r="P468" s="134"/>
      <c r="R468" s="146"/>
      <c r="T468" s="146"/>
      <c r="U468" s="146"/>
      <c r="W468" s="147"/>
      <c r="AB468" s="156"/>
    </row>
    <row r="469" spans="16:28" ht="15" customHeight="1" x14ac:dyDescent="0.45">
      <c r="P469" s="134"/>
      <c r="R469" s="146"/>
      <c r="T469" s="146"/>
      <c r="U469" s="146"/>
      <c r="W469" s="147"/>
      <c r="AB469" s="156"/>
    </row>
    <row r="470" spans="16:28" ht="15" customHeight="1" x14ac:dyDescent="0.45">
      <c r="P470" s="134"/>
      <c r="R470" s="146"/>
      <c r="T470" s="146"/>
      <c r="U470" s="146"/>
      <c r="W470" s="147"/>
      <c r="AB470" s="156"/>
    </row>
    <row r="471" spans="16:28" ht="15" customHeight="1" x14ac:dyDescent="0.45">
      <c r="P471" s="134"/>
      <c r="R471" s="146"/>
      <c r="T471" s="146"/>
      <c r="U471" s="146"/>
      <c r="W471" s="147"/>
      <c r="AB471" s="156"/>
    </row>
    <row r="472" spans="16:28" ht="15" customHeight="1" x14ac:dyDescent="0.45">
      <c r="P472" s="134"/>
      <c r="R472" s="146"/>
      <c r="T472" s="146"/>
      <c r="U472" s="146"/>
      <c r="W472" s="147"/>
      <c r="AB472" s="156"/>
    </row>
    <row r="473" spans="16:28" ht="15" customHeight="1" x14ac:dyDescent="0.45">
      <c r="P473" s="134"/>
      <c r="R473" s="146"/>
      <c r="T473" s="146"/>
      <c r="U473" s="146"/>
      <c r="W473" s="147"/>
      <c r="AB473" s="156"/>
    </row>
    <row r="474" spans="16:28" ht="15" customHeight="1" x14ac:dyDescent="0.45">
      <c r="P474" s="134"/>
      <c r="R474" s="146"/>
      <c r="T474" s="146"/>
      <c r="U474" s="146"/>
      <c r="W474" s="147"/>
      <c r="AB474" s="156"/>
    </row>
    <row r="475" spans="16:28" ht="15" customHeight="1" x14ac:dyDescent="0.45">
      <c r="P475" s="134"/>
      <c r="R475" s="146"/>
      <c r="T475" s="146"/>
      <c r="U475" s="146"/>
      <c r="W475" s="147"/>
      <c r="AB475" s="156"/>
    </row>
    <row r="476" spans="16:28" ht="15" customHeight="1" x14ac:dyDescent="0.45">
      <c r="P476" s="134"/>
      <c r="R476" s="146"/>
      <c r="T476" s="146"/>
      <c r="U476" s="146"/>
      <c r="W476" s="147"/>
      <c r="AB476" s="156"/>
    </row>
    <row r="477" spans="16:28" ht="15" customHeight="1" x14ac:dyDescent="0.45">
      <c r="P477" s="134"/>
      <c r="R477" s="146"/>
      <c r="T477" s="146"/>
      <c r="U477" s="146"/>
      <c r="W477" s="147"/>
      <c r="AB477" s="156"/>
    </row>
    <row r="478" spans="16:28" ht="15" customHeight="1" x14ac:dyDescent="0.45">
      <c r="P478" s="134"/>
      <c r="R478" s="146"/>
      <c r="T478" s="146"/>
      <c r="U478" s="146"/>
      <c r="W478" s="147"/>
      <c r="AB478" s="156"/>
    </row>
    <row r="479" spans="16:28" ht="15" customHeight="1" x14ac:dyDescent="0.45">
      <c r="P479" s="134"/>
      <c r="R479" s="146"/>
      <c r="T479" s="146"/>
      <c r="U479" s="146"/>
      <c r="W479" s="147"/>
      <c r="AB479" s="156"/>
    </row>
    <row r="480" spans="16:28" ht="15" customHeight="1" x14ac:dyDescent="0.45">
      <c r="P480" s="134"/>
      <c r="R480" s="146"/>
      <c r="T480" s="146"/>
      <c r="U480" s="146"/>
      <c r="W480" s="147"/>
      <c r="AB480" s="156"/>
    </row>
    <row r="481" spans="16:28" ht="15" customHeight="1" x14ac:dyDescent="0.45">
      <c r="P481" s="134"/>
      <c r="R481" s="146"/>
      <c r="T481" s="146"/>
      <c r="U481" s="146"/>
      <c r="W481" s="147"/>
      <c r="AB481" s="156"/>
    </row>
    <row r="482" spans="16:28" ht="15" customHeight="1" x14ac:dyDescent="0.45">
      <c r="P482" s="134"/>
      <c r="R482" s="146"/>
      <c r="T482" s="146"/>
      <c r="U482" s="146"/>
      <c r="W482" s="147"/>
      <c r="AB482" s="156"/>
    </row>
    <row r="483" spans="16:28" ht="15" customHeight="1" x14ac:dyDescent="0.45">
      <c r="P483" s="134"/>
      <c r="R483" s="146"/>
      <c r="T483" s="146"/>
      <c r="U483" s="146"/>
      <c r="W483" s="147"/>
      <c r="AB483" s="156"/>
    </row>
    <row r="484" spans="16:28" ht="15" customHeight="1" x14ac:dyDescent="0.45">
      <c r="P484" s="134"/>
      <c r="R484" s="146"/>
      <c r="T484" s="146"/>
      <c r="U484" s="146"/>
      <c r="W484" s="147"/>
      <c r="AB484" s="156"/>
    </row>
    <row r="485" spans="16:28" ht="15" customHeight="1" x14ac:dyDescent="0.45">
      <c r="P485" s="134"/>
      <c r="R485" s="146"/>
      <c r="T485" s="146"/>
      <c r="U485" s="146"/>
      <c r="W485" s="147"/>
      <c r="AB485" s="156"/>
    </row>
    <row r="486" spans="16:28" ht="15" customHeight="1" x14ac:dyDescent="0.45">
      <c r="P486" s="134"/>
      <c r="R486" s="146"/>
      <c r="T486" s="146"/>
      <c r="U486" s="146"/>
      <c r="W486" s="147"/>
      <c r="AB486" s="156"/>
    </row>
    <row r="487" spans="16:28" ht="15" customHeight="1" x14ac:dyDescent="0.45">
      <c r="P487" s="134"/>
      <c r="R487" s="146"/>
      <c r="T487" s="146"/>
      <c r="U487" s="146"/>
      <c r="W487" s="147"/>
      <c r="AB487" s="156"/>
    </row>
    <row r="488" spans="16:28" ht="15" customHeight="1" x14ac:dyDescent="0.45">
      <c r="P488" s="134"/>
      <c r="R488" s="146"/>
      <c r="T488" s="146"/>
      <c r="U488" s="146"/>
      <c r="W488" s="147"/>
      <c r="AB488" s="156"/>
    </row>
    <row r="489" spans="16:28" ht="15" customHeight="1" x14ac:dyDescent="0.45">
      <c r="P489" s="134"/>
      <c r="R489" s="146"/>
      <c r="T489" s="146"/>
      <c r="U489" s="146"/>
      <c r="W489" s="147"/>
      <c r="AB489" s="156"/>
    </row>
    <row r="490" spans="16:28" ht="15" customHeight="1" x14ac:dyDescent="0.45">
      <c r="P490" s="134"/>
      <c r="R490" s="146"/>
      <c r="T490" s="146"/>
      <c r="U490" s="146"/>
      <c r="W490" s="147"/>
      <c r="AB490" s="156"/>
    </row>
    <row r="491" spans="16:28" ht="15" customHeight="1" x14ac:dyDescent="0.45">
      <c r="P491" s="134"/>
      <c r="R491" s="146"/>
      <c r="T491" s="146"/>
      <c r="U491" s="146"/>
      <c r="W491" s="147"/>
      <c r="AB491" s="156"/>
    </row>
    <row r="492" spans="16:28" ht="15" customHeight="1" x14ac:dyDescent="0.45">
      <c r="P492" s="134"/>
      <c r="R492" s="146"/>
      <c r="T492" s="146"/>
      <c r="U492" s="146"/>
      <c r="W492" s="147"/>
      <c r="AB492" s="156"/>
    </row>
    <row r="493" spans="16:28" ht="15" customHeight="1" x14ac:dyDescent="0.45">
      <c r="P493" s="134"/>
      <c r="R493" s="146"/>
      <c r="T493" s="146"/>
      <c r="U493" s="146"/>
      <c r="W493" s="147"/>
      <c r="AB493" s="156"/>
    </row>
    <row r="494" spans="16:28" ht="15" customHeight="1" x14ac:dyDescent="0.45">
      <c r="P494" s="134"/>
      <c r="R494" s="146"/>
      <c r="T494" s="146"/>
      <c r="U494" s="146"/>
      <c r="W494" s="147"/>
      <c r="AB494" s="156"/>
    </row>
    <row r="495" spans="16:28" ht="15" customHeight="1" x14ac:dyDescent="0.45">
      <c r="P495" s="134"/>
      <c r="R495" s="146"/>
      <c r="T495" s="146"/>
      <c r="U495" s="146"/>
      <c r="W495" s="147"/>
      <c r="AB495" s="156"/>
    </row>
    <row r="496" spans="16:28" ht="15" customHeight="1" x14ac:dyDescent="0.45">
      <c r="P496" s="134"/>
      <c r="R496" s="146"/>
      <c r="T496" s="146"/>
      <c r="U496" s="146"/>
      <c r="W496" s="147"/>
      <c r="AB496" s="156"/>
    </row>
    <row r="497" spans="16:28" ht="15" customHeight="1" x14ac:dyDescent="0.45">
      <c r="P497" s="134"/>
      <c r="R497" s="146"/>
      <c r="T497" s="146"/>
      <c r="U497" s="146"/>
      <c r="W497" s="147"/>
      <c r="AB497" s="156"/>
    </row>
    <row r="498" spans="16:28" ht="15" customHeight="1" x14ac:dyDescent="0.45">
      <c r="P498" s="134"/>
      <c r="R498" s="146"/>
      <c r="T498" s="146"/>
      <c r="U498" s="146"/>
      <c r="W498" s="147"/>
      <c r="AB498" s="156"/>
    </row>
    <row r="499" spans="16:28" ht="15" customHeight="1" x14ac:dyDescent="0.45">
      <c r="P499" s="134"/>
      <c r="R499" s="146"/>
      <c r="T499" s="146"/>
      <c r="U499" s="146"/>
      <c r="W499" s="147"/>
      <c r="AB499" s="156"/>
    </row>
    <row r="500" spans="16:28" ht="15" customHeight="1" x14ac:dyDescent="0.45">
      <c r="P500" s="134"/>
      <c r="R500" s="146"/>
      <c r="T500" s="146"/>
      <c r="U500" s="146"/>
      <c r="W500" s="147"/>
      <c r="AB500" s="156"/>
    </row>
    <row r="501" spans="16:28" ht="15" customHeight="1" x14ac:dyDescent="0.45">
      <c r="P501" s="134"/>
      <c r="R501" s="146"/>
      <c r="T501" s="146"/>
      <c r="U501" s="146"/>
      <c r="W501" s="147"/>
      <c r="AA501" s="160"/>
      <c r="AB501" s="156"/>
    </row>
    <row r="502" spans="16:28" ht="15" customHeight="1" x14ac:dyDescent="0.45">
      <c r="P502" s="148"/>
      <c r="R502" s="146"/>
      <c r="T502" s="146"/>
      <c r="U502" s="146"/>
      <c r="W502" s="147"/>
      <c r="AA502" s="160"/>
      <c r="AB502" s="156"/>
    </row>
    <row r="503" spans="16:28" ht="15" customHeight="1" x14ac:dyDescent="0.45">
      <c r="P503" s="134"/>
      <c r="R503" s="146"/>
      <c r="T503" s="146"/>
      <c r="U503" s="146"/>
      <c r="W503" s="147"/>
      <c r="AA503" s="160"/>
      <c r="AB503" s="156"/>
    </row>
    <row r="504" spans="16:28" ht="15" customHeight="1" x14ac:dyDescent="0.45">
      <c r="P504" s="134"/>
      <c r="R504" s="146"/>
      <c r="T504" s="146"/>
      <c r="U504" s="146"/>
      <c r="W504" s="147"/>
      <c r="AA504" s="160"/>
      <c r="AB504" s="156"/>
    </row>
    <row r="505" spans="16:28" ht="15" customHeight="1" x14ac:dyDescent="0.45">
      <c r="P505" s="134"/>
      <c r="R505" s="146"/>
      <c r="T505" s="146"/>
      <c r="U505" s="146"/>
      <c r="W505" s="147"/>
      <c r="AA505" s="160"/>
      <c r="AB505" s="156"/>
    </row>
    <row r="506" spans="16:28" ht="15" customHeight="1" x14ac:dyDescent="0.45">
      <c r="P506" s="134"/>
      <c r="R506" s="146"/>
      <c r="T506" s="146"/>
      <c r="U506" s="146"/>
      <c r="W506" s="147"/>
      <c r="AA506" s="160"/>
      <c r="AB506" s="156"/>
    </row>
    <row r="507" spans="16:28" ht="15" customHeight="1" x14ac:dyDescent="0.45">
      <c r="P507" s="134"/>
      <c r="R507" s="146"/>
      <c r="T507" s="146"/>
      <c r="U507" s="146"/>
      <c r="W507" s="147"/>
      <c r="AB507" s="156"/>
    </row>
    <row r="508" spans="16:28" ht="15" customHeight="1" x14ac:dyDescent="0.45">
      <c r="P508" s="134"/>
      <c r="R508" s="146"/>
      <c r="T508" s="146"/>
      <c r="U508" s="146"/>
      <c r="W508" s="147"/>
      <c r="AB508" s="156"/>
    </row>
    <row r="509" spans="16:28" ht="15" customHeight="1" x14ac:dyDescent="0.45">
      <c r="P509" s="134"/>
      <c r="R509" s="146"/>
      <c r="T509" s="146"/>
      <c r="U509" s="146"/>
      <c r="W509" s="147"/>
      <c r="AB509" s="156"/>
    </row>
    <row r="510" spans="16:28" ht="15" customHeight="1" x14ac:dyDescent="0.45">
      <c r="P510" s="134"/>
      <c r="R510" s="146"/>
      <c r="T510" s="146"/>
      <c r="U510" s="146"/>
      <c r="W510" s="147"/>
      <c r="AB510" s="156"/>
    </row>
    <row r="511" spans="16:28" ht="15" customHeight="1" x14ac:dyDescent="0.45">
      <c r="P511" s="134"/>
      <c r="R511" s="146"/>
      <c r="T511" s="146"/>
      <c r="U511" s="146"/>
      <c r="W511" s="147"/>
      <c r="AB511" s="156"/>
    </row>
    <row r="512" spans="16:28" ht="15" customHeight="1" x14ac:dyDescent="0.45">
      <c r="P512" s="134"/>
      <c r="R512" s="146"/>
      <c r="T512" s="146"/>
      <c r="U512" s="146"/>
      <c r="W512" s="147"/>
      <c r="AB512" s="156"/>
    </row>
    <row r="513" spans="16:28" ht="15" customHeight="1" x14ac:dyDescent="0.45">
      <c r="P513" s="134"/>
      <c r="R513" s="146"/>
      <c r="T513" s="146"/>
      <c r="U513" s="146"/>
      <c r="W513" s="147"/>
      <c r="AB513" s="156"/>
    </row>
    <row r="514" spans="16:28" ht="15" customHeight="1" x14ac:dyDescent="0.45">
      <c r="P514" s="134"/>
      <c r="R514" s="146"/>
      <c r="T514" s="146"/>
      <c r="U514" s="146"/>
      <c r="W514" s="147"/>
      <c r="AB514" s="156"/>
    </row>
    <row r="515" spans="16:28" ht="15" customHeight="1" x14ac:dyDescent="0.45">
      <c r="P515" s="134"/>
      <c r="R515" s="146"/>
      <c r="T515" s="146"/>
      <c r="U515" s="146"/>
      <c r="W515" s="147"/>
      <c r="AB515" s="156"/>
    </row>
    <row r="516" spans="16:28" ht="15" customHeight="1" x14ac:dyDescent="0.45">
      <c r="P516" s="134"/>
      <c r="R516" s="146"/>
      <c r="T516" s="146"/>
      <c r="U516" s="146"/>
      <c r="W516" s="147"/>
      <c r="AB516" s="156"/>
    </row>
    <row r="517" spans="16:28" ht="15" customHeight="1" x14ac:dyDescent="0.45">
      <c r="P517" s="134"/>
      <c r="R517" s="146"/>
      <c r="T517" s="146"/>
      <c r="U517" s="146"/>
      <c r="W517" s="147"/>
      <c r="AB517" s="156"/>
    </row>
    <row r="518" spans="16:28" ht="15" customHeight="1" x14ac:dyDescent="0.45">
      <c r="P518" s="134"/>
      <c r="R518" s="146"/>
      <c r="T518" s="146"/>
      <c r="U518" s="146"/>
      <c r="W518" s="147"/>
      <c r="AB518" s="156"/>
    </row>
    <row r="519" spans="16:28" ht="15" customHeight="1" x14ac:dyDescent="0.45">
      <c r="P519" s="134"/>
      <c r="R519" s="146"/>
      <c r="T519" s="146"/>
      <c r="U519" s="146"/>
      <c r="W519" s="147"/>
      <c r="AB519" s="156"/>
    </row>
    <row r="520" spans="16:28" ht="15" customHeight="1" x14ac:dyDescent="0.45">
      <c r="P520" s="134"/>
      <c r="R520" s="146"/>
      <c r="T520" s="146"/>
      <c r="U520" s="146"/>
      <c r="W520" s="147"/>
      <c r="AB520" s="156"/>
    </row>
    <row r="521" spans="16:28" ht="15" customHeight="1" x14ac:dyDescent="0.45">
      <c r="P521" s="134"/>
      <c r="R521" s="146"/>
      <c r="T521" s="146"/>
      <c r="U521" s="146"/>
      <c r="W521" s="147"/>
      <c r="AA521" s="160"/>
      <c r="AB521" s="156"/>
    </row>
    <row r="522" spans="16:28" ht="15" customHeight="1" x14ac:dyDescent="0.45">
      <c r="P522" s="134"/>
      <c r="R522" s="146"/>
      <c r="T522" s="146"/>
      <c r="U522" s="146"/>
      <c r="W522" s="147"/>
      <c r="AB522" s="156"/>
    </row>
    <row r="523" spans="16:28" ht="15" customHeight="1" x14ac:dyDescent="0.45">
      <c r="P523" s="134"/>
      <c r="R523" s="146"/>
      <c r="T523" s="146"/>
      <c r="U523" s="146"/>
      <c r="W523" s="147"/>
      <c r="AB523" s="156"/>
    </row>
    <row r="524" spans="16:28" ht="15" customHeight="1" x14ac:dyDescent="0.45">
      <c r="P524" s="134"/>
      <c r="R524" s="146"/>
      <c r="T524" s="146"/>
      <c r="U524" s="146"/>
      <c r="W524" s="147"/>
      <c r="AB524" s="156"/>
    </row>
    <row r="525" spans="16:28" ht="15" customHeight="1" x14ac:dyDescent="0.45">
      <c r="P525" s="134"/>
      <c r="R525" s="146"/>
      <c r="T525" s="146"/>
      <c r="U525" s="146"/>
      <c r="W525" s="147"/>
      <c r="AB525" s="156"/>
    </row>
    <row r="526" spans="16:28" ht="15" customHeight="1" x14ac:dyDescent="0.45">
      <c r="P526" s="134"/>
      <c r="R526" s="146"/>
      <c r="T526" s="146"/>
      <c r="U526" s="146"/>
      <c r="W526" s="147"/>
      <c r="AB526" s="156"/>
    </row>
    <row r="527" spans="16:28" ht="15" customHeight="1" x14ac:dyDescent="0.45">
      <c r="P527" s="134"/>
      <c r="R527" s="146"/>
      <c r="T527" s="146"/>
      <c r="U527" s="146"/>
      <c r="W527" s="147"/>
      <c r="AB527" s="156"/>
    </row>
    <row r="528" spans="16:28" ht="15" customHeight="1" x14ac:dyDescent="0.45">
      <c r="P528" s="134"/>
      <c r="R528" s="146"/>
      <c r="T528" s="146"/>
      <c r="U528" s="146"/>
      <c r="W528" s="147"/>
      <c r="AB528" s="156"/>
    </row>
    <row r="529" spans="16:28" ht="15" customHeight="1" x14ac:dyDescent="0.45">
      <c r="P529" s="134"/>
      <c r="R529" s="146"/>
      <c r="T529" s="146"/>
      <c r="U529" s="146"/>
      <c r="W529" s="147"/>
      <c r="AB529" s="156"/>
    </row>
    <row r="530" spans="16:28" ht="15" customHeight="1" x14ac:dyDescent="0.45">
      <c r="P530" s="134"/>
      <c r="R530" s="146"/>
      <c r="T530" s="146"/>
      <c r="U530" s="146"/>
      <c r="W530" s="147"/>
      <c r="AB530" s="156"/>
    </row>
    <row r="531" spans="16:28" ht="15" customHeight="1" x14ac:dyDescent="0.45">
      <c r="P531" s="134"/>
      <c r="R531" s="146"/>
      <c r="T531" s="146"/>
      <c r="U531" s="146"/>
      <c r="W531" s="147"/>
      <c r="AA531" s="160"/>
      <c r="AB531" s="156"/>
    </row>
    <row r="532" spans="16:28" ht="15" customHeight="1" x14ac:dyDescent="0.45">
      <c r="P532" s="134"/>
      <c r="R532" s="146"/>
      <c r="T532" s="146"/>
      <c r="U532" s="146"/>
      <c r="W532" s="147"/>
      <c r="AB532" s="156"/>
    </row>
    <row r="533" spans="16:28" ht="15" customHeight="1" x14ac:dyDescent="0.45">
      <c r="P533" s="134"/>
      <c r="R533" s="146"/>
      <c r="T533" s="146"/>
      <c r="U533" s="146"/>
      <c r="W533" s="147"/>
      <c r="AA533" s="160"/>
      <c r="AB533" s="156"/>
    </row>
    <row r="534" spans="16:28" ht="15" customHeight="1" x14ac:dyDescent="0.45">
      <c r="P534" s="134"/>
      <c r="R534" s="146"/>
      <c r="T534" s="146"/>
      <c r="U534" s="146"/>
      <c r="W534" s="147"/>
      <c r="AA534" s="160"/>
      <c r="AB534" s="156"/>
    </row>
    <row r="535" spans="16:28" ht="15" customHeight="1" x14ac:dyDescent="0.45">
      <c r="P535" s="134"/>
      <c r="R535" s="146"/>
      <c r="T535" s="146"/>
      <c r="U535" s="146"/>
      <c r="W535" s="147"/>
      <c r="AA535" s="160"/>
      <c r="AB535" s="156"/>
    </row>
    <row r="536" spans="16:28" ht="15" customHeight="1" x14ac:dyDescent="0.45">
      <c r="P536" s="134"/>
      <c r="R536" s="146"/>
      <c r="T536" s="146"/>
      <c r="U536" s="146"/>
      <c r="W536" s="147"/>
      <c r="AA536" s="160"/>
      <c r="AB536" s="156"/>
    </row>
    <row r="537" spans="16:28" ht="15" customHeight="1" x14ac:dyDescent="0.45">
      <c r="P537" s="134"/>
      <c r="R537" s="146"/>
      <c r="T537" s="146"/>
      <c r="U537" s="146"/>
      <c r="W537" s="147"/>
      <c r="AB537" s="156"/>
    </row>
    <row r="538" spans="16:28" ht="15" customHeight="1" x14ac:dyDescent="0.45">
      <c r="P538" s="134"/>
      <c r="R538" s="146"/>
      <c r="T538" s="146"/>
      <c r="U538" s="146"/>
      <c r="W538" s="147"/>
      <c r="AB538" s="156"/>
    </row>
    <row r="539" spans="16:28" ht="15" customHeight="1" x14ac:dyDescent="0.45">
      <c r="P539" s="134"/>
      <c r="R539" s="146"/>
      <c r="T539" s="146"/>
      <c r="U539" s="146"/>
      <c r="W539" s="147"/>
      <c r="AB539" s="156"/>
    </row>
    <row r="540" spans="16:28" ht="15" customHeight="1" x14ac:dyDescent="0.45">
      <c r="P540" s="134"/>
      <c r="R540" s="146"/>
      <c r="T540" s="146"/>
      <c r="U540" s="146"/>
      <c r="W540" s="147"/>
      <c r="AB540" s="156"/>
    </row>
    <row r="541" spans="16:28" ht="15" customHeight="1" x14ac:dyDescent="0.45">
      <c r="P541" s="134"/>
      <c r="R541" s="146"/>
      <c r="T541" s="146"/>
      <c r="U541" s="146"/>
      <c r="W541" s="147"/>
      <c r="AB541" s="156"/>
    </row>
    <row r="542" spans="16:28" ht="15" customHeight="1" x14ac:dyDescent="0.45">
      <c r="P542" s="134"/>
      <c r="R542" s="146"/>
      <c r="T542" s="146"/>
      <c r="U542" s="146"/>
      <c r="W542" s="147"/>
      <c r="AB542" s="156"/>
    </row>
    <row r="543" spans="16:28" ht="15" customHeight="1" x14ac:dyDescent="0.45">
      <c r="P543" s="134"/>
      <c r="R543" s="146"/>
      <c r="T543" s="146"/>
      <c r="U543" s="146"/>
      <c r="W543" s="147"/>
      <c r="AB543" s="156"/>
    </row>
    <row r="544" spans="16:28" ht="15" customHeight="1" x14ac:dyDescent="0.45">
      <c r="P544" s="134"/>
      <c r="R544" s="146"/>
      <c r="T544" s="146"/>
      <c r="U544" s="146"/>
      <c r="W544" s="147"/>
      <c r="AB544" s="156"/>
    </row>
    <row r="545" spans="16:28" ht="15" customHeight="1" x14ac:dyDescent="0.45">
      <c r="P545" s="134"/>
      <c r="R545" s="146"/>
      <c r="T545" s="146"/>
      <c r="U545" s="146"/>
      <c r="W545" s="147"/>
      <c r="AB545" s="156"/>
    </row>
    <row r="546" spans="16:28" ht="15" customHeight="1" x14ac:dyDescent="0.45">
      <c r="P546" s="134"/>
      <c r="R546" s="146"/>
      <c r="T546" s="146"/>
      <c r="U546" s="146"/>
      <c r="W546" s="147"/>
      <c r="AB546" s="156"/>
    </row>
    <row r="547" spans="16:28" ht="15" customHeight="1" x14ac:dyDescent="0.45">
      <c r="P547" s="134"/>
      <c r="R547" s="146"/>
      <c r="T547" s="146"/>
      <c r="U547" s="146"/>
      <c r="W547" s="147"/>
      <c r="AB547" s="156"/>
    </row>
    <row r="548" spans="16:28" ht="15" customHeight="1" x14ac:dyDescent="0.45">
      <c r="P548" s="134"/>
      <c r="R548" s="146"/>
      <c r="T548" s="146"/>
      <c r="U548" s="146"/>
      <c r="W548" s="147"/>
      <c r="AB548" s="156"/>
    </row>
    <row r="549" spans="16:28" ht="15" customHeight="1" x14ac:dyDescent="0.45">
      <c r="P549" s="134"/>
      <c r="R549" s="146"/>
      <c r="T549" s="146"/>
      <c r="U549" s="146"/>
      <c r="W549" s="147"/>
      <c r="AB549" s="156"/>
    </row>
    <row r="550" spans="16:28" ht="15" customHeight="1" x14ac:dyDescent="0.45">
      <c r="P550" s="134"/>
      <c r="R550" s="146"/>
      <c r="T550" s="146"/>
      <c r="U550" s="146"/>
      <c r="W550" s="147"/>
      <c r="AB550" s="156"/>
    </row>
    <row r="551" spans="16:28" ht="15" customHeight="1" x14ac:dyDescent="0.45">
      <c r="P551" s="134"/>
      <c r="R551" s="146"/>
      <c r="T551" s="146"/>
      <c r="U551" s="146"/>
      <c r="W551" s="147"/>
      <c r="AB551" s="156"/>
    </row>
    <row r="552" spans="16:28" ht="15" customHeight="1" x14ac:dyDescent="0.45">
      <c r="P552" s="134"/>
      <c r="R552" s="146"/>
      <c r="T552" s="146"/>
      <c r="U552" s="146"/>
      <c r="W552" s="147"/>
      <c r="AB552" s="156"/>
    </row>
    <row r="553" spans="16:28" ht="15" customHeight="1" x14ac:dyDescent="0.45">
      <c r="P553" s="134"/>
      <c r="R553" s="146"/>
      <c r="T553" s="146"/>
      <c r="U553" s="146"/>
      <c r="W553" s="147"/>
      <c r="AB553" s="156"/>
    </row>
    <row r="554" spans="16:28" ht="15" customHeight="1" x14ac:dyDescent="0.45">
      <c r="P554" s="134"/>
      <c r="R554" s="146"/>
      <c r="T554" s="146"/>
      <c r="U554" s="146"/>
      <c r="W554" s="147"/>
      <c r="AB554" s="156"/>
    </row>
    <row r="555" spans="16:28" ht="15" customHeight="1" x14ac:dyDescent="0.45">
      <c r="P555" s="134"/>
      <c r="R555" s="146"/>
      <c r="T555" s="146"/>
      <c r="U555" s="146"/>
      <c r="W555" s="147"/>
      <c r="AB555" s="156"/>
    </row>
    <row r="556" spans="16:28" ht="15" customHeight="1" x14ac:dyDescent="0.45">
      <c r="P556" s="134"/>
      <c r="R556" s="146"/>
      <c r="T556" s="146"/>
      <c r="U556" s="146"/>
      <c r="W556" s="147"/>
      <c r="AB556" s="156"/>
    </row>
    <row r="557" spans="16:28" ht="15" customHeight="1" x14ac:dyDescent="0.45">
      <c r="P557" s="134"/>
      <c r="R557" s="146"/>
      <c r="T557" s="146"/>
      <c r="U557" s="146"/>
      <c r="W557" s="147"/>
      <c r="AA557" s="160"/>
      <c r="AB557" s="156"/>
    </row>
    <row r="558" spans="16:28" ht="15" customHeight="1" x14ac:dyDescent="0.45">
      <c r="P558" s="134"/>
      <c r="R558" s="146"/>
      <c r="T558" s="146"/>
      <c r="U558" s="146"/>
      <c r="W558" s="147"/>
      <c r="AA558" s="160"/>
      <c r="AB558" s="156"/>
    </row>
    <row r="559" spans="16:28" ht="15" customHeight="1" x14ac:dyDescent="0.45">
      <c r="P559" s="134"/>
      <c r="R559" s="146"/>
      <c r="T559" s="146"/>
      <c r="U559" s="146"/>
      <c r="W559" s="147"/>
      <c r="AB559" s="156"/>
    </row>
    <row r="560" spans="16:28" ht="15" customHeight="1" x14ac:dyDescent="0.45">
      <c r="P560" s="134"/>
      <c r="R560" s="146"/>
      <c r="T560" s="146"/>
      <c r="U560" s="146"/>
      <c r="W560" s="147"/>
      <c r="AB560" s="156"/>
    </row>
    <row r="561" spans="16:28" ht="15" customHeight="1" x14ac:dyDescent="0.45">
      <c r="P561" s="134"/>
      <c r="R561" s="146"/>
      <c r="T561" s="146"/>
      <c r="U561" s="146"/>
      <c r="W561" s="147"/>
      <c r="AB561" s="156"/>
    </row>
    <row r="562" spans="16:28" ht="15" customHeight="1" x14ac:dyDescent="0.45">
      <c r="P562" s="134"/>
      <c r="R562" s="146"/>
      <c r="T562" s="146"/>
      <c r="U562" s="146"/>
      <c r="W562" s="147"/>
      <c r="AB562" s="156"/>
    </row>
    <row r="563" spans="16:28" ht="15" customHeight="1" x14ac:dyDescent="0.45">
      <c r="P563" s="134"/>
      <c r="R563" s="146"/>
      <c r="T563" s="146"/>
      <c r="U563" s="146"/>
      <c r="W563" s="147"/>
      <c r="AB563" s="156"/>
    </row>
    <row r="564" spans="16:28" ht="15" customHeight="1" x14ac:dyDescent="0.45">
      <c r="P564" s="134"/>
      <c r="R564" s="146"/>
      <c r="T564" s="146"/>
      <c r="U564" s="146"/>
      <c r="W564" s="147"/>
      <c r="AB564" s="156"/>
    </row>
    <row r="565" spans="16:28" ht="15" customHeight="1" x14ac:dyDescent="0.45">
      <c r="P565" s="134"/>
      <c r="R565" s="146"/>
      <c r="T565" s="146"/>
      <c r="U565" s="146"/>
      <c r="W565" s="147"/>
      <c r="AA565" s="160"/>
      <c r="AB565" s="156"/>
    </row>
    <row r="566" spans="16:28" ht="15" customHeight="1" x14ac:dyDescent="0.45">
      <c r="P566" s="134"/>
      <c r="R566" s="146"/>
      <c r="T566" s="146"/>
      <c r="U566" s="146"/>
      <c r="W566" s="147"/>
      <c r="AB566" s="156"/>
    </row>
    <row r="567" spans="16:28" ht="15" customHeight="1" x14ac:dyDescent="0.45">
      <c r="P567" s="134"/>
      <c r="R567" s="146"/>
      <c r="T567" s="146"/>
      <c r="U567" s="146"/>
      <c r="W567" s="147"/>
      <c r="AB567" s="156"/>
    </row>
    <row r="568" spans="16:28" ht="15" customHeight="1" x14ac:dyDescent="0.45">
      <c r="P568" s="134"/>
      <c r="R568" s="146"/>
      <c r="T568" s="146"/>
      <c r="U568" s="146"/>
      <c r="W568" s="147"/>
      <c r="AB568" s="156"/>
    </row>
    <row r="569" spans="16:28" ht="15" customHeight="1" x14ac:dyDescent="0.45">
      <c r="P569" s="134"/>
      <c r="R569" s="146"/>
      <c r="T569" s="146"/>
      <c r="U569" s="146"/>
      <c r="W569" s="147"/>
      <c r="AB569" s="156"/>
    </row>
    <row r="570" spans="16:28" ht="15" customHeight="1" x14ac:dyDescent="0.45">
      <c r="P570" s="134"/>
      <c r="R570" s="146"/>
      <c r="T570" s="146"/>
      <c r="U570" s="146"/>
      <c r="W570" s="147"/>
      <c r="AB570" s="156"/>
    </row>
    <row r="571" spans="16:28" ht="15" customHeight="1" x14ac:dyDescent="0.45">
      <c r="P571" s="134"/>
      <c r="R571" s="146"/>
      <c r="T571" s="146"/>
      <c r="U571" s="146"/>
      <c r="W571" s="147"/>
      <c r="AB571" s="156"/>
    </row>
    <row r="572" spans="16:28" ht="15" customHeight="1" x14ac:dyDescent="0.45">
      <c r="P572" s="134"/>
      <c r="R572" s="146"/>
      <c r="T572" s="146"/>
      <c r="U572" s="146"/>
      <c r="W572" s="147"/>
      <c r="AB572" s="156"/>
    </row>
    <row r="573" spans="16:28" ht="15" customHeight="1" x14ac:dyDescent="0.45">
      <c r="P573" s="134"/>
      <c r="R573" s="146"/>
      <c r="T573" s="146"/>
      <c r="U573" s="146"/>
      <c r="W573" s="147"/>
      <c r="AB573" s="156"/>
    </row>
    <row r="574" spans="16:28" ht="15" customHeight="1" x14ac:dyDescent="0.45">
      <c r="P574" s="134"/>
      <c r="R574" s="146"/>
      <c r="T574" s="146"/>
      <c r="U574" s="146"/>
      <c r="W574" s="147"/>
      <c r="AB574" s="156"/>
    </row>
    <row r="575" spans="16:28" ht="15" customHeight="1" x14ac:dyDescent="0.45">
      <c r="P575" s="134"/>
      <c r="R575" s="146"/>
      <c r="T575" s="146"/>
      <c r="U575" s="146"/>
      <c r="W575" s="147"/>
      <c r="AB575" s="156"/>
    </row>
    <row r="576" spans="16:28" ht="15" customHeight="1" x14ac:dyDescent="0.45">
      <c r="P576" s="134"/>
      <c r="R576" s="146"/>
      <c r="T576" s="146"/>
      <c r="U576" s="146"/>
      <c r="W576" s="147"/>
      <c r="AB576" s="156"/>
    </row>
    <row r="577" spans="16:28" ht="15" customHeight="1" x14ac:dyDescent="0.45">
      <c r="P577" s="134"/>
      <c r="R577" s="146"/>
      <c r="T577" s="146"/>
      <c r="U577" s="146"/>
      <c r="W577" s="147"/>
      <c r="AB577" s="156"/>
    </row>
    <row r="578" spans="16:28" ht="15" customHeight="1" x14ac:dyDescent="0.45">
      <c r="P578" s="134"/>
      <c r="R578" s="146"/>
      <c r="T578" s="146"/>
      <c r="U578" s="146"/>
      <c r="W578" s="147"/>
      <c r="AB578" s="156"/>
    </row>
    <row r="579" spans="16:28" ht="15" customHeight="1" x14ac:dyDescent="0.45">
      <c r="P579" s="134"/>
      <c r="R579" s="146"/>
      <c r="T579" s="146"/>
      <c r="U579" s="146"/>
      <c r="W579" s="147"/>
      <c r="AB579" s="156"/>
    </row>
    <row r="580" spans="16:28" ht="15" customHeight="1" x14ac:dyDescent="0.45">
      <c r="P580" s="134"/>
      <c r="R580" s="146"/>
      <c r="T580" s="146"/>
      <c r="U580" s="146"/>
      <c r="W580" s="147"/>
      <c r="AB580" s="156"/>
    </row>
    <row r="581" spans="16:28" ht="15" customHeight="1" x14ac:dyDescent="0.45">
      <c r="P581" s="134"/>
      <c r="R581" s="146"/>
      <c r="T581" s="146"/>
      <c r="U581" s="146"/>
      <c r="W581" s="147"/>
      <c r="AB581" s="156"/>
    </row>
    <row r="582" spans="16:28" ht="15" customHeight="1" x14ac:dyDescent="0.45">
      <c r="P582" s="134"/>
      <c r="R582" s="146"/>
      <c r="T582" s="146"/>
      <c r="U582" s="146"/>
      <c r="W582" s="147"/>
      <c r="AB582" s="156"/>
    </row>
    <row r="583" spans="16:28" ht="15" customHeight="1" x14ac:dyDescent="0.45">
      <c r="P583" s="134"/>
      <c r="R583" s="146"/>
      <c r="T583" s="146"/>
      <c r="U583" s="146"/>
      <c r="W583" s="147"/>
      <c r="AB583" s="156"/>
    </row>
    <row r="584" spans="16:28" ht="15" customHeight="1" x14ac:dyDescent="0.45">
      <c r="P584" s="134"/>
      <c r="R584" s="146"/>
      <c r="T584" s="146"/>
      <c r="U584" s="146"/>
      <c r="W584" s="147"/>
      <c r="AB584" s="156"/>
    </row>
    <row r="585" spans="16:28" ht="15" customHeight="1" x14ac:dyDescent="0.45">
      <c r="P585" s="134"/>
      <c r="R585" s="146"/>
      <c r="T585" s="146"/>
      <c r="U585" s="146"/>
      <c r="W585" s="147"/>
      <c r="AB585" s="156"/>
    </row>
    <row r="586" spans="16:28" ht="15" customHeight="1" x14ac:dyDescent="0.45">
      <c r="P586" s="134"/>
      <c r="R586" s="146"/>
      <c r="T586" s="146"/>
      <c r="U586" s="146"/>
      <c r="W586" s="147"/>
      <c r="AB586" s="156"/>
    </row>
    <row r="587" spans="16:28" ht="15" customHeight="1" x14ac:dyDescent="0.45">
      <c r="P587" s="134"/>
      <c r="R587" s="146"/>
      <c r="T587" s="146"/>
      <c r="U587" s="146"/>
      <c r="W587" s="147"/>
      <c r="AB587" s="156"/>
    </row>
    <row r="588" spans="16:28" ht="15" customHeight="1" x14ac:dyDescent="0.45">
      <c r="P588" s="134"/>
      <c r="R588" s="146"/>
      <c r="T588" s="146"/>
      <c r="U588" s="146"/>
      <c r="W588" s="147"/>
      <c r="AB588" s="156"/>
    </row>
    <row r="589" spans="16:28" ht="15" customHeight="1" x14ac:dyDescent="0.45">
      <c r="P589" s="134"/>
      <c r="R589" s="146"/>
      <c r="T589" s="146"/>
      <c r="U589" s="146"/>
      <c r="W589" s="147"/>
      <c r="AB589" s="156"/>
    </row>
    <row r="590" spans="16:28" ht="15" customHeight="1" x14ac:dyDescent="0.45">
      <c r="P590" s="134"/>
      <c r="R590" s="146"/>
      <c r="T590" s="146"/>
      <c r="U590" s="146"/>
      <c r="W590" s="147"/>
      <c r="AB590" s="156"/>
    </row>
    <row r="591" spans="16:28" ht="15" customHeight="1" x14ac:dyDescent="0.45">
      <c r="P591" s="134"/>
      <c r="R591" s="146"/>
      <c r="T591" s="146"/>
      <c r="U591" s="146"/>
      <c r="W591" s="147"/>
      <c r="AB591" s="156"/>
    </row>
    <row r="592" spans="16:28" ht="15" customHeight="1" x14ac:dyDescent="0.45">
      <c r="P592" s="134"/>
      <c r="R592" s="146"/>
      <c r="T592" s="146"/>
      <c r="U592" s="146"/>
      <c r="W592" s="147"/>
      <c r="AB592" s="156"/>
    </row>
    <row r="593" spans="16:28" ht="15" customHeight="1" x14ac:dyDescent="0.45">
      <c r="P593" s="134"/>
      <c r="R593" s="146"/>
      <c r="T593" s="146"/>
      <c r="U593" s="146"/>
      <c r="W593" s="147"/>
      <c r="AB593" s="156"/>
    </row>
    <row r="594" spans="16:28" ht="15" customHeight="1" x14ac:dyDescent="0.45">
      <c r="P594" s="134"/>
      <c r="R594" s="146"/>
      <c r="T594" s="146"/>
      <c r="U594" s="146"/>
      <c r="W594" s="147"/>
      <c r="AB594" s="156"/>
    </row>
    <row r="595" spans="16:28" ht="15" customHeight="1" x14ac:dyDescent="0.45">
      <c r="P595" s="134"/>
      <c r="R595" s="146"/>
      <c r="T595" s="146"/>
      <c r="U595" s="146"/>
      <c r="W595" s="147"/>
      <c r="AB595" s="156"/>
    </row>
    <row r="596" spans="16:28" ht="15" customHeight="1" x14ac:dyDescent="0.45">
      <c r="P596" s="134"/>
      <c r="R596" s="146"/>
      <c r="T596" s="146"/>
      <c r="U596" s="146"/>
      <c r="W596" s="147"/>
      <c r="AB596" s="156"/>
    </row>
    <row r="597" spans="16:28" ht="15" customHeight="1" x14ac:dyDescent="0.45">
      <c r="P597" s="134"/>
      <c r="R597" s="146"/>
      <c r="T597" s="146"/>
      <c r="U597" s="146"/>
      <c r="W597" s="147"/>
      <c r="AB597" s="156"/>
    </row>
    <row r="598" spans="16:28" ht="15" customHeight="1" x14ac:dyDescent="0.45">
      <c r="P598" s="134"/>
      <c r="R598" s="146"/>
      <c r="T598" s="146"/>
      <c r="U598" s="146"/>
      <c r="W598" s="147"/>
      <c r="AB598" s="156"/>
    </row>
    <row r="599" spans="16:28" ht="15" customHeight="1" x14ac:dyDescent="0.45">
      <c r="P599" s="134"/>
      <c r="R599" s="146"/>
      <c r="T599" s="146"/>
      <c r="U599" s="146"/>
      <c r="W599" s="147"/>
      <c r="AB599" s="156"/>
    </row>
    <row r="600" spans="16:28" ht="15" customHeight="1" x14ac:dyDescent="0.45">
      <c r="P600" s="134"/>
      <c r="R600" s="146"/>
      <c r="T600" s="146"/>
      <c r="U600" s="146"/>
      <c r="W600" s="147"/>
      <c r="AB600" s="156"/>
    </row>
    <row r="601" spans="16:28" ht="15" customHeight="1" x14ac:dyDescent="0.45">
      <c r="P601" s="134"/>
      <c r="R601" s="146"/>
      <c r="T601" s="146"/>
      <c r="U601" s="146"/>
      <c r="W601" s="147"/>
      <c r="AB601" s="156"/>
    </row>
    <row r="602" spans="16:28" ht="15" customHeight="1" x14ac:dyDescent="0.45">
      <c r="P602" s="134"/>
      <c r="R602" s="146"/>
      <c r="T602" s="146"/>
      <c r="U602" s="146"/>
      <c r="W602" s="147"/>
      <c r="AB602" s="156"/>
    </row>
    <row r="603" spans="16:28" ht="15" customHeight="1" x14ac:dyDescent="0.45">
      <c r="P603" s="134"/>
      <c r="R603" s="146"/>
      <c r="T603" s="146"/>
      <c r="U603" s="146"/>
      <c r="W603" s="147"/>
      <c r="AB603" s="156"/>
    </row>
    <row r="604" spans="16:28" ht="15" customHeight="1" x14ac:dyDescent="0.45">
      <c r="P604" s="134"/>
      <c r="R604" s="146"/>
      <c r="T604" s="146"/>
      <c r="U604" s="146"/>
      <c r="W604" s="147"/>
      <c r="AB604" s="156"/>
    </row>
    <row r="605" spans="16:28" ht="15" customHeight="1" x14ac:dyDescent="0.45">
      <c r="P605" s="134"/>
      <c r="R605" s="146"/>
      <c r="T605" s="146"/>
      <c r="U605" s="146"/>
      <c r="W605" s="147"/>
      <c r="AB605" s="156"/>
    </row>
    <row r="606" spans="16:28" ht="15" customHeight="1" x14ac:dyDescent="0.45">
      <c r="P606" s="134"/>
      <c r="R606" s="146"/>
      <c r="T606" s="146"/>
      <c r="U606" s="146"/>
      <c r="W606" s="147"/>
      <c r="AB606" s="156"/>
    </row>
    <row r="607" spans="16:28" ht="15" customHeight="1" x14ac:dyDescent="0.45">
      <c r="P607" s="134"/>
      <c r="R607" s="146"/>
      <c r="T607" s="146"/>
      <c r="U607" s="146"/>
      <c r="W607" s="147"/>
      <c r="AB607" s="156"/>
    </row>
    <row r="608" spans="16:28" ht="15" customHeight="1" x14ac:dyDescent="0.45">
      <c r="P608" s="134"/>
      <c r="R608" s="146"/>
      <c r="T608" s="146"/>
      <c r="U608" s="146"/>
      <c r="W608" s="147"/>
      <c r="AB608" s="156"/>
    </row>
    <row r="609" spans="16:28" ht="15" customHeight="1" x14ac:dyDescent="0.45">
      <c r="P609" s="134"/>
      <c r="R609" s="146"/>
      <c r="T609" s="146"/>
      <c r="U609" s="146"/>
      <c r="W609" s="147"/>
      <c r="AB609" s="156"/>
    </row>
    <row r="610" spans="16:28" ht="15" customHeight="1" x14ac:dyDescent="0.45">
      <c r="P610" s="134"/>
      <c r="R610" s="146"/>
      <c r="T610" s="146"/>
      <c r="U610" s="146"/>
      <c r="W610" s="147"/>
      <c r="AB610" s="156"/>
    </row>
    <row r="611" spans="16:28" ht="15" customHeight="1" x14ac:dyDescent="0.45">
      <c r="P611" s="134"/>
      <c r="R611" s="146"/>
      <c r="T611" s="146"/>
      <c r="U611" s="146"/>
      <c r="W611" s="147"/>
      <c r="AB611" s="156"/>
    </row>
    <row r="612" spans="16:28" ht="15" customHeight="1" x14ac:dyDescent="0.45">
      <c r="P612" s="134"/>
      <c r="R612" s="146"/>
      <c r="T612" s="146"/>
      <c r="U612" s="146"/>
      <c r="W612" s="147"/>
      <c r="AB612" s="156"/>
    </row>
    <row r="613" spans="16:28" ht="15" customHeight="1" x14ac:dyDescent="0.45">
      <c r="P613" s="134"/>
      <c r="R613" s="146"/>
      <c r="T613" s="146"/>
      <c r="U613" s="146"/>
      <c r="W613" s="147"/>
      <c r="AB613" s="156"/>
    </row>
    <row r="614" spans="16:28" ht="15" customHeight="1" x14ac:dyDescent="0.45">
      <c r="P614" s="134"/>
      <c r="R614" s="146"/>
      <c r="T614" s="146"/>
      <c r="U614" s="146"/>
      <c r="W614" s="147"/>
      <c r="AB614" s="156"/>
    </row>
    <row r="615" spans="16:28" ht="15" customHeight="1" x14ac:dyDescent="0.45">
      <c r="P615" s="134"/>
      <c r="R615" s="146"/>
      <c r="T615" s="146"/>
      <c r="U615" s="146"/>
      <c r="W615" s="147"/>
      <c r="AB615" s="156"/>
    </row>
    <row r="616" spans="16:28" ht="15" customHeight="1" x14ac:dyDescent="0.45">
      <c r="P616" s="134"/>
      <c r="R616" s="146"/>
      <c r="T616" s="146"/>
      <c r="U616" s="146"/>
      <c r="W616" s="147"/>
      <c r="AB616" s="156"/>
    </row>
    <row r="617" spans="16:28" ht="15" customHeight="1" x14ac:dyDescent="0.45">
      <c r="P617" s="134"/>
      <c r="R617" s="146"/>
      <c r="T617" s="146"/>
      <c r="U617" s="146"/>
      <c r="W617" s="147"/>
      <c r="AB617" s="156"/>
    </row>
    <row r="618" spans="16:28" ht="15" customHeight="1" x14ac:dyDescent="0.45">
      <c r="P618" s="134"/>
      <c r="R618" s="146"/>
      <c r="T618" s="146"/>
      <c r="U618" s="146"/>
      <c r="W618" s="147"/>
      <c r="AB618" s="156"/>
    </row>
    <row r="619" spans="16:28" ht="15" customHeight="1" x14ac:dyDescent="0.45">
      <c r="P619" s="134"/>
      <c r="R619" s="146"/>
      <c r="T619" s="146"/>
      <c r="U619" s="146"/>
      <c r="W619" s="147"/>
      <c r="AB619" s="156"/>
    </row>
    <row r="620" spans="16:28" ht="15" customHeight="1" x14ac:dyDescent="0.45">
      <c r="P620" s="134"/>
      <c r="R620" s="146"/>
      <c r="T620" s="146"/>
      <c r="U620" s="146"/>
      <c r="W620" s="147"/>
      <c r="AB620" s="156"/>
    </row>
    <row r="621" spans="16:28" ht="15" customHeight="1" x14ac:dyDescent="0.45">
      <c r="P621" s="134"/>
      <c r="R621" s="146"/>
      <c r="T621" s="146"/>
      <c r="U621" s="146"/>
      <c r="W621" s="147"/>
      <c r="AB621" s="156"/>
    </row>
    <row r="622" spans="16:28" ht="15" customHeight="1" x14ac:dyDescent="0.45">
      <c r="P622" s="134"/>
      <c r="R622" s="146"/>
      <c r="T622" s="146"/>
      <c r="U622" s="146"/>
      <c r="W622" s="147"/>
      <c r="AB622" s="156"/>
    </row>
    <row r="623" spans="16:28" ht="15" customHeight="1" x14ac:dyDescent="0.45">
      <c r="P623" s="134"/>
      <c r="R623" s="146"/>
      <c r="T623" s="146"/>
      <c r="U623" s="146"/>
      <c r="W623" s="147"/>
      <c r="AB623" s="156"/>
    </row>
    <row r="624" spans="16:28" ht="15" customHeight="1" x14ac:dyDescent="0.45">
      <c r="P624" s="134"/>
      <c r="R624" s="146"/>
      <c r="T624" s="146"/>
      <c r="U624" s="146"/>
      <c r="W624" s="147"/>
      <c r="AB624" s="156"/>
    </row>
    <row r="625" spans="16:28" ht="15" customHeight="1" x14ac:dyDescent="0.45">
      <c r="P625" s="134"/>
      <c r="R625" s="146"/>
      <c r="T625" s="146"/>
      <c r="U625" s="146"/>
      <c r="W625" s="147"/>
      <c r="AB625" s="156"/>
    </row>
    <row r="626" spans="16:28" ht="15" customHeight="1" x14ac:dyDescent="0.45">
      <c r="P626" s="134"/>
      <c r="R626" s="146"/>
      <c r="T626" s="146"/>
      <c r="U626" s="146"/>
      <c r="W626" s="147"/>
      <c r="AB626" s="156"/>
    </row>
    <row r="627" spans="16:28" ht="15" customHeight="1" x14ac:dyDescent="0.45">
      <c r="P627" s="134"/>
      <c r="R627" s="146"/>
      <c r="T627" s="146"/>
      <c r="U627" s="146"/>
      <c r="W627" s="147"/>
      <c r="AA627" s="160"/>
      <c r="AB627" s="156"/>
    </row>
    <row r="628" spans="16:28" ht="15" customHeight="1" x14ac:dyDescent="0.45">
      <c r="P628" s="134"/>
      <c r="R628" s="146"/>
      <c r="T628" s="146"/>
      <c r="U628" s="146"/>
      <c r="W628" s="147"/>
      <c r="AA628" s="160"/>
      <c r="AB628" s="156"/>
    </row>
    <row r="629" spans="16:28" ht="15" customHeight="1" x14ac:dyDescent="0.45">
      <c r="P629" s="134"/>
      <c r="R629" s="146"/>
      <c r="T629" s="146"/>
      <c r="U629" s="146"/>
      <c r="W629" s="147"/>
      <c r="AB629" s="156"/>
    </row>
    <row r="630" spans="16:28" ht="15" customHeight="1" x14ac:dyDescent="0.45">
      <c r="P630" s="134"/>
      <c r="R630" s="146"/>
      <c r="T630" s="146"/>
      <c r="U630" s="146"/>
      <c r="W630" s="147"/>
      <c r="AB630" s="156"/>
    </row>
    <row r="631" spans="16:28" ht="15" customHeight="1" x14ac:dyDescent="0.45">
      <c r="P631" s="134"/>
      <c r="R631" s="146"/>
      <c r="T631" s="146"/>
      <c r="U631" s="146"/>
      <c r="W631" s="147"/>
      <c r="AA631" s="160"/>
      <c r="AB631" s="156"/>
    </row>
    <row r="632" spans="16:28" ht="15" customHeight="1" x14ac:dyDescent="0.45">
      <c r="P632" s="134"/>
      <c r="R632" s="146"/>
      <c r="T632" s="146"/>
      <c r="U632" s="146"/>
      <c r="W632" s="147"/>
      <c r="AB632" s="156"/>
    </row>
    <row r="633" spans="16:28" ht="15" customHeight="1" x14ac:dyDescent="0.45">
      <c r="P633" s="134"/>
      <c r="R633" s="146"/>
      <c r="T633" s="146"/>
      <c r="U633" s="146"/>
      <c r="W633" s="147"/>
      <c r="AB633" s="156"/>
    </row>
    <row r="634" spans="16:28" ht="15" customHeight="1" x14ac:dyDescent="0.45">
      <c r="P634" s="134"/>
      <c r="R634" s="146"/>
      <c r="T634" s="146"/>
      <c r="U634" s="146"/>
      <c r="W634" s="147"/>
      <c r="AB634" s="156"/>
    </row>
    <row r="635" spans="16:28" ht="15" customHeight="1" x14ac:dyDescent="0.45">
      <c r="P635" s="134"/>
      <c r="R635" s="146"/>
      <c r="T635" s="146"/>
      <c r="U635" s="146"/>
      <c r="W635" s="147"/>
      <c r="AB635" s="156"/>
    </row>
    <row r="636" spans="16:28" ht="15" customHeight="1" x14ac:dyDescent="0.45">
      <c r="P636" s="134"/>
      <c r="R636" s="146"/>
      <c r="T636" s="146"/>
      <c r="U636" s="146"/>
      <c r="W636" s="147"/>
      <c r="AB636" s="156"/>
    </row>
    <row r="637" spans="16:28" ht="15" customHeight="1" x14ac:dyDescent="0.45">
      <c r="P637" s="134"/>
      <c r="R637" s="146"/>
      <c r="T637" s="146"/>
      <c r="U637" s="146"/>
      <c r="W637" s="147"/>
      <c r="AB637" s="156"/>
    </row>
    <row r="638" spans="16:28" ht="15" customHeight="1" x14ac:dyDescent="0.45">
      <c r="P638" s="134"/>
      <c r="R638" s="146"/>
      <c r="T638" s="146"/>
      <c r="U638" s="146"/>
      <c r="W638" s="147"/>
      <c r="AB638" s="156"/>
    </row>
    <row r="639" spans="16:28" ht="15" customHeight="1" x14ac:dyDescent="0.45">
      <c r="P639" s="134"/>
      <c r="R639" s="146"/>
      <c r="T639" s="146"/>
      <c r="U639" s="146"/>
      <c r="W639" s="147"/>
      <c r="AB639" s="156"/>
    </row>
    <row r="640" spans="16:28" ht="15" customHeight="1" x14ac:dyDescent="0.45">
      <c r="P640" s="134"/>
      <c r="R640" s="146"/>
      <c r="T640" s="146"/>
      <c r="U640" s="146"/>
      <c r="W640" s="147"/>
      <c r="AB640" s="156"/>
    </row>
    <row r="641" spans="16:28" ht="15" customHeight="1" x14ac:dyDescent="0.45">
      <c r="P641" s="134"/>
      <c r="R641" s="146"/>
      <c r="T641" s="146"/>
      <c r="U641" s="146"/>
      <c r="W641" s="147"/>
      <c r="AB641" s="156"/>
    </row>
    <row r="642" spans="16:28" ht="15" customHeight="1" x14ac:dyDescent="0.45">
      <c r="P642" s="134"/>
      <c r="R642" s="146"/>
      <c r="T642" s="146"/>
      <c r="U642" s="146"/>
      <c r="W642" s="147"/>
      <c r="AB642" s="156"/>
    </row>
    <row r="643" spans="16:28" ht="15" customHeight="1" x14ac:dyDescent="0.45">
      <c r="P643" s="134"/>
      <c r="R643" s="146"/>
      <c r="T643" s="146"/>
      <c r="U643" s="146"/>
      <c r="W643" s="147"/>
      <c r="AB643" s="156"/>
    </row>
    <row r="644" spans="16:28" ht="15" customHeight="1" x14ac:dyDescent="0.45">
      <c r="P644" s="134"/>
      <c r="R644" s="146"/>
      <c r="T644" s="146"/>
      <c r="U644" s="146"/>
      <c r="W644" s="147"/>
      <c r="AB644" s="156"/>
    </row>
    <row r="645" spans="16:28" ht="15" customHeight="1" x14ac:dyDescent="0.45">
      <c r="P645" s="134"/>
      <c r="R645" s="146"/>
      <c r="T645" s="146"/>
      <c r="U645" s="146"/>
      <c r="W645" s="147"/>
      <c r="AA645" s="160"/>
      <c r="AB645" s="156"/>
    </row>
    <row r="646" spans="16:28" ht="15" customHeight="1" x14ac:dyDescent="0.45">
      <c r="P646" s="134"/>
      <c r="R646" s="146"/>
      <c r="T646" s="146"/>
      <c r="U646" s="146"/>
      <c r="W646" s="147"/>
      <c r="AB646" s="156"/>
    </row>
    <row r="647" spans="16:28" ht="15" customHeight="1" x14ac:dyDescent="0.45">
      <c r="P647" s="134"/>
      <c r="R647" s="146"/>
      <c r="T647" s="146"/>
      <c r="U647" s="146"/>
      <c r="W647" s="147"/>
      <c r="AB647" s="156"/>
    </row>
    <row r="648" spans="16:28" ht="15" customHeight="1" x14ac:dyDescent="0.45">
      <c r="P648" s="134"/>
      <c r="R648" s="146"/>
      <c r="T648" s="146"/>
      <c r="U648" s="146"/>
      <c r="W648" s="147"/>
      <c r="AA648" s="160"/>
      <c r="AB648" s="156"/>
    </row>
    <row r="649" spans="16:28" ht="15" customHeight="1" x14ac:dyDescent="0.45">
      <c r="P649" s="134"/>
      <c r="R649" s="146"/>
      <c r="T649" s="146"/>
      <c r="U649" s="146"/>
      <c r="W649" s="147"/>
      <c r="AB649" s="156"/>
    </row>
    <row r="650" spans="16:28" ht="15" customHeight="1" x14ac:dyDescent="0.45">
      <c r="P650" s="134"/>
      <c r="R650" s="146"/>
      <c r="T650" s="146"/>
      <c r="U650" s="146"/>
      <c r="W650" s="147"/>
      <c r="AA650" s="160"/>
      <c r="AB650" s="156"/>
    </row>
    <row r="651" spans="16:28" ht="15" customHeight="1" x14ac:dyDescent="0.45">
      <c r="P651" s="134"/>
      <c r="R651" s="146"/>
      <c r="T651" s="146"/>
      <c r="U651" s="146"/>
      <c r="W651" s="147"/>
      <c r="AB651" s="156"/>
    </row>
    <row r="652" spans="16:28" ht="15" customHeight="1" x14ac:dyDescent="0.45">
      <c r="P652" s="134"/>
      <c r="R652" s="146"/>
      <c r="T652" s="146"/>
      <c r="U652" s="146"/>
      <c r="W652" s="147"/>
      <c r="AB652" s="156"/>
    </row>
    <row r="653" spans="16:28" ht="15" customHeight="1" x14ac:dyDescent="0.45">
      <c r="P653" s="134"/>
      <c r="R653" s="146"/>
      <c r="T653" s="146"/>
      <c r="U653" s="146"/>
      <c r="W653" s="147"/>
      <c r="AB653" s="156"/>
    </row>
    <row r="654" spans="16:28" ht="15" customHeight="1" x14ac:dyDescent="0.45">
      <c r="P654" s="134"/>
      <c r="R654" s="146"/>
      <c r="T654" s="146"/>
      <c r="U654" s="146"/>
      <c r="W654" s="147"/>
      <c r="AA654" s="160"/>
      <c r="AB654" s="156"/>
    </row>
    <row r="655" spans="16:28" ht="15" customHeight="1" x14ac:dyDescent="0.45">
      <c r="P655" s="134"/>
      <c r="R655" s="146"/>
      <c r="T655" s="146"/>
      <c r="U655" s="146"/>
      <c r="W655" s="147"/>
      <c r="AB655" s="156"/>
    </row>
    <row r="656" spans="16:28" ht="15" customHeight="1" x14ac:dyDescent="0.45">
      <c r="P656" s="134"/>
      <c r="R656" s="146"/>
      <c r="T656" s="146"/>
      <c r="U656" s="146"/>
      <c r="W656" s="147"/>
      <c r="AB656" s="156"/>
    </row>
    <row r="657" spans="16:28" ht="15" customHeight="1" x14ac:dyDescent="0.45">
      <c r="P657" s="134"/>
      <c r="R657" s="146"/>
      <c r="T657" s="146"/>
      <c r="U657" s="146"/>
      <c r="W657" s="147"/>
      <c r="AB657" s="156"/>
    </row>
    <row r="658" spans="16:28" ht="15" customHeight="1" x14ac:dyDescent="0.45">
      <c r="P658" s="134"/>
      <c r="R658" s="146"/>
      <c r="T658" s="146"/>
      <c r="U658" s="146"/>
      <c r="W658" s="147"/>
      <c r="AB658" s="156"/>
    </row>
    <row r="659" spans="16:28" ht="15" customHeight="1" x14ac:dyDescent="0.45">
      <c r="P659" s="134"/>
      <c r="R659" s="146"/>
      <c r="T659" s="146"/>
      <c r="U659" s="146"/>
      <c r="W659" s="147"/>
      <c r="AB659" s="156"/>
    </row>
    <row r="660" spans="16:28" ht="15" customHeight="1" x14ac:dyDescent="0.45">
      <c r="P660" s="134"/>
      <c r="R660" s="146"/>
      <c r="T660" s="146"/>
      <c r="U660" s="146"/>
      <c r="W660" s="147"/>
      <c r="AA660" s="160"/>
      <c r="AB660" s="156"/>
    </row>
    <row r="661" spans="16:28" ht="15" customHeight="1" x14ac:dyDescent="0.45">
      <c r="P661" s="134"/>
      <c r="R661" s="146"/>
      <c r="T661" s="146"/>
      <c r="U661" s="146"/>
      <c r="W661" s="147"/>
      <c r="AB661" s="156"/>
    </row>
    <row r="662" spans="16:28" ht="15" customHeight="1" x14ac:dyDescent="0.45">
      <c r="P662" s="134"/>
      <c r="R662" s="146"/>
      <c r="T662" s="146"/>
      <c r="U662" s="146"/>
      <c r="W662" s="147"/>
      <c r="AB662" s="156"/>
    </row>
    <row r="663" spans="16:28" ht="15" customHeight="1" x14ac:dyDescent="0.45">
      <c r="P663" s="134"/>
      <c r="R663" s="146"/>
      <c r="T663" s="146"/>
      <c r="U663" s="146"/>
      <c r="W663" s="147"/>
      <c r="AB663" s="156"/>
    </row>
    <row r="664" spans="16:28" ht="15" customHeight="1" x14ac:dyDescent="0.45">
      <c r="P664" s="134"/>
      <c r="R664" s="146"/>
      <c r="T664" s="146"/>
      <c r="U664" s="146"/>
      <c r="W664" s="147"/>
      <c r="AB664" s="156"/>
    </row>
    <row r="665" spans="16:28" ht="15" customHeight="1" x14ac:dyDescent="0.45">
      <c r="P665" s="134"/>
      <c r="R665" s="146"/>
      <c r="T665" s="146"/>
      <c r="U665" s="146"/>
      <c r="W665" s="147"/>
      <c r="AB665" s="156"/>
    </row>
    <row r="666" spans="16:28" ht="15" customHeight="1" x14ac:dyDescent="0.45">
      <c r="P666" s="134"/>
      <c r="R666" s="146"/>
      <c r="T666" s="146"/>
      <c r="U666" s="146"/>
      <c r="W666" s="147"/>
      <c r="AB666" s="156"/>
    </row>
    <row r="667" spans="16:28" ht="15" customHeight="1" x14ac:dyDescent="0.45">
      <c r="P667" s="134"/>
      <c r="R667" s="146"/>
      <c r="T667" s="146"/>
      <c r="U667" s="146"/>
      <c r="W667" s="147"/>
      <c r="AB667" s="156"/>
    </row>
    <row r="668" spans="16:28" ht="15" customHeight="1" x14ac:dyDescent="0.45">
      <c r="P668" s="134"/>
      <c r="R668" s="146"/>
      <c r="T668" s="146"/>
      <c r="U668" s="146"/>
      <c r="W668" s="147"/>
      <c r="AB668" s="156"/>
    </row>
    <row r="669" spans="16:28" ht="15" customHeight="1" x14ac:dyDescent="0.45">
      <c r="P669" s="134"/>
      <c r="R669" s="146"/>
      <c r="T669" s="146"/>
      <c r="U669" s="146"/>
      <c r="W669" s="147"/>
      <c r="AB669" s="156"/>
    </row>
    <row r="670" spans="16:28" ht="15" customHeight="1" x14ac:dyDescent="0.45">
      <c r="P670" s="134"/>
      <c r="R670" s="146"/>
      <c r="T670" s="146"/>
      <c r="U670" s="146"/>
      <c r="W670" s="147"/>
      <c r="AB670" s="156"/>
    </row>
    <row r="671" spans="16:28" ht="15" customHeight="1" x14ac:dyDescent="0.45">
      <c r="P671" s="134"/>
      <c r="R671" s="146"/>
      <c r="T671" s="146"/>
      <c r="U671" s="146"/>
      <c r="W671" s="147"/>
      <c r="AB671" s="156"/>
    </row>
    <row r="672" spans="16:28" ht="15" customHeight="1" x14ac:dyDescent="0.45">
      <c r="P672" s="134"/>
      <c r="R672" s="146"/>
      <c r="T672" s="146"/>
      <c r="U672" s="146"/>
      <c r="W672" s="147"/>
      <c r="AB672" s="156"/>
    </row>
    <row r="673" spans="16:28" ht="15" customHeight="1" x14ac:dyDescent="0.45">
      <c r="P673" s="134"/>
      <c r="R673" s="146"/>
      <c r="T673" s="146"/>
      <c r="U673" s="146"/>
      <c r="W673" s="147"/>
      <c r="AB673" s="156"/>
    </row>
    <row r="674" spans="16:28" ht="15" customHeight="1" x14ac:dyDescent="0.45">
      <c r="P674" s="134"/>
      <c r="R674" s="146"/>
      <c r="T674" s="146"/>
      <c r="U674" s="146"/>
      <c r="W674" s="147"/>
      <c r="AB674" s="156"/>
    </row>
    <row r="675" spans="16:28" ht="15" customHeight="1" x14ac:dyDescent="0.45">
      <c r="P675" s="134"/>
      <c r="R675" s="146"/>
      <c r="T675" s="146"/>
      <c r="U675" s="146"/>
      <c r="W675" s="147"/>
      <c r="AB675" s="156"/>
    </row>
    <row r="676" spans="16:28" ht="15" customHeight="1" x14ac:dyDescent="0.45">
      <c r="P676" s="134"/>
      <c r="R676" s="146"/>
      <c r="T676" s="146"/>
      <c r="U676" s="146"/>
      <c r="W676" s="147"/>
      <c r="AB676" s="156"/>
    </row>
    <row r="677" spans="16:28" ht="15" customHeight="1" x14ac:dyDescent="0.45">
      <c r="P677" s="134"/>
      <c r="R677" s="146"/>
      <c r="T677" s="146"/>
      <c r="U677" s="146"/>
      <c r="W677" s="147"/>
      <c r="AB677" s="156"/>
    </row>
    <row r="678" spans="16:28" ht="15" customHeight="1" x14ac:dyDescent="0.45">
      <c r="P678" s="134"/>
      <c r="R678" s="146"/>
      <c r="T678" s="146"/>
      <c r="U678" s="146"/>
      <c r="W678" s="147"/>
      <c r="AB678" s="156"/>
    </row>
    <row r="679" spans="16:28" ht="15" customHeight="1" x14ac:dyDescent="0.45">
      <c r="P679" s="134"/>
      <c r="R679" s="146"/>
      <c r="T679" s="146"/>
      <c r="U679" s="146"/>
      <c r="W679" s="147"/>
      <c r="AB679" s="156"/>
    </row>
    <row r="680" spans="16:28" ht="15" customHeight="1" x14ac:dyDescent="0.45">
      <c r="P680" s="134"/>
      <c r="R680" s="146"/>
      <c r="T680" s="146"/>
      <c r="U680" s="146"/>
      <c r="W680" s="147"/>
      <c r="AB680" s="156"/>
    </row>
    <row r="681" spans="16:28" ht="15" customHeight="1" x14ac:dyDescent="0.45">
      <c r="P681" s="134"/>
      <c r="R681" s="146"/>
      <c r="T681" s="146"/>
      <c r="U681" s="146"/>
      <c r="W681" s="147"/>
      <c r="AB681" s="156"/>
    </row>
    <row r="682" spans="16:28" ht="15" customHeight="1" x14ac:dyDescent="0.45">
      <c r="P682" s="134"/>
      <c r="R682" s="146"/>
      <c r="T682" s="146"/>
      <c r="U682" s="146"/>
      <c r="AB682" s="156"/>
    </row>
    <row r="683" spans="16:28" ht="15" customHeight="1" x14ac:dyDescent="0.45">
      <c r="P683" s="134"/>
      <c r="R683" s="146"/>
      <c r="T683" s="146"/>
      <c r="U683" s="146"/>
      <c r="W683" s="147"/>
      <c r="AB683" s="156"/>
    </row>
    <row r="684" spans="16:28" ht="15" customHeight="1" x14ac:dyDescent="0.45">
      <c r="P684" s="134"/>
      <c r="R684" s="146"/>
      <c r="T684" s="146"/>
      <c r="U684" s="146"/>
      <c r="W684" s="147"/>
      <c r="AB684" s="156"/>
    </row>
    <row r="685" spans="16:28" ht="15" customHeight="1" x14ac:dyDescent="0.45">
      <c r="P685" s="134"/>
      <c r="R685" s="146"/>
      <c r="T685" s="146"/>
      <c r="U685" s="146"/>
      <c r="W685" s="147"/>
      <c r="AB685" s="156"/>
    </row>
    <row r="686" spans="16:28" ht="15" customHeight="1" x14ac:dyDescent="0.45">
      <c r="P686" s="134"/>
      <c r="R686" s="146"/>
      <c r="T686" s="146"/>
      <c r="U686" s="146"/>
      <c r="W686" s="147"/>
      <c r="AB686" s="156"/>
    </row>
    <row r="687" spans="16:28" ht="15" customHeight="1" x14ac:dyDescent="0.45">
      <c r="P687" s="134"/>
      <c r="R687" s="146"/>
      <c r="T687" s="146"/>
      <c r="U687" s="146"/>
      <c r="W687" s="147"/>
      <c r="AB687" s="156"/>
    </row>
    <row r="688" spans="16:28" ht="15" customHeight="1" x14ac:dyDescent="0.45">
      <c r="P688" s="134"/>
      <c r="R688" s="146"/>
      <c r="T688" s="146"/>
      <c r="U688" s="146"/>
      <c r="W688" s="147"/>
      <c r="AB688" s="156"/>
    </row>
    <row r="689" spans="16:28" ht="15" customHeight="1" x14ac:dyDescent="0.45">
      <c r="P689" s="134"/>
      <c r="R689" s="146"/>
      <c r="T689" s="146"/>
      <c r="U689" s="146"/>
      <c r="W689" s="147"/>
      <c r="AA689" s="160"/>
      <c r="AB689" s="156"/>
    </row>
    <row r="690" spans="16:28" ht="15" customHeight="1" x14ac:dyDescent="0.45">
      <c r="P690" s="148"/>
      <c r="R690" s="146"/>
      <c r="T690" s="146"/>
      <c r="U690" s="146"/>
      <c r="W690" s="147"/>
      <c r="AA690" s="160"/>
      <c r="AB690" s="156"/>
    </row>
    <row r="691" spans="16:28" ht="15" customHeight="1" x14ac:dyDescent="0.45">
      <c r="P691" s="134"/>
      <c r="R691" s="146"/>
      <c r="T691" s="146"/>
      <c r="U691" s="146"/>
      <c r="W691" s="147"/>
      <c r="AB691" s="156"/>
    </row>
    <row r="692" spans="16:28" ht="15" customHeight="1" x14ac:dyDescent="0.45">
      <c r="P692" s="134"/>
      <c r="R692" s="146"/>
      <c r="T692" s="146"/>
      <c r="U692" s="146"/>
      <c r="W692" s="147"/>
      <c r="AB692" s="156"/>
    </row>
    <row r="693" spans="16:28" ht="15" customHeight="1" x14ac:dyDescent="0.45">
      <c r="P693" s="134"/>
      <c r="R693" s="146"/>
      <c r="T693" s="146"/>
      <c r="U693" s="146"/>
      <c r="W693" s="147"/>
      <c r="AA693" s="160"/>
      <c r="AB693" s="156"/>
    </row>
    <row r="694" spans="16:28" ht="15" customHeight="1" x14ac:dyDescent="0.45">
      <c r="P694" s="134"/>
      <c r="R694" s="146"/>
      <c r="T694" s="146"/>
      <c r="U694" s="146"/>
      <c r="W694" s="147"/>
      <c r="AB694" s="156"/>
    </row>
    <row r="695" spans="16:28" ht="15" customHeight="1" x14ac:dyDescent="0.45">
      <c r="P695" s="134"/>
      <c r="R695" s="146"/>
      <c r="T695" s="146"/>
      <c r="U695" s="146"/>
      <c r="W695" s="147"/>
      <c r="AB695" s="156"/>
    </row>
    <row r="696" spans="16:28" ht="15" customHeight="1" x14ac:dyDescent="0.45">
      <c r="P696" s="134"/>
      <c r="R696" s="146"/>
      <c r="T696" s="146"/>
      <c r="U696" s="146"/>
      <c r="W696" s="147"/>
      <c r="AB696" s="156"/>
    </row>
    <row r="697" spans="16:28" ht="15" customHeight="1" x14ac:dyDescent="0.45">
      <c r="P697" s="134"/>
      <c r="R697" s="146"/>
      <c r="T697" s="146"/>
      <c r="U697" s="146"/>
      <c r="W697" s="147"/>
      <c r="AB697" s="156"/>
    </row>
    <row r="698" spans="16:28" ht="15" customHeight="1" x14ac:dyDescent="0.45">
      <c r="P698" s="134"/>
      <c r="R698" s="146"/>
      <c r="T698" s="146"/>
      <c r="U698" s="146"/>
      <c r="W698" s="147"/>
      <c r="AB698" s="156"/>
    </row>
    <row r="699" spans="16:28" ht="15" customHeight="1" x14ac:dyDescent="0.45">
      <c r="P699" s="134"/>
      <c r="R699" s="146"/>
      <c r="T699" s="146"/>
      <c r="U699" s="146"/>
      <c r="W699" s="147"/>
      <c r="AA699" s="160"/>
      <c r="AB699" s="156"/>
    </row>
    <row r="700" spans="16:28" ht="15" customHeight="1" x14ac:dyDescent="0.45">
      <c r="P700" s="134"/>
      <c r="R700" s="146"/>
      <c r="T700" s="146"/>
      <c r="U700" s="146"/>
      <c r="W700" s="147"/>
      <c r="AA700" s="160"/>
      <c r="AB700" s="156"/>
    </row>
    <row r="701" spans="16:28" ht="15" customHeight="1" x14ac:dyDescent="0.45">
      <c r="P701" s="134"/>
      <c r="R701" s="146"/>
      <c r="T701" s="146"/>
      <c r="U701" s="146"/>
      <c r="W701" s="147"/>
      <c r="AA701" s="160"/>
      <c r="AB701" s="156"/>
    </row>
    <row r="702" spans="16:28" ht="15" customHeight="1" x14ac:dyDescent="0.45">
      <c r="P702" s="134"/>
      <c r="R702" s="146"/>
      <c r="T702" s="146"/>
      <c r="U702" s="146"/>
      <c r="W702" s="147"/>
      <c r="AA702" s="160"/>
      <c r="AB702" s="156"/>
    </row>
    <row r="703" spans="16:28" ht="15" customHeight="1" x14ac:dyDescent="0.45">
      <c r="P703" s="134"/>
      <c r="R703" s="146"/>
      <c r="T703" s="146"/>
      <c r="U703" s="146"/>
      <c r="W703" s="147"/>
      <c r="AB703" s="156"/>
    </row>
    <row r="704" spans="16:28" ht="15" customHeight="1" x14ac:dyDescent="0.45">
      <c r="P704" s="134"/>
      <c r="R704" s="146"/>
      <c r="T704" s="146"/>
      <c r="U704" s="146"/>
      <c r="W704" s="147"/>
      <c r="AB704" s="156"/>
    </row>
    <row r="705" spans="16:28" ht="15" customHeight="1" x14ac:dyDescent="0.45">
      <c r="P705" s="134"/>
      <c r="R705" s="146"/>
      <c r="T705" s="146"/>
      <c r="U705" s="146"/>
      <c r="W705" s="147"/>
      <c r="AB705" s="156"/>
    </row>
    <row r="706" spans="16:28" ht="15" customHeight="1" x14ac:dyDescent="0.45">
      <c r="P706" s="134"/>
      <c r="R706" s="146"/>
      <c r="T706" s="146"/>
      <c r="U706" s="146"/>
      <c r="W706" s="147"/>
      <c r="AB706" s="156"/>
    </row>
    <row r="707" spans="16:28" ht="15" customHeight="1" x14ac:dyDescent="0.45">
      <c r="P707" s="134"/>
      <c r="R707" s="146"/>
      <c r="T707" s="146"/>
      <c r="U707" s="146"/>
      <c r="W707" s="147"/>
      <c r="AB707" s="156"/>
    </row>
    <row r="708" spans="16:28" ht="15" customHeight="1" x14ac:dyDescent="0.45">
      <c r="P708" s="134"/>
      <c r="R708" s="146"/>
      <c r="T708" s="146"/>
      <c r="U708" s="146"/>
      <c r="W708" s="147"/>
      <c r="AA708" s="160"/>
      <c r="AB708" s="156"/>
    </row>
    <row r="709" spans="16:28" ht="15" customHeight="1" x14ac:dyDescent="0.45">
      <c r="P709" s="134"/>
      <c r="R709" s="146"/>
      <c r="T709" s="146"/>
      <c r="U709" s="146"/>
      <c r="W709" s="147"/>
      <c r="AA709" s="160"/>
      <c r="AB709" s="156"/>
    </row>
    <row r="710" spans="16:28" ht="15" customHeight="1" x14ac:dyDescent="0.45">
      <c r="P710" s="134"/>
      <c r="R710" s="146"/>
      <c r="T710" s="146"/>
      <c r="U710" s="146"/>
      <c r="W710" s="147"/>
      <c r="AA710" s="160"/>
      <c r="AB710" s="156"/>
    </row>
    <row r="711" spans="16:28" ht="15" customHeight="1" x14ac:dyDescent="0.45">
      <c r="P711" s="148"/>
      <c r="R711" s="146"/>
      <c r="T711" s="146"/>
      <c r="U711" s="146"/>
      <c r="W711" s="147"/>
      <c r="AB711" s="156"/>
    </row>
    <row r="712" spans="16:28" ht="15" customHeight="1" x14ac:dyDescent="0.45">
      <c r="P712" s="134"/>
      <c r="R712" s="146"/>
      <c r="T712" s="146"/>
      <c r="U712" s="146"/>
      <c r="W712" s="147"/>
      <c r="AB712" s="156"/>
    </row>
    <row r="713" spans="16:28" ht="15" customHeight="1" x14ac:dyDescent="0.45">
      <c r="P713" s="134"/>
      <c r="R713" s="146"/>
      <c r="T713" s="146"/>
      <c r="U713" s="146"/>
      <c r="W713" s="147"/>
      <c r="AA713" s="160"/>
      <c r="AB713" s="156"/>
    </row>
    <row r="714" spans="16:28" ht="15" customHeight="1" x14ac:dyDescent="0.45">
      <c r="P714" s="134"/>
      <c r="R714" s="146"/>
      <c r="T714" s="146"/>
      <c r="U714" s="146"/>
      <c r="W714" s="147"/>
      <c r="AB714" s="156"/>
    </row>
    <row r="715" spans="16:28" ht="15" customHeight="1" x14ac:dyDescent="0.45">
      <c r="P715" s="134"/>
      <c r="R715" s="146"/>
      <c r="T715" s="146"/>
      <c r="U715" s="146"/>
      <c r="W715" s="147"/>
      <c r="AB715" s="156"/>
    </row>
    <row r="716" spans="16:28" ht="15" customHeight="1" x14ac:dyDescent="0.45">
      <c r="P716" s="134"/>
      <c r="R716" s="146"/>
      <c r="T716" s="146"/>
      <c r="U716" s="146"/>
      <c r="W716" s="147"/>
      <c r="AB716" s="156"/>
    </row>
    <row r="717" spans="16:28" ht="15" customHeight="1" x14ac:dyDescent="0.45">
      <c r="P717" s="134"/>
      <c r="R717" s="146"/>
      <c r="T717" s="146"/>
      <c r="U717" s="146"/>
      <c r="W717" s="147"/>
      <c r="AB717" s="156"/>
    </row>
    <row r="718" spans="16:28" ht="15" customHeight="1" x14ac:dyDescent="0.45">
      <c r="P718" s="134"/>
      <c r="R718" s="146"/>
      <c r="T718" s="146"/>
      <c r="U718" s="146"/>
      <c r="W718" s="147"/>
      <c r="AB718" s="156"/>
    </row>
    <row r="719" spans="16:28" ht="15" customHeight="1" x14ac:dyDescent="0.45">
      <c r="P719" s="134"/>
      <c r="R719" s="146"/>
      <c r="T719" s="146"/>
      <c r="U719" s="146"/>
      <c r="W719" s="147"/>
      <c r="AA719" s="160"/>
      <c r="AB719" s="156"/>
    </row>
    <row r="720" spans="16:28" ht="15" customHeight="1" x14ac:dyDescent="0.45">
      <c r="P720" s="134"/>
      <c r="R720" s="146"/>
      <c r="T720" s="146"/>
      <c r="U720" s="146"/>
      <c r="W720" s="147"/>
      <c r="AA720" s="160"/>
      <c r="AB720" s="156"/>
    </row>
    <row r="721" spans="16:28" ht="15" customHeight="1" x14ac:dyDescent="0.45">
      <c r="P721" s="134"/>
      <c r="R721" s="146"/>
      <c r="T721" s="146"/>
      <c r="U721" s="146"/>
      <c r="W721" s="147"/>
      <c r="AB721" s="156"/>
    </row>
    <row r="722" spans="16:28" ht="15" customHeight="1" x14ac:dyDescent="0.45">
      <c r="P722" s="134"/>
      <c r="R722" s="146"/>
      <c r="T722" s="146"/>
      <c r="U722" s="146"/>
      <c r="W722" s="147"/>
      <c r="AB722" s="156"/>
    </row>
    <row r="723" spans="16:28" ht="15" customHeight="1" x14ac:dyDescent="0.45">
      <c r="P723" s="134"/>
      <c r="R723" s="146"/>
      <c r="T723" s="146"/>
      <c r="U723" s="146"/>
      <c r="W723" s="147"/>
      <c r="AA723" s="160"/>
      <c r="AB723" s="156"/>
    </row>
    <row r="724" spans="16:28" ht="15" customHeight="1" x14ac:dyDescent="0.45">
      <c r="P724" s="134"/>
      <c r="R724" s="146"/>
      <c r="T724" s="146"/>
      <c r="U724" s="146"/>
      <c r="W724" s="147"/>
      <c r="AB724" s="156"/>
    </row>
    <row r="725" spans="16:28" ht="15" customHeight="1" x14ac:dyDescent="0.45">
      <c r="P725" s="134"/>
      <c r="R725" s="146"/>
      <c r="T725" s="146"/>
      <c r="U725" s="146"/>
      <c r="W725" s="147"/>
      <c r="AB725" s="156"/>
    </row>
    <row r="726" spans="16:28" ht="15" customHeight="1" x14ac:dyDescent="0.45">
      <c r="P726" s="134"/>
      <c r="R726" s="146"/>
      <c r="T726" s="146"/>
      <c r="U726" s="146"/>
      <c r="W726" s="147"/>
      <c r="AB726" s="156"/>
    </row>
    <row r="727" spans="16:28" ht="15" customHeight="1" x14ac:dyDescent="0.45">
      <c r="P727" s="134"/>
      <c r="R727" s="146"/>
      <c r="T727" s="146"/>
      <c r="U727" s="146"/>
      <c r="W727" s="147"/>
      <c r="AB727" s="156"/>
    </row>
    <row r="728" spans="16:28" ht="15" customHeight="1" x14ac:dyDescent="0.45">
      <c r="P728" s="134"/>
      <c r="R728" s="146"/>
      <c r="T728" s="146"/>
      <c r="U728" s="146"/>
      <c r="W728" s="147"/>
      <c r="AB728" s="156"/>
    </row>
    <row r="729" spans="16:28" ht="15" customHeight="1" x14ac:dyDescent="0.45">
      <c r="P729" s="134"/>
      <c r="R729" s="146"/>
      <c r="T729" s="146"/>
      <c r="U729" s="146"/>
      <c r="W729" s="147"/>
      <c r="AB729" s="156"/>
    </row>
    <row r="730" spans="16:28" ht="15" customHeight="1" x14ac:dyDescent="0.45">
      <c r="P730" s="134"/>
      <c r="R730" s="146"/>
      <c r="T730" s="146"/>
      <c r="U730" s="146"/>
      <c r="W730" s="147"/>
      <c r="AB730" s="156"/>
    </row>
    <row r="731" spans="16:28" ht="15" customHeight="1" x14ac:dyDescent="0.45">
      <c r="P731" s="134"/>
      <c r="R731" s="146"/>
      <c r="T731" s="146"/>
      <c r="U731" s="146"/>
      <c r="W731" s="147"/>
      <c r="AB731" s="156"/>
    </row>
    <row r="732" spans="16:28" ht="15" customHeight="1" x14ac:dyDescent="0.45">
      <c r="P732" s="134"/>
      <c r="R732" s="146"/>
      <c r="T732" s="146"/>
      <c r="U732" s="146"/>
      <c r="W732" s="147"/>
      <c r="AA732" s="160"/>
      <c r="AB732" s="156"/>
    </row>
    <row r="733" spans="16:28" ht="15" customHeight="1" x14ac:dyDescent="0.45">
      <c r="P733" s="148"/>
      <c r="R733" s="146"/>
      <c r="T733" s="146"/>
      <c r="U733" s="146"/>
      <c r="W733" s="147"/>
      <c r="AB733" s="156"/>
    </row>
    <row r="734" spans="16:28" ht="15" customHeight="1" x14ac:dyDescent="0.45">
      <c r="P734" s="134"/>
      <c r="R734" s="146"/>
      <c r="T734" s="146"/>
      <c r="U734" s="146"/>
      <c r="W734" s="147"/>
      <c r="AB734" s="156"/>
    </row>
    <row r="735" spans="16:28" ht="15" customHeight="1" x14ac:dyDescent="0.45">
      <c r="P735" s="134"/>
      <c r="R735" s="146"/>
      <c r="T735" s="146"/>
      <c r="U735" s="146"/>
      <c r="W735" s="147"/>
      <c r="AB735" s="156"/>
    </row>
    <row r="736" spans="16:28" ht="15" customHeight="1" x14ac:dyDescent="0.45">
      <c r="P736" s="134"/>
      <c r="R736" s="146"/>
      <c r="T736" s="146"/>
      <c r="U736" s="146"/>
      <c r="W736" s="147"/>
      <c r="AB736" s="156"/>
    </row>
    <row r="737" spans="16:28" ht="15" customHeight="1" x14ac:dyDescent="0.45">
      <c r="P737" s="134"/>
      <c r="R737" s="146"/>
      <c r="T737" s="146"/>
      <c r="U737" s="146"/>
      <c r="W737" s="147"/>
      <c r="AB737" s="156"/>
    </row>
    <row r="738" spans="16:28" ht="15" customHeight="1" x14ac:dyDescent="0.45">
      <c r="P738" s="134"/>
      <c r="R738" s="146"/>
      <c r="T738" s="146"/>
      <c r="U738" s="146"/>
      <c r="W738" s="147"/>
      <c r="AB738" s="156"/>
    </row>
    <row r="739" spans="16:28" ht="15" customHeight="1" x14ac:dyDescent="0.45">
      <c r="P739" s="134"/>
      <c r="R739" s="146"/>
      <c r="T739" s="146"/>
      <c r="U739" s="146"/>
      <c r="W739" s="147"/>
      <c r="AB739" s="156"/>
    </row>
    <row r="740" spans="16:28" ht="15" customHeight="1" x14ac:dyDescent="0.45">
      <c r="P740" s="134"/>
      <c r="R740" s="146"/>
      <c r="T740" s="146"/>
      <c r="U740" s="146"/>
      <c r="W740" s="147"/>
      <c r="AB740" s="156"/>
    </row>
    <row r="741" spans="16:28" ht="15" customHeight="1" x14ac:dyDescent="0.45">
      <c r="P741" s="134"/>
      <c r="R741" s="146"/>
      <c r="T741" s="146"/>
      <c r="U741" s="146"/>
      <c r="W741" s="147"/>
      <c r="AB741" s="156"/>
    </row>
    <row r="742" spans="16:28" ht="15" customHeight="1" x14ac:dyDescent="0.45">
      <c r="P742" s="134"/>
      <c r="R742" s="146"/>
      <c r="T742" s="146"/>
      <c r="U742" s="146"/>
      <c r="W742" s="147"/>
      <c r="AB742" s="156"/>
    </row>
    <row r="743" spans="16:28" ht="15" customHeight="1" x14ac:dyDescent="0.45">
      <c r="P743" s="134"/>
      <c r="R743" s="146"/>
      <c r="T743" s="146"/>
      <c r="U743" s="146"/>
      <c r="W743" s="147"/>
      <c r="AB743" s="156"/>
    </row>
    <row r="744" spans="16:28" ht="15" customHeight="1" x14ac:dyDescent="0.45">
      <c r="P744" s="134"/>
      <c r="R744" s="146"/>
      <c r="T744" s="146"/>
      <c r="U744" s="146"/>
      <c r="W744" s="147"/>
      <c r="AA744" s="160"/>
      <c r="AB744" s="156"/>
    </row>
    <row r="745" spans="16:28" ht="15" customHeight="1" x14ac:dyDescent="0.45">
      <c r="P745" s="134"/>
      <c r="R745" s="146"/>
      <c r="T745" s="146"/>
      <c r="U745" s="146"/>
      <c r="W745" s="147"/>
      <c r="AA745" s="160"/>
      <c r="AB745" s="156"/>
    </row>
    <row r="746" spans="16:28" ht="15" customHeight="1" x14ac:dyDescent="0.45">
      <c r="P746" s="134"/>
      <c r="R746" s="146"/>
      <c r="T746" s="146"/>
      <c r="U746" s="146"/>
      <c r="W746" s="147"/>
      <c r="AB746" s="156"/>
    </row>
    <row r="747" spans="16:28" ht="15" customHeight="1" x14ac:dyDescent="0.45">
      <c r="P747" s="134"/>
      <c r="R747" s="146"/>
      <c r="T747" s="146"/>
      <c r="U747" s="146"/>
      <c r="W747" s="147"/>
      <c r="AA747" s="160"/>
      <c r="AB747" s="156"/>
    </row>
    <row r="748" spans="16:28" ht="15" customHeight="1" x14ac:dyDescent="0.45">
      <c r="P748" s="134"/>
      <c r="R748" s="146"/>
      <c r="T748" s="146"/>
      <c r="U748" s="146"/>
      <c r="W748" s="147"/>
      <c r="AA748" s="160"/>
      <c r="AB748" s="156"/>
    </row>
    <row r="749" spans="16:28" ht="15" customHeight="1" x14ac:dyDescent="0.45">
      <c r="P749" s="134"/>
      <c r="R749" s="146"/>
      <c r="T749" s="146"/>
      <c r="U749" s="146"/>
      <c r="W749" s="147"/>
      <c r="AB749" s="156"/>
    </row>
    <row r="750" spans="16:28" ht="15" customHeight="1" x14ac:dyDescent="0.45">
      <c r="P750" s="134"/>
      <c r="R750" s="146"/>
      <c r="T750" s="146"/>
      <c r="U750" s="146"/>
      <c r="W750" s="147"/>
      <c r="AB750" s="156"/>
    </row>
    <row r="751" spans="16:28" ht="15" customHeight="1" x14ac:dyDescent="0.45">
      <c r="P751" s="134"/>
      <c r="R751" s="146"/>
      <c r="T751" s="146"/>
      <c r="U751" s="146"/>
      <c r="W751" s="147"/>
      <c r="AB751" s="156"/>
    </row>
    <row r="752" spans="16:28" ht="15" customHeight="1" x14ac:dyDescent="0.45">
      <c r="P752" s="134"/>
      <c r="R752" s="146"/>
      <c r="T752" s="146"/>
      <c r="U752" s="146"/>
      <c r="W752" s="147"/>
      <c r="AB752" s="156"/>
    </row>
    <row r="753" spans="16:28" ht="15" customHeight="1" x14ac:dyDescent="0.45">
      <c r="P753" s="134"/>
      <c r="R753" s="146"/>
      <c r="T753" s="146"/>
      <c r="U753" s="146"/>
      <c r="W753" s="147"/>
      <c r="AB753" s="156"/>
    </row>
    <row r="754" spans="16:28" ht="15" customHeight="1" x14ac:dyDescent="0.45">
      <c r="P754" s="134"/>
      <c r="R754" s="146"/>
      <c r="T754" s="146"/>
      <c r="U754" s="146"/>
      <c r="W754" s="147"/>
      <c r="AB754" s="156"/>
    </row>
    <row r="755" spans="16:28" ht="15" customHeight="1" x14ac:dyDescent="0.45">
      <c r="P755" s="134"/>
      <c r="R755" s="146"/>
      <c r="T755" s="146"/>
      <c r="U755" s="146"/>
      <c r="W755" s="147"/>
      <c r="AB755" s="156"/>
    </row>
    <row r="756" spans="16:28" ht="15" customHeight="1" x14ac:dyDescent="0.45">
      <c r="P756" s="134"/>
      <c r="R756" s="146"/>
      <c r="T756" s="146"/>
      <c r="U756" s="146"/>
      <c r="W756" s="147"/>
      <c r="AB756" s="156"/>
    </row>
    <row r="757" spans="16:28" ht="15" customHeight="1" x14ac:dyDescent="0.45">
      <c r="P757" s="134"/>
      <c r="R757" s="146"/>
      <c r="T757" s="146"/>
      <c r="U757" s="146"/>
      <c r="W757" s="147"/>
      <c r="AB757" s="156"/>
    </row>
    <row r="758" spans="16:28" ht="15" customHeight="1" x14ac:dyDescent="0.45">
      <c r="P758" s="134"/>
      <c r="R758" s="146"/>
      <c r="T758" s="146"/>
      <c r="U758" s="146"/>
      <c r="W758" s="147"/>
      <c r="AB758" s="156"/>
    </row>
    <row r="759" spans="16:28" ht="15" customHeight="1" x14ac:dyDescent="0.45">
      <c r="P759" s="134"/>
      <c r="R759" s="146"/>
      <c r="T759" s="146"/>
      <c r="U759" s="146"/>
      <c r="W759" s="147"/>
      <c r="AB759" s="156"/>
    </row>
    <row r="760" spans="16:28" ht="15" customHeight="1" x14ac:dyDescent="0.45">
      <c r="P760" s="134"/>
      <c r="R760" s="146"/>
      <c r="T760" s="146"/>
      <c r="U760" s="146"/>
      <c r="W760" s="147"/>
      <c r="AB760" s="156"/>
    </row>
    <row r="761" spans="16:28" ht="15" customHeight="1" x14ac:dyDescent="0.45">
      <c r="P761" s="134"/>
      <c r="R761" s="146"/>
      <c r="T761" s="146"/>
      <c r="U761" s="146"/>
      <c r="W761" s="147"/>
      <c r="AB761" s="156"/>
    </row>
    <row r="762" spans="16:28" ht="15" customHeight="1" x14ac:dyDescent="0.45">
      <c r="P762" s="134"/>
      <c r="R762" s="146"/>
      <c r="T762" s="146"/>
      <c r="U762" s="146"/>
      <c r="W762" s="147"/>
      <c r="AB762" s="156"/>
    </row>
    <row r="763" spans="16:28" ht="15" customHeight="1" x14ac:dyDescent="0.45">
      <c r="P763" s="134"/>
      <c r="R763" s="146"/>
      <c r="T763" s="146"/>
      <c r="U763" s="146"/>
      <c r="W763" s="147"/>
      <c r="AB763" s="156"/>
    </row>
    <row r="764" spans="16:28" ht="15" customHeight="1" x14ac:dyDescent="0.45">
      <c r="P764" s="134"/>
      <c r="R764" s="146"/>
      <c r="T764" s="146"/>
      <c r="U764" s="146"/>
      <c r="W764" s="147"/>
      <c r="AB764" s="156"/>
    </row>
    <row r="765" spans="16:28" ht="15" customHeight="1" x14ac:dyDescent="0.45">
      <c r="P765" s="134"/>
      <c r="R765" s="146"/>
      <c r="T765" s="146"/>
      <c r="U765" s="146"/>
      <c r="W765" s="147"/>
      <c r="AA765" s="160"/>
      <c r="AB765" s="156"/>
    </row>
    <row r="766" spans="16:28" ht="15" customHeight="1" x14ac:dyDescent="0.45">
      <c r="P766" s="134"/>
      <c r="R766" s="146"/>
      <c r="T766" s="146"/>
      <c r="U766" s="146"/>
      <c r="W766" s="147"/>
      <c r="AA766" s="160"/>
      <c r="AB766" s="156"/>
    </row>
    <row r="767" spans="16:28" ht="15" customHeight="1" x14ac:dyDescent="0.45">
      <c r="P767" s="134"/>
      <c r="R767" s="146"/>
      <c r="T767" s="146"/>
      <c r="U767" s="146"/>
      <c r="W767" s="147"/>
      <c r="AA767" s="160"/>
      <c r="AB767" s="156"/>
    </row>
    <row r="768" spans="16:28" ht="15" customHeight="1" x14ac:dyDescent="0.45">
      <c r="P768" s="134"/>
      <c r="R768" s="146"/>
      <c r="T768" s="146"/>
      <c r="U768" s="146"/>
      <c r="W768" s="147"/>
      <c r="AA768" s="160"/>
      <c r="AB768" s="156"/>
    </row>
    <row r="769" spans="16:28" ht="15" customHeight="1" x14ac:dyDescent="0.45">
      <c r="P769" s="134"/>
      <c r="R769" s="146"/>
      <c r="T769" s="146"/>
      <c r="U769" s="146"/>
      <c r="W769" s="147"/>
      <c r="AB769" s="156"/>
    </row>
    <row r="770" spans="16:28" ht="15" customHeight="1" x14ac:dyDescent="0.45">
      <c r="P770" s="134"/>
      <c r="R770" s="146"/>
      <c r="T770" s="146"/>
      <c r="U770" s="146"/>
      <c r="W770" s="147"/>
      <c r="AB770" s="156"/>
    </row>
    <row r="771" spans="16:28" ht="15" customHeight="1" x14ac:dyDescent="0.45">
      <c r="P771" s="148"/>
      <c r="R771" s="146"/>
      <c r="T771" s="146"/>
      <c r="U771" s="146"/>
      <c r="W771" s="147"/>
      <c r="AA771" s="160"/>
      <c r="AB771" s="156"/>
    </row>
    <row r="772" spans="16:28" ht="15" customHeight="1" x14ac:dyDescent="0.45">
      <c r="P772" s="134"/>
      <c r="R772" s="146"/>
      <c r="T772" s="146"/>
      <c r="U772" s="146"/>
      <c r="W772" s="147"/>
      <c r="AA772" s="160"/>
      <c r="AB772" s="156"/>
    </row>
    <row r="773" spans="16:28" ht="15" customHeight="1" x14ac:dyDescent="0.45">
      <c r="P773" s="134"/>
      <c r="R773" s="146"/>
      <c r="T773" s="146"/>
      <c r="U773" s="146"/>
      <c r="W773" s="147"/>
      <c r="AB773" s="156"/>
    </row>
    <row r="774" spans="16:28" ht="15" customHeight="1" x14ac:dyDescent="0.45">
      <c r="P774" s="134"/>
      <c r="R774" s="146"/>
      <c r="T774" s="146"/>
      <c r="U774" s="146"/>
      <c r="W774" s="147"/>
      <c r="AB774" s="156"/>
    </row>
    <row r="775" spans="16:28" ht="15" customHeight="1" x14ac:dyDescent="0.45">
      <c r="P775" s="134"/>
      <c r="R775" s="146"/>
      <c r="T775" s="146"/>
      <c r="U775" s="146"/>
      <c r="W775" s="147"/>
      <c r="AB775" s="156"/>
    </row>
    <row r="776" spans="16:28" ht="15" customHeight="1" x14ac:dyDescent="0.45">
      <c r="P776" s="134"/>
      <c r="R776" s="146"/>
      <c r="T776" s="146"/>
      <c r="U776" s="146"/>
      <c r="W776" s="147"/>
      <c r="AB776" s="156"/>
    </row>
    <row r="777" spans="16:28" ht="15" customHeight="1" x14ac:dyDescent="0.45">
      <c r="P777" s="134"/>
      <c r="R777" s="146"/>
      <c r="T777" s="146"/>
      <c r="U777" s="146"/>
      <c r="W777" s="147"/>
      <c r="AA777" s="160"/>
      <c r="AB777" s="156"/>
    </row>
    <row r="778" spans="16:28" ht="15" customHeight="1" x14ac:dyDescent="0.45">
      <c r="P778" s="134"/>
      <c r="R778" s="146"/>
      <c r="T778" s="146"/>
      <c r="U778" s="146"/>
      <c r="W778" s="147"/>
      <c r="AA778" s="160"/>
      <c r="AB778" s="156"/>
    </row>
    <row r="779" spans="16:28" ht="15" customHeight="1" x14ac:dyDescent="0.45">
      <c r="P779" s="148"/>
      <c r="R779" s="146"/>
      <c r="T779" s="146"/>
      <c r="U779" s="146"/>
      <c r="W779" s="147"/>
      <c r="AB779" s="156"/>
    </row>
    <row r="780" spans="16:28" ht="15" customHeight="1" x14ac:dyDescent="0.45">
      <c r="P780" s="134"/>
      <c r="R780" s="146"/>
      <c r="T780" s="146"/>
      <c r="U780" s="146"/>
      <c r="W780" s="147"/>
      <c r="AA780" s="160"/>
      <c r="AB780" s="156"/>
    </row>
    <row r="781" spans="16:28" ht="15" customHeight="1" x14ac:dyDescent="0.45">
      <c r="P781" s="134"/>
      <c r="R781" s="146"/>
      <c r="T781" s="146"/>
      <c r="U781" s="146"/>
      <c r="W781" s="147"/>
      <c r="AB781" s="156"/>
    </row>
    <row r="782" spans="16:28" ht="15" customHeight="1" x14ac:dyDescent="0.45">
      <c r="P782" s="134"/>
      <c r="R782" s="146"/>
      <c r="T782" s="146"/>
      <c r="U782" s="146"/>
      <c r="W782" s="147"/>
      <c r="AB782" s="156"/>
    </row>
    <row r="783" spans="16:28" ht="15" customHeight="1" x14ac:dyDescent="0.45">
      <c r="P783" s="134"/>
      <c r="R783" s="146"/>
      <c r="T783" s="146"/>
      <c r="U783" s="146"/>
      <c r="W783" s="147"/>
      <c r="AB783" s="156"/>
    </row>
    <row r="784" spans="16:28" ht="15" customHeight="1" x14ac:dyDescent="0.45">
      <c r="P784" s="134"/>
      <c r="R784" s="146"/>
      <c r="T784" s="146"/>
      <c r="U784" s="146"/>
      <c r="W784" s="147"/>
      <c r="AB784" s="156"/>
    </row>
    <row r="785" spans="16:28" ht="15" customHeight="1" x14ac:dyDescent="0.45">
      <c r="P785" s="134"/>
      <c r="R785" s="146"/>
      <c r="T785" s="146"/>
      <c r="U785" s="146"/>
      <c r="W785" s="147"/>
      <c r="AB785" s="156"/>
    </row>
    <row r="786" spans="16:28" ht="15" customHeight="1" x14ac:dyDescent="0.45">
      <c r="P786" s="134"/>
      <c r="R786" s="146"/>
      <c r="T786" s="146"/>
      <c r="U786" s="146"/>
      <c r="W786" s="147"/>
      <c r="AB786" s="156"/>
    </row>
    <row r="787" spans="16:28" ht="15" customHeight="1" x14ac:dyDescent="0.45">
      <c r="P787" s="134"/>
      <c r="R787" s="146"/>
      <c r="T787" s="146"/>
      <c r="U787" s="146"/>
      <c r="W787" s="147"/>
      <c r="AB787" s="156"/>
    </row>
    <row r="788" spans="16:28" ht="15" customHeight="1" x14ac:dyDescent="0.45">
      <c r="P788" s="134"/>
      <c r="R788" s="146"/>
      <c r="T788" s="146"/>
      <c r="U788" s="146"/>
      <c r="W788" s="147"/>
      <c r="AB788" s="156"/>
    </row>
    <row r="789" spans="16:28" ht="15" customHeight="1" x14ac:dyDescent="0.45">
      <c r="P789" s="134"/>
      <c r="R789" s="146"/>
      <c r="T789" s="146"/>
      <c r="U789" s="146"/>
      <c r="W789" s="147"/>
      <c r="AB789" s="156"/>
    </row>
    <row r="790" spans="16:28" ht="15" customHeight="1" x14ac:dyDescent="0.45">
      <c r="P790" s="134"/>
      <c r="R790" s="146"/>
      <c r="T790" s="146"/>
      <c r="U790" s="146"/>
      <c r="W790" s="147"/>
      <c r="AB790" s="156"/>
    </row>
    <row r="791" spans="16:28" ht="15" customHeight="1" x14ac:dyDescent="0.45">
      <c r="P791" s="134"/>
      <c r="R791" s="146"/>
      <c r="T791" s="146"/>
      <c r="U791" s="146"/>
      <c r="W791" s="147"/>
      <c r="AA791" s="160"/>
      <c r="AB791" s="156"/>
    </row>
    <row r="792" spans="16:28" ht="15" customHeight="1" x14ac:dyDescent="0.45">
      <c r="P792" s="134"/>
      <c r="R792" s="146"/>
      <c r="T792" s="146"/>
      <c r="U792" s="146"/>
      <c r="W792" s="147"/>
      <c r="AB792" s="156"/>
    </row>
    <row r="793" spans="16:28" ht="15" customHeight="1" x14ac:dyDescent="0.45">
      <c r="P793" s="134"/>
      <c r="R793" s="146"/>
      <c r="T793" s="146"/>
      <c r="U793" s="146"/>
      <c r="W793" s="147"/>
      <c r="AA793" s="160"/>
      <c r="AB793" s="156"/>
    </row>
    <row r="794" spans="16:28" ht="15" customHeight="1" x14ac:dyDescent="0.45">
      <c r="P794" s="134"/>
      <c r="R794" s="146"/>
      <c r="T794" s="146"/>
      <c r="U794" s="146"/>
      <c r="W794" s="147"/>
      <c r="AA794" s="160"/>
      <c r="AB794" s="156"/>
    </row>
    <row r="795" spans="16:28" ht="15" customHeight="1" x14ac:dyDescent="0.45">
      <c r="P795" s="134"/>
      <c r="R795" s="146"/>
      <c r="T795" s="146"/>
      <c r="U795" s="146"/>
      <c r="W795" s="147"/>
      <c r="AA795" s="160"/>
      <c r="AB795" s="156"/>
    </row>
    <row r="796" spans="16:28" ht="15" customHeight="1" x14ac:dyDescent="0.45">
      <c r="P796" s="134"/>
      <c r="R796" s="146"/>
      <c r="T796" s="146"/>
      <c r="U796" s="146"/>
      <c r="W796" s="147"/>
      <c r="AB796" s="156"/>
    </row>
    <row r="797" spans="16:28" ht="15" customHeight="1" x14ac:dyDescent="0.45">
      <c r="P797" s="134"/>
      <c r="R797" s="146"/>
      <c r="T797" s="146"/>
      <c r="U797" s="146"/>
      <c r="W797" s="147"/>
      <c r="AB797" s="156"/>
    </row>
    <row r="798" spans="16:28" ht="15" customHeight="1" x14ac:dyDescent="0.45">
      <c r="P798" s="134"/>
      <c r="R798" s="146"/>
      <c r="T798" s="146"/>
      <c r="U798" s="146"/>
      <c r="W798" s="147"/>
      <c r="AB798" s="156"/>
    </row>
    <row r="799" spans="16:28" ht="15" customHeight="1" x14ac:dyDescent="0.45">
      <c r="P799" s="134"/>
      <c r="R799" s="146"/>
      <c r="T799" s="146"/>
      <c r="U799" s="146"/>
      <c r="W799" s="147"/>
      <c r="AB799" s="156"/>
    </row>
    <row r="800" spans="16:28" ht="15" customHeight="1" x14ac:dyDescent="0.45">
      <c r="P800" s="134"/>
      <c r="R800" s="146"/>
      <c r="T800" s="146"/>
      <c r="U800" s="146"/>
      <c r="W800" s="147"/>
      <c r="AB800" s="156"/>
    </row>
    <row r="801" spans="16:28" ht="15" customHeight="1" x14ac:dyDescent="0.45">
      <c r="P801" s="134"/>
      <c r="R801" s="146"/>
      <c r="T801" s="146"/>
      <c r="U801" s="146"/>
      <c r="W801" s="147"/>
      <c r="AB801" s="156"/>
    </row>
    <row r="802" spans="16:28" ht="15" customHeight="1" x14ac:dyDescent="0.45">
      <c r="P802" s="134"/>
      <c r="R802" s="146"/>
      <c r="T802" s="146"/>
      <c r="U802" s="146"/>
      <c r="W802" s="147"/>
      <c r="AB802" s="156"/>
    </row>
    <row r="803" spans="16:28" ht="15" customHeight="1" x14ac:dyDescent="0.45">
      <c r="P803" s="134"/>
      <c r="R803" s="146"/>
      <c r="T803" s="146"/>
      <c r="U803" s="146"/>
      <c r="W803" s="147"/>
      <c r="AB803" s="156"/>
    </row>
    <row r="804" spans="16:28" ht="15" customHeight="1" x14ac:dyDescent="0.45">
      <c r="P804" s="134"/>
      <c r="R804" s="146"/>
      <c r="T804" s="146"/>
      <c r="U804" s="146"/>
      <c r="W804" s="147"/>
      <c r="AB804" s="156"/>
    </row>
    <row r="805" spans="16:28" ht="15" customHeight="1" x14ac:dyDescent="0.45">
      <c r="P805" s="134"/>
      <c r="R805" s="146"/>
      <c r="T805" s="146"/>
      <c r="U805" s="146"/>
      <c r="W805" s="147"/>
      <c r="AB805" s="156"/>
    </row>
    <row r="806" spans="16:28" ht="15" customHeight="1" x14ac:dyDescent="0.45">
      <c r="P806" s="134"/>
      <c r="R806" s="146"/>
      <c r="T806" s="146"/>
      <c r="U806" s="146"/>
      <c r="W806" s="147"/>
      <c r="AB806" s="156"/>
    </row>
    <row r="807" spans="16:28" ht="15" customHeight="1" x14ac:dyDescent="0.45">
      <c r="P807" s="134"/>
      <c r="R807" s="146"/>
      <c r="T807" s="146"/>
      <c r="U807" s="146"/>
      <c r="W807" s="147"/>
      <c r="AB807" s="156"/>
    </row>
    <row r="808" spans="16:28" ht="15" customHeight="1" x14ac:dyDescent="0.45">
      <c r="P808" s="134"/>
      <c r="R808" s="146"/>
      <c r="T808" s="146"/>
      <c r="U808" s="146"/>
      <c r="W808" s="147"/>
      <c r="AA808" s="160"/>
      <c r="AB808" s="156"/>
    </row>
    <row r="809" spans="16:28" ht="15" customHeight="1" x14ac:dyDescent="0.45">
      <c r="P809" s="134"/>
      <c r="R809" s="146"/>
      <c r="T809" s="146"/>
      <c r="U809" s="146"/>
      <c r="W809" s="147"/>
      <c r="AA809" s="160"/>
      <c r="AB809" s="156"/>
    </row>
    <row r="810" spans="16:28" ht="15" customHeight="1" x14ac:dyDescent="0.45">
      <c r="P810" s="134"/>
      <c r="R810" s="146"/>
      <c r="T810" s="146"/>
      <c r="U810" s="146"/>
      <c r="W810" s="147"/>
      <c r="AB810" s="156"/>
    </row>
    <row r="811" spans="16:28" ht="15" customHeight="1" x14ac:dyDescent="0.45">
      <c r="P811" s="134"/>
      <c r="R811" s="146"/>
      <c r="T811" s="146"/>
      <c r="U811" s="146"/>
      <c r="W811" s="147"/>
      <c r="AB811" s="156"/>
    </row>
    <row r="812" spans="16:28" ht="15" customHeight="1" x14ac:dyDescent="0.45">
      <c r="P812" s="134"/>
      <c r="R812" s="146"/>
      <c r="T812" s="146"/>
      <c r="U812" s="146"/>
      <c r="W812" s="147"/>
      <c r="AB812" s="156"/>
    </row>
    <row r="813" spans="16:28" ht="15" customHeight="1" x14ac:dyDescent="0.45">
      <c r="P813" s="134"/>
      <c r="R813" s="146"/>
      <c r="T813" s="146"/>
      <c r="U813" s="146"/>
      <c r="W813" s="147"/>
      <c r="AB813" s="156"/>
    </row>
    <row r="814" spans="16:28" ht="15" customHeight="1" x14ac:dyDescent="0.45">
      <c r="P814" s="134"/>
      <c r="R814" s="146"/>
      <c r="T814" s="146"/>
      <c r="U814" s="146"/>
      <c r="W814" s="147"/>
      <c r="AB814" s="156"/>
    </row>
    <row r="815" spans="16:28" ht="15" customHeight="1" x14ac:dyDescent="0.45">
      <c r="P815" s="134"/>
      <c r="R815" s="146"/>
      <c r="T815" s="146"/>
      <c r="U815" s="146"/>
      <c r="W815" s="147"/>
      <c r="AB815" s="156"/>
    </row>
    <row r="816" spans="16:28" ht="15" customHeight="1" x14ac:dyDescent="0.45">
      <c r="P816" s="134"/>
      <c r="R816" s="146"/>
      <c r="T816" s="146"/>
      <c r="U816" s="146"/>
      <c r="W816" s="147"/>
      <c r="AB816" s="156"/>
    </row>
    <row r="817" spans="16:28" ht="15" customHeight="1" x14ac:dyDescent="0.45">
      <c r="P817" s="148"/>
      <c r="R817" s="146"/>
      <c r="T817" s="146"/>
      <c r="U817" s="146"/>
      <c r="W817" s="147"/>
      <c r="AA817" s="160"/>
      <c r="AB817" s="156"/>
    </row>
    <row r="818" spans="16:28" ht="15" customHeight="1" x14ac:dyDescent="0.45">
      <c r="P818" s="134"/>
      <c r="R818" s="146"/>
      <c r="T818" s="146"/>
      <c r="U818" s="146"/>
      <c r="W818" s="147"/>
      <c r="AA818" s="160"/>
      <c r="AB818" s="156"/>
    </row>
    <row r="819" spans="16:28" ht="15" customHeight="1" x14ac:dyDescent="0.45">
      <c r="P819" s="134"/>
      <c r="R819" s="146"/>
      <c r="T819" s="146"/>
      <c r="U819" s="146"/>
      <c r="W819" s="147"/>
      <c r="AA819" s="160"/>
      <c r="AB819" s="156"/>
    </row>
    <row r="820" spans="16:28" ht="15" customHeight="1" x14ac:dyDescent="0.45">
      <c r="P820" s="134"/>
      <c r="R820" s="146"/>
      <c r="T820" s="146"/>
      <c r="U820" s="146"/>
      <c r="W820" s="147"/>
      <c r="AB820" s="156"/>
    </row>
    <row r="821" spans="16:28" ht="15" customHeight="1" x14ac:dyDescent="0.45">
      <c r="P821" s="134"/>
      <c r="R821" s="146"/>
      <c r="T821" s="146"/>
      <c r="U821" s="146"/>
      <c r="W821" s="147"/>
      <c r="AB821" s="156"/>
    </row>
    <row r="822" spans="16:28" ht="15" customHeight="1" x14ac:dyDescent="0.45">
      <c r="P822" s="134"/>
      <c r="R822" s="146"/>
      <c r="T822" s="146"/>
      <c r="U822" s="146"/>
      <c r="W822" s="147"/>
      <c r="AB822" s="156"/>
    </row>
    <row r="823" spans="16:28" ht="15" customHeight="1" x14ac:dyDescent="0.45">
      <c r="P823" s="134"/>
      <c r="R823" s="146"/>
      <c r="T823" s="146"/>
      <c r="U823" s="146"/>
      <c r="W823" s="147"/>
      <c r="AB823" s="156"/>
    </row>
    <row r="824" spans="16:28" ht="15" customHeight="1" x14ac:dyDescent="0.45">
      <c r="P824" s="134"/>
      <c r="R824" s="146"/>
      <c r="T824" s="146"/>
      <c r="U824" s="146"/>
      <c r="W824" s="147"/>
      <c r="AB824" s="156"/>
    </row>
    <row r="825" spans="16:28" ht="15" customHeight="1" x14ac:dyDescent="0.45">
      <c r="P825" s="134"/>
      <c r="R825" s="146"/>
      <c r="T825" s="146"/>
      <c r="U825" s="146"/>
      <c r="W825" s="147"/>
      <c r="AB825" s="156"/>
    </row>
    <row r="826" spans="16:28" ht="15" customHeight="1" x14ac:dyDescent="0.45">
      <c r="P826" s="134"/>
      <c r="R826" s="146"/>
      <c r="T826" s="146"/>
      <c r="U826" s="146"/>
      <c r="W826" s="147"/>
      <c r="AB826" s="156"/>
    </row>
    <row r="827" spans="16:28" ht="15" customHeight="1" x14ac:dyDescent="0.45">
      <c r="P827" s="134"/>
      <c r="R827" s="146"/>
      <c r="T827" s="146"/>
      <c r="U827" s="146"/>
      <c r="W827" s="147"/>
      <c r="AB827" s="156"/>
    </row>
    <row r="828" spans="16:28" ht="15" customHeight="1" x14ac:dyDescent="0.45">
      <c r="P828" s="134"/>
      <c r="R828" s="146"/>
      <c r="T828" s="146"/>
      <c r="U828" s="146"/>
      <c r="W828" s="147"/>
      <c r="AB828" s="156"/>
    </row>
    <row r="829" spans="16:28" ht="15" customHeight="1" x14ac:dyDescent="0.45">
      <c r="P829" s="134"/>
      <c r="R829" s="146"/>
      <c r="T829" s="146"/>
      <c r="U829" s="146"/>
      <c r="W829" s="147"/>
      <c r="AB829" s="156"/>
    </row>
    <row r="830" spans="16:28" ht="15" customHeight="1" x14ac:dyDescent="0.45">
      <c r="P830" s="134"/>
      <c r="R830" s="146"/>
      <c r="T830" s="146"/>
      <c r="U830" s="146"/>
      <c r="W830" s="147"/>
      <c r="AB830" s="156"/>
    </row>
    <row r="831" spans="16:28" ht="15" customHeight="1" x14ac:dyDescent="0.45">
      <c r="P831" s="134"/>
      <c r="R831" s="146"/>
      <c r="T831" s="146"/>
      <c r="U831" s="146"/>
      <c r="W831" s="147"/>
      <c r="AB831" s="156"/>
    </row>
    <row r="832" spans="16:28" ht="15" customHeight="1" x14ac:dyDescent="0.45">
      <c r="P832" s="134"/>
      <c r="R832" s="146"/>
      <c r="T832" s="146"/>
      <c r="U832" s="146"/>
      <c r="W832" s="147"/>
      <c r="AB832" s="156"/>
    </row>
    <row r="833" spans="16:28" ht="15" customHeight="1" x14ac:dyDescent="0.45">
      <c r="P833" s="134"/>
      <c r="R833" s="146"/>
      <c r="T833" s="146"/>
      <c r="U833" s="146"/>
      <c r="W833" s="147"/>
      <c r="AB833" s="156"/>
    </row>
    <row r="834" spans="16:28" ht="15" customHeight="1" x14ac:dyDescent="0.45">
      <c r="P834" s="134"/>
      <c r="R834" s="146"/>
      <c r="T834" s="146"/>
      <c r="U834" s="146"/>
      <c r="W834" s="147"/>
      <c r="AB834" s="156"/>
    </row>
    <row r="835" spans="16:28" ht="15" customHeight="1" x14ac:dyDescent="0.45">
      <c r="P835" s="134"/>
      <c r="R835" s="146"/>
      <c r="T835" s="146"/>
      <c r="U835" s="146"/>
      <c r="W835" s="147"/>
      <c r="AB835" s="156"/>
    </row>
    <row r="836" spans="16:28" ht="15" customHeight="1" x14ac:dyDescent="0.45">
      <c r="P836" s="134"/>
      <c r="R836" s="146"/>
      <c r="T836" s="146"/>
      <c r="U836" s="146"/>
      <c r="W836" s="147"/>
      <c r="AB836" s="156"/>
    </row>
    <row r="837" spans="16:28" ht="15" customHeight="1" x14ac:dyDescent="0.45">
      <c r="P837" s="134"/>
      <c r="R837" s="146"/>
      <c r="T837" s="146"/>
      <c r="U837" s="146"/>
      <c r="W837" s="147"/>
      <c r="AB837" s="156"/>
    </row>
    <row r="838" spans="16:28" ht="15" customHeight="1" x14ac:dyDescent="0.45">
      <c r="P838" s="134"/>
      <c r="R838" s="146"/>
      <c r="T838" s="146"/>
      <c r="U838" s="146"/>
      <c r="W838" s="147"/>
      <c r="AB838" s="156"/>
    </row>
    <row r="839" spans="16:28" ht="15" customHeight="1" x14ac:dyDescent="0.45">
      <c r="P839" s="134"/>
      <c r="R839" s="146"/>
      <c r="T839" s="146"/>
      <c r="U839" s="146"/>
      <c r="W839" s="147"/>
      <c r="AB839" s="156"/>
    </row>
    <row r="840" spans="16:28" ht="15" customHeight="1" x14ac:dyDescent="0.45">
      <c r="P840" s="134"/>
      <c r="R840" s="146"/>
      <c r="T840" s="146"/>
      <c r="U840" s="146"/>
      <c r="W840" s="147"/>
      <c r="AB840" s="156"/>
    </row>
    <row r="841" spans="16:28" ht="15" customHeight="1" x14ac:dyDescent="0.45">
      <c r="P841" s="134"/>
      <c r="R841" s="146"/>
      <c r="T841" s="146"/>
      <c r="U841" s="146"/>
      <c r="W841" s="147"/>
      <c r="AB841" s="156"/>
    </row>
    <row r="842" spans="16:28" ht="15" customHeight="1" x14ac:dyDescent="0.45">
      <c r="P842" s="134"/>
      <c r="R842" s="146"/>
      <c r="T842" s="146"/>
      <c r="U842" s="146"/>
      <c r="W842" s="147"/>
      <c r="AB842" s="156"/>
    </row>
    <row r="843" spans="16:28" ht="15" customHeight="1" x14ac:dyDescent="0.45">
      <c r="P843" s="134"/>
      <c r="R843" s="146"/>
      <c r="T843" s="146"/>
      <c r="U843" s="146"/>
      <c r="W843" s="147"/>
      <c r="AB843" s="156"/>
    </row>
    <row r="844" spans="16:28" ht="15" customHeight="1" x14ac:dyDescent="0.45">
      <c r="P844" s="134"/>
      <c r="R844" s="146"/>
      <c r="T844" s="146"/>
      <c r="U844" s="146"/>
      <c r="W844" s="147"/>
      <c r="AB844" s="156"/>
    </row>
    <row r="845" spans="16:28" ht="15" customHeight="1" x14ac:dyDescent="0.45">
      <c r="P845" s="134"/>
      <c r="R845" s="146"/>
      <c r="T845" s="146"/>
      <c r="U845" s="146"/>
      <c r="W845" s="147"/>
      <c r="AB845" s="156"/>
    </row>
    <row r="846" spans="16:28" ht="15" customHeight="1" x14ac:dyDescent="0.45">
      <c r="P846" s="134"/>
      <c r="R846" s="146"/>
      <c r="T846" s="146"/>
      <c r="U846" s="146"/>
      <c r="W846" s="147"/>
      <c r="AB846" s="156"/>
    </row>
    <row r="847" spans="16:28" ht="15" customHeight="1" x14ac:dyDescent="0.45">
      <c r="P847" s="134"/>
      <c r="R847" s="146"/>
      <c r="T847" s="146"/>
      <c r="U847" s="146"/>
      <c r="W847" s="147"/>
      <c r="AB847" s="156"/>
    </row>
    <row r="848" spans="16:28" ht="15" customHeight="1" x14ac:dyDescent="0.45">
      <c r="P848" s="134"/>
      <c r="R848" s="146"/>
      <c r="T848" s="146"/>
      <c r="U848" s="146"/>
      <c r="W848" s="147"/>
      <c r="AB848" s="156"/>
    </row>
    <row r="849" spans="16:28" ht="15" customHeight="1" x14ac:dyDescent="0.45">
      <c r="P849" s="134"/>
      <c r="R849" s="146"/>
      <c r="T849" s="146"/>
      <c r="U849" s="146"/>
      <c r="W849" s="147"/>
      <c r="AB849" s="156"/>
    </row>
    <row r="850" spans="16:28" ht="15" customHeight="1" x14ac:dyDescent="0.45">
      <c r="P850" s="134"/>
      <c r="R850" s="146"/>
      <c r="T850" s="146"/>
      <c r="U850" s="146"/>
      <c r="W850" s="147"/>
      <c r="AB850" s="156"/>
    </row>
    <row r="851" spans="16:28" ht="15" customHeight="1" x14ac:dyDescent="0.45">
      <c r="P851" s="134"/>
      <c r="R851" s="146"/>
      <c r="T851" s="146"/>
      <c r="U851" s="146"/>
      <c r="W851" s="147"/>
      <c r="AA851" s="160"/>
      <c r="AB851" s="156"/>
    </row>
    <row r="852" spans="16:28" ht="15" customHeight="1" x14ac:dyDescent="0.45">
      <c r="P852" s="134"/>
      <c r="R852" s="146"/>
      <c r="T852" s="146"/>
      <c r="U852" s="146"/>
      <c r="W852" s="147"/>
      <c r="AB852" s="156"/>
    </row>
    <row r="853" spans="16:28" ht="15" customHeight="1" x14ac:dyDescent="0.45">
      <c r="P853" s="134"/>
      <c r="R853" s="146"/>
      <c r="T853" s="146"/>
      <c r="U853" s="146"/>
      <c r="W853" s="147"/>
      <c r="AB853" s="156"/>
    </row>
    <row r="854" spans="16:28" ht="15" customHeight="1" x14ac:dyDescent="0.45">
      <c r="P854" s="134"/>
      <c r="R854" s="146"/>
      <c r="T854" s="146"/>
      <c r="U854" s="146"/>
      <c r="W854" s="147"/>
      <c r="AA854" s="160"/>
      <c r="AB854" s="156"/>
    </row>
    <row r="855" spans="16:28" ht="15" customHeight="1" x14ac:dyDescent="0.45">
      <c r="P855" s="134"/>
      <c r="R855" s="146"/>
      <c r="T855" s="146"/>
      <c r="U855" s="146"/>
      <c r="W855" s="147"/>
      <c r="AA855" s="160"/>
      <c r="AB855" s="156"/>
    </row>
    <row r="856" spans="16:28" ht="15" customHeight="1" x14ac:dyDescent="0.45">
      <c r="P856" s="134"/>
      <c r="R856" s="146"/>
      <c r="T856" s="146"/>
      <c r="U856" s="146"/>
      <c r="W856" s="147"/>
      <c r="AB856" s="156"/>
    </row>
    <row r="857" spans="16:28" ht="15" customHeight="1" x14ac:dyDescent="0.45">
      <c r="P857" s="134"/>
      <c r="R857" s="146"/>
      <c r="T857" s="146"/>
      <c r="U857" s="146"/>
      <c r="W857" s="147"/>
      <c r="AA857" s="160"/>
      <c r="AB857" s="156"/>
    </row>
    <row r="858" spans="16:28" ht="15" customHeight="1" x14ac:dyDescent="0.45">
      <c r="P858" s="134"/>
      <c r="R858" s="146"/>
      <c r="T858" s="146"/>
      <c r="U858" s="146"/>
      <c r="W858" s="147"/>
      <c r="AA858" s="160"/>
      <c r="AB858" s="156"/>
    </row>
    <row r="859" spans="16:28" ht="15" customHeight="1" x14ac:dyDescent="0.45">
      <c r="P859" s="134"/>
      <c r="R859" s="146"/>
      <c r="T859" s="146"/>
      <c r="U859" s="146"/>
      <c r="W859" s="147"/>
      <c r="AA859" s="160"/>
      <c r="AB859" s="156"/>
    </row>
    <row r="860" spans="16:28" ht="15" customHeight="1" x14ac:dyDescent="0.45">
      <c r="P860" s="134"/>
      <c r="R860" s="146"/>
      <c r="T860" s="146"/>
      <c r="U860" s="146"/>
      <c r="W860" s="147"/>
      <c r="AA860" s="160"/>
      <c r="AB860" s="156"/>
    </row>
    <row r="861" spans="16:28" ht="15" customHeight="1" x14ac:dyDescent="0.45">
      <c r="P861" s="134"/>
      <c r="R861" s="146"/>
      <c r="T861" s="146"/>
      <c r="U861" s="146"/>
      <c r="W861" s="147"/>
      <c r="AB861" s="156"/>
    </row>
    <row r="862" spans="16:28" ht="15" customHeight="1" x14ac:dyDescent="0.45">
      <c r="P862" s="134"/>
      <c r="R862" s="146"/>
      <c r="T862" s="146"/>
      <c r="U862" s="146"/>
      <c r="W862" s="147"/>
      <c r="AB862" s="156"/>
    </row>
    <row r="863" spans="16:28" ht="15" customHeight="1" x14ac:dyDescent="0.45">
      <c r="P863" s="134"/>
      <c r="R863" s="146"/>
      <c r="T863" s="146"/>
      <c r="U863" s="146"/>
      <c r="W863" s="147"/>
      <c r="AB863" s="156"/>
    </row>
    <row r="864" spans="16:28" ht="15" customHeight="1" x14ac:dyDescent="0.45">
      <c r="P864" s="134"/>
      <c r="R864" s="146"/>
      <c r="T864" s="146"/>
      <c r="U864" s="146"/>
      <c r="W864" s="147"/>
      <c r="AB864" s="156"/>
    </row>
    <row r="865" spans="16:28" ht="15" customHeight="1" x14ac:dyDescent="0.45">
      <c r="P865" s="134"/>
      <c r="R865" s="146"/>
      <c r="T865" s="146"/>
      <c r="U865" s="146"/>
      <c r="W865" s="147"/>
      <c r="AB865" s="156"/>
    </row>
    <row r="866" spans="16:28" ht="15" customHeight="1" x14ac:dyDescent="0.45">
      <c r="P866" s="134"/>
      <c r="R866" s="146"/>
      <c r="T866" s="146"/>
      <c r="U866" s="146"/>
      <c r="W866" s="147"/>
      <c r="AB866" s="156"/>
    </row>
    <row r="867" spans="16:28" ht="15" customHeight="1" x14ac:dyDescent="0.45">
      <c r="P867" s="134"/>
      <c r="R867" s="146"/>
      <c r="T867" s="146"/>
      <c r="U867" s="146"/>
      <c r="W867" s="147"/>
      <c r="AB867" s="156"/>
    </row>
    <row r="868" spans="16:28" ht="15" customHeight="1" x14ac:dyDescent="0.45">
      <c r="P868" s="134"/>
      <c r="R868" s="146"/>
      <c r="T868" s="146"/>
      <c r="U868" s="146"/>
      <c r="W868" s="147"/>
      <c r="AB868" s="156"/>
    </row>
    <row r="869" spans="16:28" ht="15" customHeight="1" x14ac:dyDescent="0.45">
      <c r="P869" s="134"/>
      <c r="R869" s="146"/>
      <c r="T869" s="146"/>
      <c r="U869" s="146"/>
      <c r="W869" s="147"/>
      <c r="AB869" s="156"/>
    </row>
    <row r="870" spans="16:28" ht="15" customHeight="1" x14ac:dyDescent="0.45">
      <c r="P870" s="134"/>
      <c r="R870" s="146"/>
      <c r="T870" s="146"/>
      <c r="U870" s="146"/>
      <c r="W870" s="147"/>
      <c r="AB870" s="156"/>
    </row>
    <row r="871" spans="16:28" ht="15" customHeight="1" x14ac:dyDescent="0.45">
      <c r="P871" s="134"/>
      <c r="R871" s="146"/>
      <c r="T871" s="146"/>
      <c r="U871" s="146"/>
      <c r="W871" s="147"/>
      <c r="AA871" s="160"/>
      <c r="AB871" s="156"/>
    </row>
    <row r="872" spans="16:28" ht="15" customHeight="1" x14ac:dyDescent="0.45">
      <c r="P872" s="134"/>
      <c r="R872" s="146"/>
      <c r="T872" s="146"/>
      <c r="U872" s="146"/>
      <c r="W872" s="147"/>
      <c r="AB872" s="156"/>
    </row>
    <row r="873" spans="16:28" ht="15" customHeight="1" x14ac:dyDescent="0.45">
      <c r="P873" s="134"/>
      <c r="R873" s="146"/>
      <c r="T873" s="146"/>
      <c r="U873" s="146"/>
      <c r="W873" s="147"/>
      <c r="AB873" s="156"/>
    </row>
    <row r="874" spans="16:28" ht="15" customHeight="1" x14ac:dyDescent="0.45">
      <c r="P874" s="134"/>
      <c r="R874" s="146"/>
      <c r="T874" s="146"/>
      <c r="U874" s="146"/>
      <c r="W874" s="147"/>
      <c r="AB874" s="156"/>
    </row>
    <row r="875" spans="16:28" ht="15" customHeight="1" x14ac:dyDescent="0.45">
      <c r="P875" s="134"/>
      <c r="R875" s="146"/>
      <c r="T875" s="146"/>
      <c r="U875" s="146"/>
      <c r="W875" s="147"/>
      <c r="AA875" s="160"/>
      <c r="AB875" s="156"/>
    </row>
    <row r="876" spans="16:28" ht="15" customHeight="1" x14ac:dyDescent="0.45">
      <c r="P876" s="134"/>
      <c r="R876" s="146"/>
      <c r="T876" s="146"/>
      <c r="U876" s="146"/>
      <c r="W876" s="147"/>
      <c r="AA876" s="160"/>
      <c r="AB876" s="156"/>
    </row>
    <row r="877" spans="16:28" ht="15" customHeight="1" x14ac:dyDescent="0.45">
      <c r="P877" s="134"/>
      <c r="R877" s="146"/>
      <c r="T877" s="146"/>
      <c r="U877" s="146"/>
      <c r="W877" s="147"/>
      <c r="AA877" s="160"/>
      <c r="AB877" s="156"/>
    </row>
    <row r="878" spans="16:28" ht="15" customHeight="1" x14ac:dyDescent="0.45">
      <c r="P878" s="134"/>
      <c r="R878" s="146"/>
      <c r="T878" s="146"/>
      <c r="U878" s="146"/>
      <c r="W878" s="147"/>
      <c r="AA878" s="160"/>
      <c r="AB878" s="156"/>
    </row>
    <row r="879" spans="16:28" ht="15" customHeight="1" x14ac:dyDescent="0.45">
      <c r="P879" s="134"/>
      <c r="R879" s="146"/>
      <c r="T879" s="146"/>
      <c r="U879" s="146"/>
      <c r="W879" s="147"/>
      <c r="AA879" s="160"/>
      <c r="AB879" s="156"/>
    </row>
    <row r="880" spans="16:28" ht="15" customHeight="1" x14ac:dyDescent="0.45">
      <c r="P880" s="134"/>
      <c r="R880" s="146"/>
      <c r="T880" s="146"/>
      <c r="U880" s="146"/>
      <c r="W880" s="147"/>
      <c r="AA880" s="160"/>
      <c r="AB880" s="156"/>
    </row>
    <row r="881" spans="16:28" ht="15" customHeight="1" x14ac:dyDescent="0.45">
      <c r="P881" s="134"/>
      <c r="R881" s="146"/>
      <c r="T881" s="146"/>
      <c r="U881" s="146"/>
      <c r="W881" s="147"/>
      <c r="AB881" s="156"/>
    </row>
    <row r="882" spans="16:28" ht="15" customHeight="1" x14ac:dyDescent="0.45">
      <c r="P882" s="134"/>
      <c r="R882" s="146"/>
      <c r="T882" s="146"/>
      <c r="U882" s="146"/>
      <c r="W882" s="147"/>
      <c r="AB882" s="156"/>
    </row>
    <row r="883" spans="16:28" ht="15" customHeight="1" x14ac:dyDescent="0.45">
      <c r="P883" s="134"/>
      <c r="R883" s="146"/>
      <c r="T883" s="146"/>
      <c r="U883" s="146"/>
      <c r="W883" s="147"/>
      <c r="AB883" s="156"/>
    </row>
    <row r="884" spans="16:28" ht="15" customHeight="1" x14ac:dyDescent="0.45">
      <c r="P884" s="134"/>
      <c r="R884" s="146"/>
      <c r="T884" s="146"/>
      <c r="U884" s="146"/>
      <c r="W884" s="147"/>
      <c r="AA884" s="160"/>
      <c r="AB884" s="156"/>
    </row>
    <row r="885" spans="16:28" ht="15" customHeight="1" x14ac:dyDescent="0.45">
      <c r="P885" s="134"/>
      <c r="R885" s="146"/>
      <c r="T885" s="146"/>
      <c r="U885" s="146"/>
      <c r="W885" s="147"/>
      <c r="AA885" s="160"/>
      <c r="AB885" s="156"/>
    </row>
    <row r="886" spans="16:28" ht="15" customHeight="1" x14ac:dyDescent="0.45">
      <c r="P886" s="134"/>
      <c r="R886" s="146"/>
      <c r="T886" s="146"/>
      <c r="U886" s="146"/>
      <c r="W886" s="147"/>
      <c r="AA886" s="160"/>
      <c r="AB886" s="156"/>
    </row>
    <row r="887" spans="16:28" ht="15" customHeight="1" x14ac:dyDescent="0.45">
      <c r="P887" s="134"/>
      <c r="R887" s="146"/>
      <c r="T887" s="146"/>
      <c r="U887" s="146"/>
      <c r="W887" s="147"/>
      <c r="AB887" s="156"/>
    </row>
    <row r="888" spans="16:28" ht="15" customHeight="1" x14ac:dyDescent="0.45">
      <c r="P888" s="134"/>
      <c r="R888" s="146"/>
      <c r="T888" s="146"/>
      <c r="U888" s="146"/>
      <c r="W888" s="147"/>
      <c r="AB888" s="156"/>
    </row>
    <row r="889" spans="16:28" ht="15" customHeight="1" x14ac:dyDescent="0.45">
      <c r="P889" s="134"/>
      <c r="R889" s="146"/>
      <c r="T889" s="146"/>
      <c r="U889" s="146"/>
      <c r="W889" s="147"/>
      <c r="AB889" s="156"/>
    </row>
    <row r="890" spans="16:28" ht="15" customHeight="1" x14ac:dyDescent="0.45">
      <c r="P890" s="134"/>
      <c r="R890" s="146"/>
      <c r="T890" s="146"/>
      <c r="U890" s="146"/>
      <c r="W890" s="147"/>
      <c r="AB890" s="156"/>
    </row>
    <row r="891" spans="16:28" ht="15" customHeight="1" x14ac:dyDescent="0.45">
      <c r="P891" s="134"/>
      <c r="R891" s="146"/>
      <c r="T891" s="146"/>
      <c r="U891" s="146"/>
      <c r="W891" s="147"/>
      <c r="AB891" s="156"/>
    </row>
    <row r="892" spans="16:28" ht="15" customHeight="1" x14ac:dyDescent="0.45">
      <c r="P892" s="134"/>
      <c r="R892" s="146"/>
      <c r="T892" s="146"/>
      <c r="U892" s="146"/>
      <c r="W892" s="147"/>
      <c r="AB892" s="156"/>
    </row>
    <row r="893" spans="16:28" ht="15" customHeight="1" x14ac:dyDescent="0.45">
      <c r="P893" s="134"/>
      <c r="R893" s="146"/>
      <c r="T893" s="146"/>
      <c r="U893" s="146"/>
      <c r="W893" s="147"/>
      <c r="AB893" s="156"/>
    </row>
    <row r="894" spans="16:28" ht="15" customHeight="1" x14ac:dyDescent="0.45">
      <c r="P894" s="134"/>
      <c r="R894" s="146"/>
      <c r="T894" s="146"/>
      <c r="U894" s="146"/>
      <c r="W894" s="147"/>
      <c r="AB894" s="156"/>
    </row>
    <row r="895" spans="16:28" ht="15" customHeight="1" x14ac:dyDescent="0.45">
      <c r="P895" s="134"/>
      <c r="R895" s="146"/>
      <c r="T895" s="146"/>
      <c r="U895" s="146"/>
      <c r="W895" s="147"/>
      <c r="AB895" s="156"/>
    </row>
    <row r="896" spans="16:28" ht="15" customHeight="1" x14ac:dyDescent="0.45">
      <c r="P896" s="134"/>
      <c r="R896" s="146"/>
      <c r="T896" s="146"/>
      <c r="U896" s="146"/>
      <c r="W896" s="147"/>
      <c r="AB896" s="156"/>
    </row>
    <row r="897" spans="16:28" ht="15" customHeight="1" x14ac:dyDescent="0.45">
      <c r="P897" s="134"/>
      <c r="R897" s="146"/>
      <c r="T897" s="146"/>
      <c r="U897" s="146"/>
      <c r="W897" s="147"/>
      <c r="AB897" s="156"/>
    </row>
    <row r="898" spans="16:28" ht="15" customHeight="1" x14ac:dyDescent="0.45">
      <c r="P898" s="134"/>
      <c r="R898" s="146"/>
      <c r="T898" s="146"/>
      <c r="U898" s="146"/>
      <c r="W898" s="147"/>
      <c r="AB898" s="156"/>
    </row>
    <row r="899" spans="16:28" ht="15" customHeight="1" x14ac:dyDescent="0.45">
      <c r="P899" s="134"/>
      <c r="R899" s="146"/>
      <c r="T899" s="146"/>
      <c r="U899" s="146"/>
      <c r="W899" s="147"/>
      <c r="AB899" s="156"/>
    </row>
    <row r="900" spans="16:28" ht="15" customHeight="1" x14ac:dyDescent="0.45">
      <c r="P900" s="134"/>
      <c r="R900" s="146"/>
      <c r="T900" s="146"/>
      <c r="U900" s="146"/>
      <c r="W900" s="147"/>
      <c r="AB900" s="156"/>
    </row>
    <row r="901" spans="16:28" ht="15" customHeight="1" x14ac:dyDescent="0.45">
      <c r="P901" s="134"/>
      <c r="R901" s="146"/>
      <c r="T901" s="146"/>
      <c r="U901" s="146"/>
      <c r="W901" s="147"/>
      <c r="AB901" s="156"/>
    </row>
    <row r="902" spans="16:28" ht="15" customHeight="1" x14ac:dyDescent="0.45">
      <c r="P902" s="134"/>
      <c r="R902" s="146"/>
      <c r="T902" s="146"/>
      <c r="U902" s="146"/>
      <c r="W902" s="147"/>
      <c r="AB902" s="156"/>
    </row>
    <row r="903" spans="16:28" ht="15" customHeight="1" x14ac:dyDescent="0.45">
      <c r="P903" s="134"/>
      <c r="R903" s="146"/>
      <c r="T903" s="146"/>
      <c r="U903" s="146"/>
      <c r="W903" s="147"/>
      <c r="AB903" s="156"/>
    </row>
    <row r="904" spans="16:28" ht="15" customHeight="1" x14ac:dyDescent="0.45">
      <c r="P904" s="134"/>
      <c r="R904" s="146"/>
      <c r="T904" s="146"/>
      <c r="U904" s="146"/>
      <c r="W904" s="147"/>
      <c r="AB904" s="156"/>
    </row>
    <row r="905" spans="16:28" ht="15" customHeight="1" x14ac:dyDescent="0.45">
      <c r="P905" s="134"/>
      <c r="R905" s="146"/>
      <c r="T905" s="146"/>
      <c r="U905" s="146"/>
      <c r="W905" s="147"/>
      <c r="AB905" s="156"/>
    </row>
    <row r="906" spans="16:28" ht="15" customHeight="1" x14ac:dyDescent="0.45">
      <c r="P906" s="134"/>
      <c r="R906" s="146"/>
      <c r="T906" s="146"/>
      <c r="U906" s="146"/>
      <c r="W906" s="147"/>
      <c r="AB906" s="156"/>
    </row>
    <row r="907" spans="16:28" ht="15" customHeight="1" x14ac:dyDescent="0.45">
      <c r="P907" s="134"/>
      <c r="R907" s="146"/>
      <c r="T907" s="146"/>
      <c r="U907" s="146"/>
      <c r="W907" s="147"/>
      <c r="AB907" s="156"/>
    </row>
    <row r="908" spans="16:28" ht="15" customHeight="1" x14ac:dyDescent="0.45">
      <c r="P908" s="134"/>
      <c r="R908" s="146"/>
      <c r="T908" s="146"/>
      <c r="U908" s="146"/>
      <c r="W908" s="147"/>
      <c r="AB908" s="156"/>
    </row>
    <row r="909" spans="16:28" ht="15" customHeight="1" x14ac:dyDescent="0.45">
      <c r="P909" s="134"/>
      <c r="R909" s="146"/>
      <c r="T909" s="146"/>
      <c r="U909" s="146"/>
      <c r="W909" s="147"/>
      <c r="AB909" s="156"/>
    </row>
    <row r="910" spans="16:28" ht="15" customHeight="1" x14ac:dyDescent="0.45">
      <c r="P910" s="134"/>
      <c r="R910" s="146"/>
      <c r="T910" s="146"/>
      <c r="U910" s="146"/>
      <c r="W910" s="147"/>
      <c r="AB910" s="156"/>
    </row>
    <row r="911" spans="16:28" ht="15" customHeight="1" x14ac:dyDescent="0.45">
      <c r="P911" s="134"/>
      <c r="R911" s="146"/>
      <c r="T911" s="146"/>
      <c r="U911" s="146"/>
      <c r="W911" s="147"/>
      <c r="AB911" s="156"/>
    </row>
    <row r="912" spans="16:28" ht="15" customHeight="1" x14ac:dyDescent="0.45">
      <c r="P912" s="134"/>
      <c r="R912" s="146"/>
      <c r="T912" s="146"/>
      <c r="U912" s="146"/>
      <c r="W912" s="147"/>
      <c r="AB912" s="156"/>
    </row>
    <row r="913" spans="16:28" ht="15" customHeight="1" x14ac:dyDescent="0.45">
      <c r="P913" s="134"/>
      <c r="R913" s="146"/>
      <c r="T913" s="146"/>
      <c r="U913" s="146"/>
      <c r="W913" s="147"/>
      <c r="AB913" s="156"/>
    </row>
    <row r="914" spans="16:28" ht="15" customHeight="1" x14ac:dyDescent="0.45">
      <c r="P914" s="134"/>
      <c r="R914" s="146"/>
      <c r="T914" s="146"/>
      <c r="U914" s="146"/>
      <c r="W914" s="147"/>
      <c r="AB914" s="156"/>
    </row>
    <row r="915" spans="16:28" ht="15" customHeight="1" x14ac:dyDescent="0.45">
      <c r="P915" s="134"/>
      <c r="R915" s="146"/>
      <c r="T915" s="146"/>
      <c r="U915" s="146"/>
      <c r="W915" s="147"/>
      <c r="AB915" s="156"/>
    </row>
    <row r="916" spans="16:28" ht="15" customHeight="1" x14ac:dyDescent="0.45">
      <c r="P916" s="134"/>
      <c r="R916" s="146"/>
      <c r="T916" s="146"/>
      <c r="U916" s="146"/>
      <c r="W916" s="147"/>
      <c r="AB916" s="156"/>
    </row>
    <row r="917" spans="16:28" ht="15" customHeight="1" x14ac:dyDescent="0.45">
      <c r="P917" s="134"/>
      <c r="R917" s="146"/>
      <c r="T917" s="146"/>
      <c r="U917" s="146"/>
      <c r="W917" s="147"/>
      <c r="AB917" s="156"/>
    </row>
    <row r="918" spans="16:28" ht="15" customHeight="1" x14ac:dyDescent="0.45">
      <c r="P918" s="134"/>
      <c r="R918" s="146"/>
      <c r="T918" s="146"/>
      <c r="U918" s="146"/>
      <c r="W918" s="147"/>
      <c r="AB918" s="156"/>
    </row>
    <row r="919" spans="16:28" ht="15" customHeight="1" x14ac:dyDescent="0.45">
      <c r="P919" s="134"/>
      <c r="R919" s="146"/>
      <c r="T919" s="146"/>
      <c r="U919" s="146"/>
      <c r="W919" s="147"/>
      <c r="AB919" s="156"/>
    </row>
    <row r="920" spans="16:28" ht="15" customHeight="1" x14ac:dyDescent="0.45">
      <c r="P920" s="134"/>
      <c r="R920" s="146"/>
      <c r="T920" s="146"/>
      <c r="U920" s="146"/>
      <c r="W920" s="147"/>
      <c r="AB920" s="156"/>
    </row>
    <row r="921" spans="16:28" ht="15" customHeight="1" x14ac:dyDescent="0.45">
      <c r="P921" s="134"/>
      <c r="R921" s="146"/>
      <c r="T921" s="146"/>
      <c r="U921" s="146"/>
      <c r="W921" s="147"/>
      <c r="AB921" s="156"/>
    </row>
    <row r="922" spans="16:28" ht="15" customHeight="1" x14ac:dyDescent="0.45">
      <c r="P922" s="134"/>
      <c r="R922" s="146"/>
      <c r="T922" s="146"/>
      <c r="U922" s="146"/>
      <c r="W922" s="147"/>
      <c r="AB922" s="156"/>
    </row>
    <row r="923" spans="16:28" ht="15" customHeight="1" x14ac:dyDescent="0.45">
      <c r="P923" s="134"/>
      <c r="R923" s="146"/>
      <c r="T923" s="146"/>
      <c r="U923" s="146"/>
      <c r="W923" s="147"/>
      <c r="AB923" s="156"/>
    </row>
    <row r="924" spans="16:28" ht="15" customHeight="1" x14ac:dyDescent="0.45">
      <c r="P924" s="134"/>
      <c r="R924" s="146"/>
      <c r="T924" s="146"/>
      <c r="U924" s="146"/>
      <c r="W924" s="147"/>
      <c r="AB924" s="156"/>
    </row>
    <row r="925" spans="16:28" ht="15" customHeight="1" x14ac:dyDescent="0.45">
      <c r="P925" s="134"/>
      <c r="R925" s="146"/>
      <c r="T925" s="146"/>
      <c r="U925" s="146"/>
      <c r="W925" s="147"/>
      <c r="AB925" s="156"/>
    </row>
    <row r="926" spans="16:28" ht="15" customHeight="1" x14ac:dyDescent="0.45">
      <c r="P926" s="134"/>
      <c r="R926" s="146"/>
      <c r="T926" s="146"/>
      <c r="U926" s="146"/>
      <c r="W926" s="147"/>
      <c r="AB926" s="156"/>
    </row>
    <row r="927" spans="16:28" ht="15" customHeight="1" x14ac:dyDescent="0.45">
      <c r="P927" s="134"/>
      <c r="R927" s="146"/>
      <c r="T927" s="146"/>
      <c r="U927" s="146"/>
      <c r="W927" s="147"/>
      <c r="AB927" s="156"/>
    </row>
    <row r="928" spans="16:28" ht="15" customHeight="1" x14ac:dyDescent="0.45">
      <c r="P928" s="148"/>
      <c r="R928" s="146"/>
      <c r="T928" s="146"/>
      <c r="U928" s="146"/>
      <c r="W928" s="147"/>
      <c r="AB928" s="156"/>
    </row>
    <row r="929" spans="16:28" ht="15" customHeight="1" x14ac:dyDescent="0.45">
      <c r="P929" s="134"/>
      <c r="R929" s="146"/>
      <c r="T929" s="146"/>
      <c r="U929" s="146"/>
      <c r="W929" s="147"/>
      <c r="AB929" s="156"/>
    </row>
    <row r="930" spans="16:28" ht="15" customHeight="1" x14ac:dyDescent="0.45">
      <c r="P930" s="134"/>
      <c r="R930" s="146"/>
      <c r="T930" s="146"/>
      <c r="U930" s="146"/>
      <c r="W930" s="147"/>
      <c r="AB930" s="156"/>
    </row>
    <row r="931" spans="16:28" ht="15" customHeight="1" x14ac:dyDescent="0.45">
      <c r="P931" s="134"/>
      <c r="R931" s="146"/>
      <c r="T931" s="146"/>
      <c r="U931" s="146"/>
      <c r="W931" s="147"/>
      <c r="AB931" s="156"/>
    </row>
    <row r="932" spans="16:28" ht="15" customHeight="1" x14ac:dyDescent="0.45">
      <c r="P932" s="134"/>
      <c r="R932" s="146"/>
      <c r="T932" s="146"/>
      <c r="U932" s="146"/>
      <c r="W932" s="147"/>
      <c r="AB932" s="156"/>
    </row>
    <row r="933" spans="16:28" ht="15" customHeight="1" x14ac:dyDescent="0.45">
      <c r="P933" s="134"/>
      <c r="R933" s="146"/>
      <c r="T933" s="146"/>
      <c r="U933" s="146"/>
      <c r="W933" s="147"/>
      <c r="AB933" s="156"/>
    </row>
    <row r="934" spans="16:28" ht="15" customHeight="1" x14ac:dyDescent="0.45">
      <c r="P934" s="134"/>
      <c r="R934" s="146"/>
      <c r="T934" s="146"/>
      <c r="U934" s="146"/>
      <c r="W934" s="147"/>
      <c r="AB934" s="156"/>
    </row>
    <row r="935" spans="16:28" ht="15" customHeight="1" x14ac:dyDescent="0.45">
      <c r="P935" s="134"/>
      <c r="R935" s="146"/>
      <c r="T935" s="146"/>
      <c r="U935" s="146"/>
      <c r="W935" s="147"/>
      <c r="AB935" s="156"/>
    </row>
    <row r="936" spans="16:28" ht="15" customHeight="1" x14ac:dyDescent="0.45">
      <c r="P936" s="134"/>
      <c r="R936" s="146"/>
      <c r="T936" s="146"/>
      <c r="U936" s="146"/>
      <c r="W936" s="147"/>
      <c r="AB936" s="156"/>
    </row>
    <row r="937" spans="16:28" ht="15" customHeight="1" x14ac:dyDescent="0.45">
      <c r="P937" s="134"/>
      <c r="R937" s="146"/>
      <c r="T937" s="146"/>
      <c r="U937" s="146"/>
      <c r="W937" s="147"/>
      <c r="AB937" s="156"/>
    </row>
    <row r="938" spans="16:28" ht="15" customHeight="1" x14ac:dyDescent="0.45">
      <c r="P938" s="134"/>
      <c r="R938" s="146"/>
      <c r="T938" s="146"/>
      <c r="U938" s="146"/>
      <c r="W938" s="147"/>
      <c r="AB938" s="156"/>
    </row>
    <row r="939" spans="16:28" ht="15" customHeight="1" x14ac:dyDescent="0.45">
      <c r="P939" s="134"/>
      <c r="R939" s="146"/>
      <c r="T939" s="146"/>
      <c r="U939" s="146"/>
      <c r="W939" s="147"/>
      <c r="AB939" s="156"/>
    </row>
    <row r="940" spans="16:28" ht="15" customHeight="1" x14ac:dyDescent="0.45">
      <c r="P940" s="134"/>
      <c r="R940" s="146"/>
      <c r="T940" s="146"/>
      <c r="U940" s="146"/>
      <c r="W940" s="147"/>
      <c r="AB940" s="156"/>
    </row>
    <row r="941" spans="16:28" ht="15" customHeight="1" x14ac:dyDescent="0.45">
      <c r="P941" s="134"/>
      <c r="R941" s="146"/>
      <c r="T941" s="146"/>
      <c r="U941" s="146"/>
      <c r="W941" s="147"/>
      <c r="AB941" s="156"/>
    </row>
    <row r="942" spans="16:28" ht="15" customHeight="1" x14ac:dyDescent="0.45">
      <c r="P942" s="134"/>
      <c r="R942" s="146"/>
      <c r="T942" s="146"/>
      <c r="U942" s="146"/>
      <c r="W942" s="147"/>
      <c r="AB942" s="156"/>
    </row>
    <row r="943" spans="16:28" ht="15" customHeight="1" x14ac:dyDescent="0.45">
      <c r="P943" s="134"/>
      <c r="R943" s="146"/>
      <c r="T943" s="146"/>
      <c r="U943" s="146"/>
      <c r="W943" s="147"/>
      <c r="AB943" s="156"/>
    </row>
    <row r="944" spans="16:28" ht="15" customHeight="1" x14ac:dyDescent="0.45">
      <c r="P944" s="134"/>
      <c r="R944" s="146"/>
      <c r="T944" s="146"/>
      <c r="U944" s="146"/>
      <c r="W944" s="147"/>
      <c r="AB944" s="156"/>
    </row>
    <row r="945" spans="16:28" ht="15" customHeight="1" x14ac:dyDescent="0.45">
      <c r="P945" s="134"/>
      <c r="R945" s="146"/>
      <c r="T945" s="146"/>
      <c r="U945" s="146"/>
      <c r="W945" s="147"/>
      <c r="AB945" s="156"/>
    </row>
    <row r="946" spans="16:28" ht="15" customHeight="1" x14ac:dyDescent="0.45">
      <c r="P946" s="134"/>
      <c r="R946" s="146"/>
      <c r="T946" s="146"/>
      <c r="U946" s="146"/>
      <c r="W946" s="147"/>
      <c r="AB946" s="156"/>
    </row>
    <row r="947" spans="16:28" ht="15" customHeight="1" x14ac:dyDescent="0.45">
      <c r="P947" s="134"/>
      <c r="R947" s="146"/>
      <c r="T947" s="146"/>
      <c r="U947" s="146"/>
      <c r="W947" s="147"/>
      <c r="AB947" s="156"/>
    </row>
    <row r="948" spans="16:28" ht="15" customHeight="1" x14ac:dyDescent="0.45">
      <c r="P948" s="134"/>
      <c r="R948" s="146"/>
      <c r="T948" s="146"/>
      <c r="U948" s="146"/>
      <c r="W948" s="147"/>
      <c r="AB948" s="156"/>
    </row>
    <row r="949" spans="16:28" ht="15" customHeight="1" x14ac:dyDescent="0.45">
      <c r="P949" s="134"/>
      <c r="R949" s="146"/>
      <c r="T949" s="146"/>
      <c r="U949" s="146"/>
      <c r="W949" s="147"/>
      <c r="AB949" s="156"/>
    </row>
    <row r="950" spans="16:28" ht="15" customHeight="1" x14ac:dyDescent="0.45">
      <c r="P950" s="134"/>
      <c r="R950" s="146"/>
      <c r="T950" s="146"/>
      <c r="U950" s="146"/>
      <c r="W950" s="147"/>
      <c r="AB950" s="156"/>
    </row>
    <row r="951" spans="16:28" ht="15" customHeight="1" x14ac:dyDescent="0.45">
      <c r="P951" s="134"/>
      <c r="R951" s="146"/>
      <c r="T951" s="146"/>
      <c r="U951" s="146"/>
      <c r="W951" s="147"/>
      <c r="AB951" s="156"/>
    </row>
    <row r="952" spans="16:28" ht="15" customHeight="1" x14ac:dyDescent="0.45">
      <c r="P952" s="134"/>
      <c r="R952" s="146"/>
      <c r="T952" s="146"/>
      <c r="U952" s="146"/>
      <c r="W952" s="147"/>
      <c r="AB952" s="156"/>
    </row>
    <row r="953" spans="16:28" ht="15" customHeight="1" x14ac:dyDescent="0.45">
      <c r="P953" s="134"/>
      <c r="R953" s="146"/>
      <c r="T953" s="146"/>
      <c r="U953" s="146"/>
      <c r="W953" s="147"/>
      <c r="AB953" s="156"/>
    </row>
    <row r="954" spans="16:28" ht="15" customHeight="1" x14ac:dyDescent="0.45">
      <c r="P954" s="134"/>
      <c r="R954" s="146"/>
      <c r="T954" s="146"/>
      <c r="U954" s="146"/>
      <c r="W954" s="147"/>
      <c r="AB954" s="156"/>
    </row>
    <row r="955" spans="16:28" ht="15" customHeight="1" x14ac:dyDescent="0.45">
      <c r="P955" s="134"/>
      <c r="R955" s="146"/>
      <c r="T955" s="146"/>
      <c r="U955" s="146"/>
      <c r="W955" s="147"/>
      <c r="AB955" s="156"/>
    </row>
    <row r="956" spans="16:28" ht="15" customHeight="1" x14ac:dyDescent="0.45">
      <c r="P956" s="134"/>
      <c r="R956" s="146"/>
      <c r="T956" s="146"/>
      <c r="U956" s="146"/>
      <c r="W956" s="147"/>
      <c r="AB956" s="156"/>
    </row>
    <row r="957" spans="16:28" ht="15" customHeight="1" x14ac:dyDescent="0.45">
      <c r="P957" s="134"/>
      <c r="R957" s="146"/>
      <c r="T957" s="146"/>
      <c r="U957" s="146"/>
      <c r="W957" s="147"/>
      <c r="AB957" s="156"/>
    </row>
    <row r="958" spans="16:28" ht="15" customHeight="1" x14ac:dyDescent="0.45">
      <c r="P958" s="134"/>
      <c r="R958" s="146"/>
      <c r="T958" s="146"/>
      <c r="U958" s="146"/>
      <c r="W958" s="147"/>
      <c r="AA958" s="160"/>
      <c r="AB958" s="156"/>
    </row>
    <row r="959" spans="16:28" ht="15" customHeight="1" x14ac:dyDescent="0.45">
      <c r="P959" s="134"/>
      <c r="R959" s="146"/>
      <c r="T959" s="146"/>
      <c r="U959" s="146"/>
      <c r="W959" s="147"/>
      <c r="AA959" s="160"/>
      <c r="AB959" s="156"/>
    </row>
    <row r="960" spans="16:28" ht="15" customHeight="1" x14ac:dyDescent="0.45">
      <c r="P960" s="134"/>
      <c r="R960" s="146"/>
      <c r="T960" s="146"/>
      <c r="U960" s="146"/>
      <c r="W960" s="147"/>
      <c r="AA960" s="160"/>
      <c r="AB960" s="156"/>
    </row>
    <row r="961" spans="16:28" ht="15" customHeight="1" x14ac:dyDescent="0.45">
      <c r="P961" s="134"/>
      <c r="R961" s="146"/>
      <c r="T961" s="146"/>
      <c r="U961" s="146"/>
      <c r="W961" s="147"/>
      <c r="AA961" s="160"/>
      <c r="AB961" s="156"/>
    </row>
    <row r="962" spans="16:28" ht="15" customHeight="1" x14ac:dyDescent="0.45">
      <c r="P962" s="134"/>
      <c r="R962" s="146"/>
      <c r="T962" s="146"/>
      <c r="U962" s="146"/>
      <c r="W962" s="147"/>
      <c r="AA962" s="160"/>
      <c r="AB962" s="156"/>
    </row>
    <row r="963" spans="16:28" ht="15" customHeight="1" x14ac:dyDescent="0.45">
      <c r="P963" s="134"/>
      <c r="R963" s="146"/>
      <c r="T963" s="146"/>
      <c r="U963" s="146"/>
      <c r="W963" s="147"/>
      <c r="AA963" s="160"/>
      <c r="AB963" s="156"/>
    </row>
    <row r="964" spans="16:28" ht="15" customHeight="1" x14ac:dyDescent="0.45">
      <c r="P964" s="134"/>
      <c r="R964" s="146"/>
      <c r="T964" s="146"/>
      <c r="U964" s="146"/>
      <c r="W964" s="147"/>
      <c r="AA964" s="160"/>
      <c r="AB964" s="156"/>
    </row>
    <row r="965" spans="16:28" ht="15" customHeight="1" x14ac:dyDescent="0.45">
      <c r="P965" s="134"/>
      <c r="R965" s="146"/>
      <c r="T965" s="146"/>
      <c r="U965" s="146"/>
      <c r="W965" s="147"/>
      <c r="AA965" s="160"/>
      <c r="AB965" s="156"/>
    </row>
    <row r="966" spans="16:28" ht="15" customHeight="1" x14ac:dyDescent="0.45">
      <c r="P966" s="134"/>
      <c r="R966" s="146"/>
      <c r="T966" s="146"/>
      <c r="U966" s="146"/>
      <c r="W966" s="147"/>
      <c r="AA966" s="160"/>
      <c r="AB966" s="156"/>
    </row>
    <row r="967" spans="16:28" ht="15" customHeight="1" x14ac:dyDescent="0.45">
      <c r="P967" s="134"/>
      <c r="R967" s="146"/>
      <c r="T967" s="146"/>
      <c r="U967" s="146"/>
      <c r="W967" s="147"/>
      <c r="AA967" s="160"/>
      <c r="AB967" s="156"/>
    </row>
    <row r="968" spans="16:28" ht="15" customHeight="1" x14ac:dyDescent="0.45">
      <c r="P968" s="134"/>
      <c r="R968" s="146"/>
      <c r="T968" s="146"/>
      <c r="U968" s="146"/>
      <c r="W968" s="147"/>
      <c r="AB968" s="156"/>
    </row>
    <row r="969" spans="16:28" ht="15" customHeight="1" x14ac:dyDescent="0.45">
      <c r="P969" s="134"/>
      <c r="R969" s="146"/>
      <c r="T969" s="146"/>
      <c r="U969" s="146"/>
      <c r="W969" s="147"/>
      <c r="AA969" s="160"/>
      <c r="AB969" s="156"/>
    </row>
    <row r="970" spans="16:28" ht="15" customHeight="1" x14ac:dyDescent="0.45">
      <c r="P970" s="134"/>
      <c r="R970" s="146"/>
      <c r="T970" s="146"/>
      <c r="U970" s="146"/>
      <c r="W970" s="147"/>
      <c r="AA970" s="160"/>
      <c r="AB970" s="156"/>
    </row>
    <row r="971" spans="16:28" ht="15" customHeight="1" x14ac:dyDescent="0.45">
      <c r="P971" s="134"/>
      <c r="R971" s="146"/>
      <c r="T971" s="146"/>
      <c r="U971" s="146"/>
      <c r="W971" s="147"/>
      <c r="AA971" s="160"/>
      <c r="AB971" s="156"/>
    </row>
    <row r="972" spans="16:28" ht="15" customHeight="1" x14ac:dyDescent="0.45">
      <c r="P972" s="134"/>
      <c r="R972" s="146"/>
      <c r="T972" s="146"/>
      <c r="U972" s="146"/>
      <c r="W972" s="147"/>
      <c r="AA972" s="160"/>
      <c r="AB972" s="156"/>
    </row>
    <row r="973" spans="16:28" ht="15" customHeight="1" x14ac:dyDescent="0.45">
      <c r="P973" s="134"/>
      <c r="R973" s="146"/>
      <c r="T973" s="146"/>
      <c r="U973" s="146"/>
      <c r="W973" s="147"/>
      <c r="AA973" s="160"/>
      <c r="AB973" s="156"/>
    </row>
    <row r="974" spans="16:28" ht="15" customHeight="1" x14ac:dyDescent="0.45">
      <c r="P974" s="134"/>
      <c r="R974" s="146"/>
      <c r="T974" s="146"/>
      <c r="U974" s="146"/>
      <c r="W974" s="147"/>
      <c r="AA974" s="160"/>
      <c r="AB974" s="156"/>
    </row>
    <row r="975" spans="16:28" ht="15" customHeight="1" x14ac:dyDescent="0.45">
      <c r="P975" s="148"/>
      <c r="R975" s="146"/>
      <c r="T975" s="146"/>
      <c r="U975" s="146"/>
      <c r="W975" s="147"/>
      <c r="AB975" s="156"/>
    </row>
    <row r="976" spans="16:28" ht="15" customHeight="1" x14ac:dyDescent="0.45">
      <c r="P976" s="134"/>
      <c r="R976" s="146"/>
      <c r="T976" s="146"/>
      <c r="U976" s="146"/>
      <c r="W976" s="147"/>
      <c r="AB976" s="156"/>
    </row>
    <row r="977" spans="16:28" ht="15" customHeight="1" x14ac:dyDescent="0.45">
      <c r="P977" s="134"/>
      <c r="R977" s="146"/>
      <c r="T977" s="146"/>
      <c r="U977" s="146"/>
      <c r="W977" s="147"/>
      <c r="AB977" s="156"/>
    </row>
    <row r="978" spans="16:28" ht="15" customHeight="1" x14ac:dyDescent="0.45">
      <c r="P978" s="134"/>
      <c r="R978" s="146"/>
      <c r="T978" s="146"/>
      <c r="U978" s="146"/>
      <c r="W978" s="147"/>
      <c r="AB978" s="156"/>
    </row>
    <row r="979" spans="16:28" ht="15" customHeight="1" x14ac:dyDescent="0.45">
      <c r="P979" s="134"/>
      <c r="R979" s="146"/>
      <c r="T979" s="146"/>
      <c r="U979" s="146"/>
      <c r="W979" s="147"/>
      <c r="AB979" s="156"/>
    </row>
    <row r="980" spans="16:28" ht="15" customHeight="1" x14ac:dyDescent="0.45">
      <c r="P980" s="134"/>
      <c r="R980" s="146"/>
      <c r="T980" s="146"/>
      <c r="U980" s="146"/>
      <c r="W980" s="147"/>
      <c r="AB980" s="156"/>
    </row>
    <row r="981" spans="16:28" ht="15" customHeight="1" x14ac:dyDescent="0.45">
      <c r="P981" s="148"/>
      <c r="R981" s="146"/>
      <c r="T981" s="146"/>
      <c r="U981" s="146"/>
      <c r="W981" s="147"/>
      <c r="AB981" s="156"/>
    </row>
    <row r="982" spans="16:28" ht="15" customHeight="1" x14ac:dyDescent="0.45">
      <c r="P982" s="134"/>
      <c r="R982" s="146"/>
      <c r="T982" s="146"/>
      <c r="U982" s="146"/>
      <c r="W982" s="147"/>
      <c r="AB982" s="156"/>
    </row>
    <row r="983" spans="16:28" ht="15" customHeight="1" x14ac:dyDescent="0.45">
      <c r="P983" s="134"/>
      <c r="R983" s="146"/>
      <c r="T983" s="146"/>
      <c r="U983" s="146"/>
      <c r="W983" s="147"/>
      <c r="AA983" s="160"/>
      <c r="AB983" s="156"/>
    </row>
    <row r="984" spans="16:28" ht="15" customHeight="1" x14ac:dyDescent="0.45">
      <c r="P984" s="134"/>
      <c r="R984" s="146"/>
      <c r="T984" s="146"/>
      <c r="U984" s="146"/>
      <c r="W984" s="147"/>
      <c r="AB984" s="156"/>
    </row>
    <row r="985" spans="16:28" ht="15" customHeight="1" x14ac:dyDescent="0.45">
      <c r="P985" s="134"/>
      <c r="R985" s="146"/>
      <c r="T985" s="146"/>
      <c r="U985" s="146"/>
      <c r="W985" s="147"/>
      <c r="AB985" s="156"/>
    </row>
    <row r="986" spans="16:28" ht="15" customHeight="1" x14ac:dyDescent="0.45">
      <c r="P986" s="134"/>
      <c r="R986" s="146"/>
      <c r="T986" s="146"/>
      <c r="U986" s="146"/>
      <c r="W986" s="147"/>
      <c r="AB986" s="156"/>
    </row>
    <row r="987" spans="16:28" ht="15" customHeight="1" x14ac:dyDescent="0.45">
      <c r="P987" s="134"/>
      <c r="R987" s="146"/>
      <c r="T987" s="146"/>
      <c r="U987" s="146"/>
      <c r="W987" s="147"/>
      <c r="AB987" s="156"/>
    </row>
    <row r="988" spans="16:28" ht="15" customHeight="1" x14ac:dyDescent="0.45">
      <c r="P988" s="134"/>
      <c r="R988" s="146"/>
      <c r="T988" s="146"/>
      <c r="U988" s="146"/>
      <c r="W988" s="147"/>
      <c r="AB988" s="156"/>
    </row>
    <row r="989" spans="16:28" ht="15" customHeight="1" x14ac:dyDescent="0.45">
      <c r="P989" s="134"/>
      <c r="R989" s="146"/>
      <c r="T989" s="146"/>
      <c r="U989" s="146"/>
      <c r="W989" s="147"/>
      <c r="AB989" s="156"/>
    </row>
    <row r="990" spans="16:28" ht="15" customHeight="1" x14ac:dyDescent="0.45">
      <c r="P990" s="134"/>
      <c r="R990" s="146"/>
      <c r="T990" s="146"/>
      <c r="U990" s="146"/>
      <c r="W990" s="147"/>
      <c r="AB990" s="156"/>
    </row>
    <row r="991" spans="16:28" ht="15" customHeight="1" x14ac:dyDescent="0.45">
      <c r="P991" s="134"/>
      <c r="R991" s="146"/>
      <c r="T991" s="146"/>
      <c r="U991" s="146"/>
      <c r="W991" s="147"/>
      <c r="AB991" s="156"/>
    </row>
    <row r="992" spans="16:28" ht="15" customHeight="1" x14ac:dyDescent="0.45">
      <c r="P992" s="134"/>
      <c r="R992" s="146"/>
      <c r="T992" s="146"/>
      <c r="U992" s="146"/>
      <c r="W992" s="147"/>
      <c r="AB992" s="156"/>
    </row>
    <row r="993" spans="16:28" ht="15" customHeight="1" x14ac:dyDescent="0.45">
      <c r="P993" s="134"/>
      <c r="R993" s="146"/>
      <c r="T993" s="146"/>
      <c r="U993" s="146"/>
      <c r="AB993" s="156"/>
    </row>
    <row r="994" spans="16:28" ht="15" customHeight="1" x14ac:dyDescent="0.45">
      <c r="P994" s="134"/>
      <c r="R994" s="146"/>
      <c r="T994" s="146"/>
      <c r="U994" s="146"/>
      <c r="W994" s="147"/>
      <c r="AB994" s="156"/>
    </row>
    <row r="995" spans="16:28" ht="15" customHeight="1" x14ac:dyDescent="0.45">
      <c r="P995" s="134"/>
      <c r="R995" s="146"/>
      <c r="T995" s="146"/>
      <c r="U995" s="146"/>
      <c r="W995" s="147"/>
      <c r="AB995" s="156"/>
    </row>
    <row r="996" spans="16:28" ht="15" customHeight="1" x14ac:dyDescent="0.45">
      <c r="P996" s="134"/>
      <c r="R996" s="146"/>
      <c r="T996" s="146"/>
      <c r="U996" s="146"/>
      <c r="W996" s="147"/>
      <c r="AB996" s="156"/>
    </row>
    <row r="997" spans="16:28" ht="15" customHeight="1" x14ac:dyDescent="0.45">
      <c r="P997" s="134"/>
      <c r="R997" s="146"/>
      <c r="T997" s="146"/>
      <c r="U997" s="146"/>
      <c r="W997" s="147"/>
      <c r="AB997" s="156"/>
    </row>
    <row r="998" spans="16:28" ht="15" customHeight="1" x14ac:dyDescent="0.45">
      <c r="P998" s="134"/>
      <c r="R998" s="146"/>
      <c r="T998" s="146"/>
      <c r="U998" s="146"/>
      <c r="W998" s="147"/>
      <c r="AA998" s="160"/>
      <c r="AB998" s="156"/>
    </row>
    <row r="999" spans="16:28" ht="15" customHeight="1" x14ac:dyDescent="0.45">
      <c r="P999" s="134"/>
      <c r="R999" s="146"/>
      <c r="T999" s="146"/>
      <c r="U999" s="146"/>
      <c r="W999" s="147"/>
      <c r="AB999" s="156"/>
    </row>
    <row r="1000" spans="16:28" ht="15" customHeight="1" x14ac:dyDescent="0.45">
      <c r="P1000" s="134"/>
      <c r="R1000" s="146"/>
      <c r="T1000" s="146"/>
      <c r="U1000" s="146"/>
      <c r="W1000" s="147"/>
      <c r="AB1000" s="156"/>
    </row>
    <row r="1001" spans="16:28" ht="15" customHeight="1" x14ac:dyDescent="0.45">
      <c r="P1001" s="134"/>
      <c r="R1001" s="146"/>
      <c r="T1001" s="146"/>
      <c r="U1001" s="146"/>
      <c r="W1001" s="147"/>
      <c r="AB1001" s="156"/>
    </row>
    <row r="1002" spans="16:28" ht="15" customHeight="1" x14ac:dyDescent="0.45">
      <c r="P1002" s="134"/>
      <c r="R1002" s="146"/>
      <c r="T1002" s="146"/>
      <c r="U1002" s="146"/>
      <c r="W1002" s="147"/>
      <c r="AB1002" s="156"/>
    </row>
    <row r="1003" spans="16:28" ht="15" customHeight="1" x14ac:dyDescent="0.45">
      <c r="P1003" s="134"/>
      <c r="R1003" s="146"/>
      <c r="T1003" s="146"/>
      <c r="U1003" s="146"/>
      <c r="W1003" s="147"/>
      <c r="AB1003" s="156"/>
    </row>
    <row r="1004" spans="16:28" ht="15" customHeight="1" x14ac:dyDescent="0.45">
      <c r="P1004" s="134"/>
      <c r="R1004" s="146"/>
      <c r="T1004" s="146"/>
      <c r="U1004" s="146"/>
      <c r="W1004" s="147"/>
      <c r="AB1004" s="156"/>
    </row>
    <row r="1005" spans="16:28" ht="15" customHeight="1" x14ac:dyDescent="0.45">
      <c r="P1005" s="134"/>
      <c r="R1005" s="146"/>
      <c r="T1005" s="146"/>
      <c r="U1005" s="146"/>
      <c r="W1005" s="147"/>
      <c r="AB1005" s="156"/>
    </row>
    <row r="1006" spans="16:28" ht="15" customHeight="1" x14ac:dyDescent="0.45">
      <c r="P1006" s="134"/>
      <c r="R1006" s="146"/>
      <c r="T1006" s="146"/>
      <c r="U1006" s="146"/>
      <c r="W1006" s="147"/>
      <c r="AB1006" s="156"/>
    </row>
    <row r="1007" spans="16:28" ht="15" customHeight="1" x14ac:dyDescent="0.45">
      <c r="P1007" s="134"/>
      <c r="R1007" s="146"/>
      <c r="T1007" s="146"/>
      <c r="U1007" s="146"/>
      <c r="W1007" s="147"/>
      <c r="AB1007" s="156"/>
    </row>
    <row r="1008" spans="16:28" ht="15" customHeight="1" x14ac:dyDescent="0.45">
      <c r="P1008" s="134"/>
      <c r="R1008" s="146"/>
      <c r="T1008" s="146"/>
      <c r="U1008" s="146"/>
      <c r="W1008" s="147"/>
      <c r="AB1008" s="156"/>
    </row>
    <row r="1009" spans="10:28" ht="15" customHeight="1" x14ac:dyDescent="0.45">
      <c r="J1009" s="148"/>
      <c r="P1009" s="134"/>
      <c r="R1009" s="146"/>
      <c r="T1009" s="146"/>
      <c r="U1009" s="146"/>
      <c r="W1009" s="147"/>
      <c r="AB1009" s="156"/>
    </row>
    <row r="1010" spans="10:28" ht="15" customHeight="1" x14ac:dyDescent="0.45">
      <c r="P1010" s="134"/>
      <c r="R1010" s="146"/>
      <c r="T1010" s="146"/>
      <c r="U1010" s="146"/>
      <c r="W1010" s="147"/>
      <c r="AB1010" s="156"/>
    </row>
    <row r="1011" spans="10:28" ht="15" customHeight="1" x14ac:dyDescent="0.45">
      <c r="P1011" s="134"/>
      <c r="R1011" s="146"/>
      <c r="T1011" s="146"/>
      <c r="U1011" s="146"/>
      <c r="W1011" s="147"/>
      <c r="AA1011" s="160"/>
      <c r="AB1011" s="156"/>
    </row>
    <row r="1012" spans="10:28" ht="15" customHeight="1" x14ac:dyDescent="0.45">
      <c r="P1012" s="134"/>
      <c r="R1012" s="146"/>
      <c r="T1012" s="146"/>
      <c r="U1012" s="146"/>
      <c r="W1012" s="147"/>
      <c r="AB1012" s="156"/>
    </row>
    <row r="1013" spans="10:28" ht="15" customHeight="1" x14ac:dyDescent="0.45">
      <c r="P1013" s="134"/>
      <c r="R1013" s="146"/>
      <c r="T1013" s="146"/>
      <c r="U1013" s="146"/>
      <c r="W1013" s="147"/>
      <c r="AB1013" s="156"/>
    </row>
    <row r="1014" spans="10:28" ht="15" customHeight="1" x14ac:dyDescent="0.45">
      <c r="P1014" s="134"/>
      <c r="R1014" s="146"/>
      <c r="T1014" s="146"/>
      <c r="U1014" s="146"/>
      <c r="W1014" s="147"/>
      <c r="AB1014" s="156"/>
    </row>
    <row r="1015" spans="10:28" ht="15" customHeight="1" x14ac:dyDescent="0.45">
      <c r="P1015" s="134"/>
      <c r="R1015" s="146"/>
      <c r="T1015" s="146"/>
      <c r="U1015" s="146"/>
      <c r="W1015" s="147"/>
      <c r="AB1015" s="156"/>
    </row>
    <row r="1016" spans="10:28" ht="15" customHeight="1" x14ac:dyDescent="0.45">
      <c r="P1016" s="134"/>
      <c r="R1016" s="146"/>
      <c r="T1016" s="146"/>
      <c r="U1016" s="146"/>
      <c r="W1016" s="147"/>
      <c r="AB1016" s="156"/>
    </row>
    <row r="1017" spans="10:28" ht="15" customHeight="1" x14ac:dyDescent="0.45">
      <c r="P1017" s="134"/>
      <c r="R1017" s="146"/>
      <c r="T1017" s="146"/>
      <c r="U1017" s="146"/>
      <c r="W1017" s="147"/>
      <c r="AB1017" s="156"/>
    </row>
    <row r="1018" spans="10:28" ht="15" customHeight="1" x14ac:dyDescent="0.45">
      <c r="P1018" s="134"/>
      <c r="R1018" s="146"/>
      <c r="T1018" s="146"/>
      <c r="U1018" s="146"/>
      <c r="W1018" s="147"/>
      <c r="AB1018" s="156"/>
    </row>
    <row r="1019" spans="10:28" ht="15" customHeight="1" x14ac:dyDescent="0.45">
      <c r="P1019" s="134"/>
      <c r="R1019" s="146"/>
      <c r="T1019" s="146"/>
      <c r="U1019" s="146"/>
      <c r="W1019" s="147"/>
      <c r="AB1019" s="156"/>
    </row>
    <row r="1020" spans="10:28" ht="15" customHeight="1" x14ac:dyDescent="0.45">
      <c r="P1020" s="134"/>
      <c r="R1020" s="146"/>
      <c r="T1020" s="146"/>
      <c r="U1020" s="146"/>
      <c r="W1020" s="147"/>
      <c r="AB1020" s="156"/>
    </row>
    <row r="1021" spans="10:28" ht="15" customHeight="1" x14ac:dyDescent="0.45">
      <c r="P1021" s="134"/>
      <c r="R1021" s="146"/>
      <c r="T1021" s="146"/>
      <c r="U1021" s="146"/>
      <c r="W1021" s="147"/>
      <c r="AB1021" s="156"/>
    </row>
    <row r="1022" spans="10:28" ht="15" customHeight="1" x14ac:dyDescent="0.45">
      <c r="P1022" s="134"/>
      <c r="R1022" s="146"/>
      <c r="T1022" s="146"/>
      <c r="U1022" s="146"/>
      <c r="W1022" s="147"/>
      <c r="AB1022" s="156"/>
    </row>
    <row r="1023" spans="10:28" ht="15" customHeight="1" x14ac:dyDescent="0.45">
      <c r="P1023" s="134"/>
      <c r="R1023" s="146"/>
      <c r="T1023" s="146"/>
      <c r="U1023" s="146"/>
      <c r="W1023" s="147"/>
      <c r="AB1023" s="156"/>
    </row>
    <row r="1024" spans="10:28" ht="15" customHeight="1" x14ac:dyDescent="0.45">
      <c r="P1024" s="134"/>
      <c r="R1024" s="146"/>
      <c r="T1024" s="146"/>
      <c r="U1024" s="146"/>
      <c r="W1024" s="147"/>
      <c r="AB1024" s="156"/>
    </row>
    <row r="1025" spans="16:28" ht="15" customHeight="1" x14ac:dyDescent="0.45">
      <c r="P1025" s="134"/>
      <c r="R1025" s="146"/>
      <c r="T1025" s="146"/>
      <c r="U1025" s="146"/>
      <c r="W1025" s="147"/>
      <c r="AA1025" s="160"/>
      <c r="AB1025" s="156"/>
    </row>
    <row r="1026" spans="16:28" ht="15" customHeight="1" x14ac:dyDescent="0.45">
      <c r="P1026" s="134"/>
      <c r="R1026" s="146"/>
      <c r="T1026" s="146"/>
      <c r="U1026" s="146"/>
      <c r="W1026" s="147"/>
      <c r="AB1026" s="156"/>
    </row>
    <row r="1027" spans="16:28" ht="15" customHeight="1" x14ac:dyDescent="0.45">
      <c r="P1027" s="134"/>
      <c r="R1027" s="146"/>
      <c r="T1027" s="146"/>
      <c r="U1027" s="146"/>
      <c r="W1027" s="147"/>
      <c r="AB1027" s="156"/>
    </row>
    <row r="1028" spans="16:28" ht="15" customHeight="1" x14ac:dyDescent="0.45">
      <c r="P1028" s="134"/>
      <c r="R1028" s="146"/>
      <c r="T1028" s="146"/>
      <c r="U1028" s="146"/>
      <c r="W1028" s="147"/>
      <c r="AB1028" s="156"/>
    </row>
    <row r="1029" spans="16:28" ht="15" customHeight="1" x14ac:dyDescent="0.45">
      <c r="P1029" s="134"/>
      <c r="R1029" s="146"/>
      <c r="T1029" s="146"/>
      <c r="U1029" s="146"/>
      <c r="W1029" s="147"/>
      <c r="AB1029" s="156"/>
    </row>
    <row r="1030" spans="16:28" ht="15" customHeight="1" x14ac:dyDescent="0.45">
      <c r="P1030" s="134"/>
      <c r="R1030" s="146"/>
      <c r="T1030" s="146"/>
      <c r="U1030" s="146"/>
      <c r="W1030" s="147"/>
      <c r="AB1030" s="156"/>
    </row>
    <row r="1031" spans="16:28" ht="15" customHeight="1" x14ac:dyDescent="0.45">
      <c r="P1031" s="134"/>
      <c r="R1031" s="146"/>
      <c r="T1031" s="146"/>
      <c r="U1031" s="146"/>
      <c r="W1031" s="147"/>
      <c r="AB1031" s="156"/>
    </row>
    <row r="1032" spans="16:28" ht="15" customHeight="1" x14ac:dyDescent="0.45">
      <c r="P1032" s="134"/>
      <c r="R1032" s="146"/>
      <c r="T1032" s="146"/>
      <c r="U1032" s="146"/>
      <c r="W1032" s="147"/>
      <c r="AB1032" s="156"/>
    </row>
    <row r="1033" spans="16:28" ht="15" customHeight="1" x14ac:dyDescent="0.45">
      <c r="P1033" s="134"/>
      <c r="R1033" s="146"/>
      <c r="T1033" s="146"/>
      <c r="U1033" s="146"/>
      <c r="W1033" s="147"/>
      <c r="AB1033" s="156"/>
    </row>
    <row r="1034" spans="16:28" ht="15" customHeight="1" x14ac:dyDescent="0.45">
      <c r="P1034" s="134"/>
      <c r="R1034" s="146"/>
      <c r="T1034" s="146"/>
      <c r="U1034" s="146"/>
      <c r="W1034" s="147"/>
      <c r="AB1034" s="156"/>
    </row>
    <row r="1035" spans="16:28" ht="15" customHeight="1" x14ac:dyDescent="0.45">
      <c r="P1035" s="134"/>
      <c r="R1035" s="146"/>
      <c r="T1035" s="146"/>
      <c r="U1035" s="146"/>
      <c r="W1035" s="147"/>
      <c r="AB1035" s="156"/>
    </row>
    <row r="1036" spans="16:28" ht="15" customHeight="1" x14ac:dyDescent="0.45">
      <c r="P1036" s="134"/>
      <c r="R1036" s="146"/>
      <c r="T1036" s="146"/>
      <c r="U1036" s="146"/>
      <c r="W1036" s="147"/>
      <c r="AB1036" s="156"/>
    </row>
    <row r="1037" spans="16:28" ht="15" customHeight="1" x14ac:dyDescent="0.45">
      <c r="P1037" s="134"/>
      <c r="R1037" s="146"/>
      <c r="T1037" s="146"/>
      <c r="U1037" s="146"/>
      <c r="W1037" s="147"/>
      <c r="AB1037" s="156"/>
    </row>
    <row r="1038" spans="16:28" ht="15" customHeight="1" x14ac:dyDescent="0.45">
      <c r="P1038" s="134"/>
      <c r="R1038" s="146"/>
      <c r="T1038" s="146"/>
      <c r="U1038" s="146"/>
      <c r="W1038" s="147"/>
      <c r="AB1038" s="156"/>
    </row>
    <row r="1039" spans="16:28" ht="15" customHeight="1" x14ac:dyDescent="0.45">
      <c r="P1039" s="134"/>
      <c r="R1039" s="146"/>
      <c r="T1039" s="146"/>
      <c r="U1039" s="146"/>
      <c r="W1039" s="147"/>
      <c r="AB1039" s="156"/>
    </row>
    <row r="1040" spans="16:28" ht="15" customHeight="1" x14ac:dyDescent="0.45">
      <c r="P1040" s="134"/>
      <c r="R1040" s="146"/>
      <c r="T1040" s="146"/>
      <c r="U1040" s="146"/>
      <c r="W1040" s="147"/>
      <c r="AB1040" s="156"/>
    </row>
    <row r="1041" spans="16:28" ht="15" customHeight="1" x14ac:dyDescent="0.45">
      <c r="P1041" s="134"/>
      <c r="R1041" s="146"/>
      <c r="T1041" s="146"/>
      <c r="U1041" s="146"/>
      <c r="W1041" s="147"/>
      <c r="AB1041" s="156"/>
    </row>
    <row r="1042" spans="16:28" ht="15" customHeight="1" x14ac:dyDescent="0.45">
      <c r="P1042" s="134"/>
      <c r="R1042" s="146"/>
      <c r="T1042" s="146"/>
      <c r="U1042" s="146"/>
      <c r="W1042" s="147"/>
      <c r="AB1042" s="156"/>
    </row>
    <row r="1043" spans="16:28" ht="15" customHeight="1" x14ac:dyDescent="0.45">
      <c r="P1043" s="134"/>
      <c r="R1043" s="146"/>
      <c r="T1043" s="146"/>
      <c r="U1043" s="146"/>
      <c r="W1043" s="147"/>
      <c r="AB1043" s="156"/>
    </row>
    <row r="1044" spans="16:28" ht="15" customHeight="1" x14ac:dyDescent="0.45">
      <c r="P1044" s="134"/>
      <c r="R1044" s="146"/>
      <c r="T1044" s="146"/>
      <c r="U1044" s="146"/>
      <c r="W1044" s="147"/>
      <c r="AB1044" s="156"/>
    </row>
    <row r="1045" spans="16:28" ht="15" customHeight="1" x14ac:dyDescent="0.45">
      <c r="P1045" s="134"/>
      <c r="R1045" s="146"/>
      <c r="T1045" s="146"/>
      <c r="U1045" s="146"/>
      <c r="W1045" s="147"/>
      <c r="AB1045" s="156"/>
    </row>
    <row r="1046" spans="16:28" ht="15" customHeight="1" x14ac:dyDescent="0.45">
      <c r="P1046" s="134"/>
      <c r="R1046" s="146"/>
      <c r="T1046" s="146"/>
      <c r="U1046" s="146"/>
      <c r="W1046" s="147"/>
      <c r="AB1046" s="156"/>
    </row>
    <row r="1047" spans="16:28" ht="15" customHeight="1" x14ac:dyDescent="0.45">
      <c r="P1047" s="134"/>
      <c r="R1047" s="146"/>
      <c r="T1047" s="146"/>
      <c r="U1047" s="146"/>
      <c r="W1047" s="147"/>
      <c r="AB1047" s="156"/>
    </row>
    <row r="1048" spans="16:28" ht="15" customHeight="1" x14ac:dyDescent="0.45">
      <c r="P1048" s="134"/>
      <c r="R1048" s="146"/>
      <c r="T1048" s="146"/>
      <c r="U1048" s="146"/>
      <c r="W1048" s="147"/>
      <c r="AB1048" s="156"/>
    </row>
    <row r="1049" spans="16:28" ht="15" customHeight="1" x14ac:dyDescent="0.45">
      <c r="P1049" s="134"/>
      <c r="R1049" s="146"/>
      <c r="T1049" s="146"/>
      <c r="U1049" s="146"/>
      <c r="W1049" s="147"/>
      <c r="AB1049" s="156"/>
    </row>
    <row r="1050" spans="16:28" ht="15" customHeight="1" x14ac:dyDescent="0.45">
      <c r="P1050" s="134"/>
      <c r="R1050" s="146"/>
      <c r="T1050" s="146"/>
      <c r="U1050" s="146"/>
      <c r="W1050" s="147"/>
      <c r="AB1050" s="156"/>
    </row>
    <row r="1051" spans="16:28" ht="15" customHeight="1" x14ac:dyDescent="0.45">
      <c r="P1051" s="134"/>
      <c r="R1051" s="146"/>
      <c r="T1051" s="146"/>
      <c r="U1051" s="146"/>
      <c r="W1051" s="147"/>
      <c r="AB1051" s="156"/>
    </row>
    <row r="1052" spans="16:28" ht="15" customHeight="1" x14ac:dyDescent="0.45">
      <c r="P1052" s="134"/>
      <c r="R1052" s="146"/>
      <c r="T1052" s="146"/>
      <c r="U1052" s="146"/>
      <c r="W1052" s="147"/>
      <c r="AB1052" s="156"/>
    </row>
    <row r="1053" spans="16:28" ht="15" customHeight="1" x14ac:dyDescent="0.45">
      <c r="P1053" s="134"/>
      <c r="R1053" s="146"/>
      <c r="T1053" s="146"/>
      <c r="U1053" s="146"/>
      <c r="W1053" s="147"/>
      <c r="AB1053" s="156"/>
    </row>
    <row r="1054" spans="16:28" ht="15" customHeight="1" x14ac:dyDescent="0.45">
      <c r="P1054" s="134"/>
      <c r="R1054" s="146"/>
      <c r="T1054" s="146"/>
      <c r="U1054" s="146"/>
      <c r="W1054" s="147"/>
      <c r="AB1054" s="156"/>
    </row>
    <row r="1055" spans="16:28" ht="15" customHeight="1" x14ac:dyDescent="0.45">
      <c r="P1055" s="134"/>
      <c r="R1055" s="146"/>
      <c r="T1055" s="146"/>
      <c r="U1055" s="146"/>
      <c r="W1055" s="147"/>
      <c r="AB1055" s="156"/>
    </row>
    <row r="1056" spans="16:28" ht="15" customHeight="1" x14ac:dyDescent="0.45">
      <c r="P1056" s="134"/>
      <c r="R1056" s="146"/>
      <c r="T1056" s="146"/>
      <c r="U1056" s="146"/>
      <c r="W1056" s="147"/>
      <c r="AB1056" s="156"/>
    </row>
    <row r="1057" spans="16:28" ht="15" customHeight="1" x14ac:dyDescent="0.45">
      <c r="P1057" s="134"/>
      <c r="R1057" s="146"/>
      <c r="T1057" s="146"/>
      <c r="U1057" s="146"/>
      <c r="W1057" s="147"/>
      <c r="AB1057" s="156"/>
    </row>
    <row r="1058" spans="16:28" ht="15" customHeight="1" x14ac:dyDescent="0.45">
      <c r="P1058" s="134"/>
      <c r="R1058" s="146"/>
      <c r="T1058" s="146"/>
      <c r="U1058" s="146"/>
      <c r="W1058" s="147"/>
      <c r="AB1058" s="156"/>
    </row>
    <row r="1059" spans="16:28" ht="15" customHeight="1" x14ac:dyDescent="0.45">
      <c r="P1059" s="134"/>
      <c r="R1059" s="146"/>
      <c r="T1059" s="146"/>
      <c r="U1059" s="146"/>
      <c r="W1059" s="147"/>
      <c r="AB1059" s="156"/>
    </row>
    <row r="1060" spans="16:28" ht="15" customHeight="1" x14ac:dyDescent="0.45">
      <c r="P1060" s="134"/>
      <c r="R1060" s="146"/>
      <c r="T1060" s="146"/>
      <c r="U1060" s="146"/>
      <c r="W1060" s="147"/>
      <c r="AB1060" s="156"/>
    </row>
    <row r="1061" spans="16:28" ht="15" customHeight="1" x14ac:dyDescent="0.45">
      <c r="P1061" s="134"/>
      <c r="R1061" s="146"/>
      <c r="T1061" s="146"/>
      <c r="U1061" s="146"/>
      <c r="W1061" s="147"/>
      <c r="AB1061" s="156"/>
    </row>
    <row r="1062" spans="16:28" ht="15" customHeight="1" x14ac:dyDescent="0.45">
      <c r="P1062" s="134"/>
      <c r="R1062" s="146"/>
      <c r="T1062" s="146"/>
      <c r="U1062" s="146"/>
      <c r="W1062" s="147"/>
      <c r="AB1062" s="156"/>
    </row>
    <row r="1063" spans="16:28" ht="15" customHeight="1" x14ac:dyDescent="0.45">
      <c r="P1063" s="134"/>
      <c r="R1063" s="146"/>
      <c r="T1063" s="146"/>
      <c r="U1063" s="146"/>
      <c r="W1063" s="147"/>
      <c r="AB1063" s="156"/>
    </row>
    <row r="1064" spans="16:28" ht="15" customHeight="1" x14ac:dyDescent="0.45">
      <c r="P1064" s="134"/>
      <c r="R1064" s="146"/>
      <c r="T1064" s="146"/>
      <c r="U1064" s="146"/>
      <c r="W1064" s="147"/>
      <c r="AB1064" s="156"/>
    </row>
    <row r="1065" spans="16:28" ht="15" customHeight="1" x14ac:dyDescent="0.45">
      <c r="P1065" s="134"/>
      <c r="R1065" s="146"/>
      <c r="T1065" s="146"/>
      <c r="U1065" s="146"/>
      <c r="W1065" s="147"/>
      <c r="AB1065" s="156"/>
    </row>
    <row r="1066" spans="16:28" ht="15" customHeight="1" x14ac:dyDescent="0.45">
      <c r="P1066" s="134"/>
      <c r="R1066" s="146"/>
      <c r="T1066" s="146"/>
      <c r="U1066" s="146"/>
      <c r="W1066" s="147"/>
      <c r="AB1066" s="156"/>
    </row>
    <row r="1067" spans="16:28" ht="15" customHeight="1" x14ac:dyDescent="0.45">
      <c r="P1067" s="134"/>
      <c r="R1067" s="146"/>
      <c r="T1067" s="146"/>
      <c r="U1067" s="146"/>
      <c r="W1067" s="147"/>
      <c r="AB1067" s="156"/>
    </row>
    <row r="1068" spans="16:28" ht="15" customHeight="1" x14ac:dyDescent="0.45">
      <c r="P1068" s="134"/>
      <c r="R1068" s="146"/>
      <c r="T1068" s="146"/>
      <c r="U1068" s="146"/>
      <c r="W1068" s="147"/>
      <c r="AB1068" s="156"/>
    </row>
    <row r="1069" spans="16:28" ht="15" customHeight="1" x14ac:dyDescent="0.45">
      <c r="P1069" s="134"/>
      <c r="R1069" s="146"/>
      <c r="T1069" s="146"/>
      <c r="U1069" s="146"/>
      <c r="W1069" s="147"/>
      <c r="AB1069" s="156"/>
    </row>
    <row r="1070" spans="16:28" ht="15" customHeight="1" x14ac:dyDescent="0.45">
      <c r="P1070" s="134"/>
      <c r="R1070" s="146"/>
      <c r="T1070" s="146"/>
      <c r="U1070" s="146"/>
      <c r="W1070" s="147"/>
      <c r="AB1070" s="156"/>
    </row>
    <row r="1071" spans="16:28" ht="15" customHeight="1" x14ac:dyDescent="0.45">
      <c r="P1071" s="134"/>
      <c r="R1071" s="146"/>
      <c r="T1071" s="146"/>
      <c r="U1071" s="146"/>
      <c r="W1071" s="147"/>
      <c r="AB1071" s="156"/>
    </row>
    <row r="1072" spans="16:28" ht="15" customHeight="1" x14ac:dyDescent="0.45">
      <c r="P1072" s="134"/>
      <c r="R1072" s="146"/>
      <c r="T1072" s="146"/>
      <c r="U1072" s="146"/>
      <c r="W1072" s="147"/>
      <c r="AB1072" s="156"/>
    </row>
    <row r="1073" spans="16:28" ht="15" customHeight="1" x14ac:dyDescent="0.45">
      <c r="P1073" s="134"/>
      <c r="R1073" s="146"/>
      <c r="T1073" s="146"/>
      <c r="U1073" s="146"/>
      <c r="W1073" s="147"/>
      <c r="AB1073" s="156"/>
    </row>
    <row r="1074" spans="16:28" ht="15" customHeight="1" x14ac:dyDescent="0.45">
      <c r="P1074" s="134"/>
      <c r="R1074" s="146"/>
      <c r="T1074" s="146"/>
      <c r="U1074" s="146"/>
      <c r="W1074" s="147"/>
      <c r="AB1074" s="156"/>
    </row>
    <row r="1075" spans="16:28" ht="15" customHeight="1" x14ac:dyDescent="0.45">
      <c r="P1075" s="134"/>
      <c r="R1075" s="146"/>
      <c r="T1075" s="146"/>
      <c r="U1075" s="146"/>
      <c r="W1075" s="147"/>
      <c r="AB1075" s="156"/>
    </row>
    <row r="1076" spans="16:28" ht="15" customHeight="1" x14ac:dyDescent="0.45">
      <c r="P1076" s="134"/>
      <c r="R1076" s="146"/>
      <c r="T1076" s="146"/>
      <c r="U1076" s="146"/>
      <c r="W1076" s="147"/>
      <c r="AB1076" s="156"/>
    </row>
    <row r="1077" spans="16:28" ht="15" customHeight="1" x14ac:dyDescent="0.45">
      <c r="P1077" s="134"/>
      <c r="R1077" s="146"/>
      <c r="T1077" s="146"/>
      <c r="U1077" s="146"/>
      <c r="W1077" s="147"/>
      <c r="AB1077" s="156"/>
    </row>
    <row r="1078" spans="16:28" ht="15" customHeight="1" x14ac:dyDescent="0.45">
      <c r="P1078" s="134"/>
      <c r="R1078" s="146"/>
      <c r="T1078" s="146"/>
      <c r="U1078" s="146"/>
      <c r="W1078" s="147"/>
      <c r="AB1078" s="156"/>
    </row>
    <row r="1079" spans="16:28" ht="15" customHeight="1" x14ac:dyDescent="0.45">
      <c r="P1079" s="134"/>
      <c r="R1079" s="146"/>
      <c r="T1079" s="146"/>
      <c r="U1079" s="146"/>
      <c r="W1079" s="147"/>
      <c r="AB1079" s="156"/>
    </row>
    <row r="1080" spans="16:28" ht="15" customHeight="1" x14ac:dyDescent="0.45">
      <c r="P1080" s="134"/>
      <c r="R1080" s="146"/>
      <c r="T1080" s="146"/>
      <c r="U1080" s="146"/>
      <c r="W1080" s="147"/>
      <c r="AB1080" s="156"/>
    </row>
    <row r="1081" spans="16:28" ht="15" customHeight="1" x14ac:dyDescent="0.45">
      <c r="P1081" s="134"/>
      <c r="R1081" s="146"/>
      <c r="T1081" s="146"/>
      <c r="U1081" s="146"/>
      <c r="W1081" s="147"/>
      <c r="AB1081" s="156"/>
    </row>
    <row r="1082" spans="16:28" ht="15" customHeight="1" x14ac:dyDescent="0.45">
      <c r="P1082" s="134"/>
      <c r="R1082" s="146"/>
      <c r="T1082" s="146"/>
      <c r="U1082" s="146"/>
      <c r="W1082" s="147"/>
      <c r="AB1082" s="156"/>
    </row>
    <row r="1083" spans="16:28" ht="15" customHeight="1" x14ac:dyDescent="0.45">
      <c r="P1083" s="134"/>
      <c r="R1083" s="146"/>
      <c r="T1083" s="146"/>
      <c r="U1083" s="146"/>
      <c r="W1083" s="147"/>
      <c r="AB1083" s="156"/>
    </row>
    <row r="1084" spans="16:28" ht="15" customHeight="1" x14ac:dyDescent="0.45">
      <c r="P1084" s="134"/>
      <c r="R1084" s="146"/>
      <c r="T1084" s="146"/>
      <c r="U1084" s="146"/>
      <c r="W1084" s="147"/>
      <c r="AB1084" s="156"/>
    </row>
    <row r="1085" spans="16:28" ht="15" customHeight="1" x14ac:dyDescent="0.45">
      <c r="P1085" s="134"/>
      <c r="R1085" s="146"/>
      <c r="T1085" s="146"/>
      <c r="U1085" s="146"/>
      <c r="W1085" s="147"/>
      <c r="AB1085" s="156"/>
    </row>
    <row r="1086" spans="16:28" ht="15" customHeight="1" x14ac:dyDescent="0.45">
      <c r="P1086" s="134"/>
      <c r="R1086" s="146"/>
      <c r="T1086" s="146"/>
      <c r="U1086" s="146"/>
      <c r="W1086" s="147"/>
      <c r="AB1086" s="156"/>
    </row>
    <row r="1087" spans="16:28" ht="15" customHeight="1" x14ac:dyDescent="0.45">
      <c r="P1087" s="134"/>
      <c r="R1087" s="146"/>
      <c r="T1087" s="146"/>
      <c r="U1087" s="146"/>
      <c r="W1087" s="147"/>
      <c r="AB1087" s="156"/>
    </row>
    <row r="1088" spans="16:28" ht="15" customHeight="1" x14ac:dyDescent="0.45">
      <c r="P1088" s="134"/>
      <c r="R1088" s="146"/>
      <c r="T1088" s="146"/>
      <c r="U1088" s="146"/>
      <c r="W1088" s="147"/>
      <c r="AB1088" s="156"/>
    </row>
    <row r="1089" spans="16:28" ht="15" customHeight="1" x14ac:dyDescent="0.45">
      <c r="P1089" s="134"/>
      <c r="R1089" s="146"/>
      <c r="T1089" s="146"/>
      <c r="U1089" s="146"/>
      <c r="W1089" s="147"/>
      <c r="AB1089" s="156"/>
    </row>
    <row r="1090" spans="16:28" ht="15" customHeight="1" x14ac:dyDescent="0.45">
      <c r="P1090" s="134"/>
      <c r="R1090" s="146"/>
      <c r="T1090" s="146"/>
      <c r="U1090" s="146"/>
      <c r="W1090" s="147"/>
      <c r="AB1090" s="156"/>
    </row>
    <row r="1091" spans="16:28" ht="15" customHeight="1" x14ac:dyDescent="0.45">
      <c r="P1091" s="134"/>
      <c r="R1091" s="146"/>
      <c r="T1091" s="146"/>
      <c r="U1091" s="146"/>
      <c r="W1091" s="147"/>
      <c r="AB1091" s="156"/>
    </row>
    <row r="1092" spans="16:28" ht="15" customHeight="1" x14ac:dyDescent="0.45">
      <c r="P1092" s="134"/>
      <c r="R1092" s="146"/>
      <c r="T1092" s="146"/>
      <c r="U1092" s="146"/>
      <c r="W1092" s="147"/>
      <c r="AB1092" s="156"/>
    </row>
    <row r="1093" spans="16:28" ht="15" customHeight="1" x14ac:dyDescent="0.45">
      <c r="P1093" s="134"/>
      <c r="R1093" s="146"/>
      <c r="T1093" s="146"/>
      <c r="U1093" s="146"/>
      <c r="W1093" s="147"/>
      <c r="AB1093" s="156"/>
    </row>
    <row r="1094" spans="16:28" ht="15" customHeight="1" x14ac:dyDescent="0.45">
      <c r="P1094" s="134"/>
      <c r="R1094" s="146"/>
      <c r="T1094" s="146"/>
      <c r="U1094" s="146"/>
      <c r="W1094" s="147"/>
      <c r="AB1094" s="156"/>
    </row>
    <row r="1095" spans="16:28" ht="15" customHeight="1" x14ac:dyDescent="0.45">
      <c r="P1095" s="134"/>
      <c r="R1095" s="146"/>
      <c r="T1095" s="146"/>
      <c r="U1095" s="146"/>
      <c r="W1095" s="147"/>
      <c r="AB1095" s="156"/>
    </row>
    <row r="1096" spans="16:28" ht="15" customHeight="1" x14ac:dyDescent="0.45">
      <c r="P1096" s="134"/>
      <c r="R1096" s="146"/>
      <c r="T1096" s="146"/>
      <c r="U1096" s="146"/>
      <c r="W1096" s="147"/>
      <c r="AB1096" s="156"/>
    </row>
    <row r="1097" spans="16:28" ht="15" customHeight="1" x14ac:dyDescent="0.45">
      <c r="P1097" s="134"/>
      <c r="R1097" s="146"/>
      <c r="T1097" s="146"/>
      <c r="U1097" s="146"/>
      <c r="W1097" s="147"/>
      <c r="AB1097" s="156"/>
    </row>
    <row r="1098" spans="16:28" ht="15" customHeight="1" x14ac:dyDescent="0.45">
      <c r="P1098" s="134"/>
      <c r="R1098" s="146"/>
      <c r="T1098" s="146"/>
      <c r="U1098" s="146"/>
      <c r="W1098" s="147"/>
      <c r="AB1098" s="156"/>
    </row>
    <row r="1099" spans="16:28" ht="15" customHeight="1" x14ac:dyDescent="0.45">
      <c r="P1099" s="134"/>
      <c r="R1099" s="146"/>
      <c r="T1099" s="146"/>
      <c r="U1099" s="146"/>
      <c r="W1099" s="147"/>
      <c r="AB1099" s="156"/>
    </row>
    <row r="1100" spans="16:28" ht="15" customHeight="1" x14ac:dyDescent="0.45">
      <c r="P1100" s="134"/>
      <c r="R1100" s="146"/>
      <c r="T1100" s="146"/>
      <c r="U1100" s="146"/>
      <c r="W1100" s="147"/>
      <c r="AB1100" s="156"/>
    </row>
    <row r="1101" spans="16:28" ht="15" customHeight="1" x14ac:dyDescent="0.45">
      <c r="P1101" s="134"/>
      <c r="R1101" s="146"/>
      <c r="T1101" s="146"/>
      <c r="U1101" s="146"/>
      <c r="W1101" s="147"/>
      <c r="AB1101" s="156"/>
    </row>
    <row r="1102" spans="16:28" ht="15" customHeight="1" x14ac:dyDescent="0.45">
      <c r="P1102" s="134"/>
      <c r="R1102" s="146"/>
      <c r="T1102" s="146"/>
      <c r="U1102" s="146"/>
      <c r="W1102" s="147"/>
      <c r="AB1102" s="156"/>
    </row>
    <row r="1103" spans="16:28" ht="15" customHeight="1" x14ac:dyDescent="0.45">
      <c r="P1103" s="134"/>
      <c r="R1103" s="146"/>
      <c r="T1103" s="146"/>
      <c r="U1103" s="146"/>
      <c r="W1103" s="147"/>
      <c r="AB1103" s="156"/>
    </row>
    <row r="1104" spans="16:28" ht="15" customHeight="1" x14ac:dyDescent="0.45">
      <c r="P1104" s="134"/>
      <c r="R1104" s="146"/>
      <c r="T1104" s="146"/>
      <c r="U1104" s="146"/>
      <c r="W1104" s="147"/>
      <c r="AB1104" s="156"/>
    </row>
    <row r="1105" spans="16:28" ht="15" customHeight="1" x14ac:dyDescent="0.45">
      <c r="P1105" s="134"/>
      <c r="R1105" s="146"/>
      <c r="T1105" s="146"/>
      <c r="U1105" s="146"/>
      <c r="W1105" s="147"/>
      <c r="AB1105" s="156"/>
    </row>
    <row r="1106" spans="16:28" ht="15" customHeight="1" x14ac:dyDescent="0.45">
      <c r="P1106" s="134"/>
      <c r="R1106" s="146"/>
      <c r="T1106" s="146"/>
      <c r="U1106" s="146"/>
      <c r="W1106" s="147"/>
      <c r="AB1106" s="156"/>
    </row>
    <row r="1107" spans="16:28" ht="15" customHeight="1" x14ac:dyDescent="0.45">
      <c r="P1107" s="134"/>
      <c r="R1107" s="146"/>
      <c r="T1107" s="146"/>
      <c r="U1107" s="146"/>
      <c r="W1107" s="147"/>
      <c r="AB1107" s="156"/>
    </row>
    <row r="1108" spans="16:28" ht="15" customHeight="1" x14ac:dyDescent="0.45">
      <c r="P1108" s="134"/>
      <c r="R1108" s="146"/>
      <c r="T1108" s="146"/>
      <c r="U1108" s="146"/>
      <c r="W1108" s="147"/>
      <c r="AB1108" s="156"/>
    </row>
    <row r="1109" spans="16:28" ht="15" customHeight="1" x14ac:dyDescent="0.45">
      <c r="P1109" s="134"/>
      <c r="R1109" s="146"/>
      <c r="T1109" s="146"/>
      <c r="U1109" s="146"/>
      <c r="W1109" s="147"/>
      <c r="AB1109" s="156"/>
    </row>
    <row r="1110" spans="16:28" ht="15" customHeight="1" x14ac:dyDescent="0.45">
      <c r="P1110" s="134"/>
      <c r="R1110" s="146"/>
      <c r="T1110" s="146"/>
      <c r="U1110" s="146"/>
      <c r="W1110" s="147"/>
      <c r="AB1110" s="156"/>
    </row>
    <row r="1111" spans="16:28" ht="15" customHeight="1" x14ac:dyDescent="0.45">
      <c r="P1111" s="134"/>
      <c r="R1111" s="146"/>
      <c r="T1111" s="146"/>
      <c r="U1111" s="146"/>
      <c r="W1111" s="147"/>
      <c r="AB1111" s="156"/>
    </row>
    <row r="1112" spans="16:28" ht="15" customHeight="1" x14ac:dyDescent="0.45">
      <c r="P1112" s="134"/>
      <c r="R1112" s="146"/>
      <c r="T1112" s="146"/>
      <c r="U1112" s="146"/>
      <c r="W1112" s="147"/>
      <c r="AB1112" s="156"/>
    </row>
    <row r="1113" spans="16:28" ht="15" customHeight="1" x14ac:dyDescent="0.45">
      <c r="P1113" s="134"/>
      <c r="R1113" s="146"/>
      <c r="T1113" s="146"/>
      <c r="U1113" s="146"/>
      <c r="W1113" s="147"/>
      <c r="AB1113" s="156"/>
    </row>
    <row r="1114" spans="16:28" ht="15" customHeight="1" x14ac:dyDescent="0.45">
      <c r="P1114" s="134"/>
      <c r="R1114" s="146"/>
      <c r="T1114" s="146"/>
      <c r="U1114" s="146"/>
      <c r="W1114" s="147"/>
      <c r="AB1114" s="156"/>
    </row>
    <row r="1115" spans="16:28" ht="15" customHeight="1" x14ac:dyDescent="0.45">
      <c r="P1115" s="134"/>
      <c r="R1115" s="146"/>
      <c r="T1115" s="146"/>
      <c r="U1115" s="146"/>
      <c r="W1115" s="147"/>
      <c r="AB1115" s="156"/>
    </row>
    <row r="1116" spans="16:28" ht="15" customHeight="1" x14ac:dyDescent="0.45">
      <c r="P1116" s="134"/>
      <c r="R1116" s="146"/>
      <c r="T1116" s="146"/>
      <c r="U1116" s="146"/>
      <c r="W1116" s="147"/>
      <c r="AB1116" s="156"/>
    </row>
    <row r="1117" spans="16:28" ht="15" customHeight="1" x14ac:dyDescent="0.45">
      <c r="P1117" s="134"/>
      <c r="R1117" s="146"/>
      <c r="T1117" s="146"/>
      <c r="U1117" s="146"/>
      <c r="W1117" s="147"/>
      <c r="AB1117" s="156"/>
    </row>
    <row r="1118" spans="16:28" ht="15" customHeight="1" x14ac:dyDescent="0.45">
      <c r="P1118" s="134"/>
      <c r="R1118" s="146"/>
      <c r="T1118" s="146"/>
      <c r="U1118" s="146"/>
      <c r="W1118" s="147"/>
      <c r="AB1118" s="156"/>
    </row>
    <row r="1119" spans="16:28" ht="15" customHeight="1" x14ac:dyDescent="0.45">
      <c r="P1119" s="134"/>
      <c r="R1119" s="146"/>
      <c r="T1119" s="146"/>
      <c r="U1119" s="146"/>
      <c r="W1119" s="147"/>
      <c r="AB1119" s="156"/>
    </row>
    <row r="1120" spans="16:28" ht="15" customHeight="1" x14ac:dyDescent="0.45">
      <c r="P1120" s="134"/>
      <c r="R1120" s="146"/>
      <c r="T1120" s="146"/>
      <c r="U1120" s="146"/>
      <c r="W1120" s="147"/>
      <c r="AB1120" s="156"/>
    </row>
    <row r="1121" spans="16:28" ht="15" customHeight="1" x14ac:dyDescent="0.45">
      <c r="P1121" s="134"/>
      <c r="R1121" s="146"/>
      <c r="T1121" s="146"/>
      <c r="U1121" s="146"/>
      <c r="W1121" s="147"/>
      <c r="AB1121" s="156"/>
    </row>
    <row r="1122" spans="16:28" ht="15" customHeight="1" x14ac:dyDescent="0.45">
      <c r="P1122" s="134"/>
      <c r="R1122" s="146"/>
      <c r="T1122" s="146"/>
      <c r="U1122" s="146"/>
      <c r="W1122" s="147"/>
      <c r="AB1122" s="156"/>
    </row>
    <row r="1123" spans="16:28" ht="15" customHeight="1" x14ac:dyDescent="0.45">
      <c r="P1123" s="134"/>
      <c r="R1123" s="146"/>
      <c r="T1123" s="146"/>
      <c r="U1123" s="146"/>
      <c r="W1123" s="147"/>
      <c r="AB1123" s="156"/>
    </row>
    <row r="1124" spans="16:28" ht="15" customHeight="1" x14ac:dyDescent="0.45">
      <c r="P1124" s="134"/>
      <c r="R1124" s="146"/>
      <c r="T1124" s="146"/>
      <c r="U1124" s="146"/>
      <c r="W1124" s="147"/>
      <c r="AB1124" s="156"/>
    </row>
    <row r="1125" spans="16:28" ht="15" customHeight="1" x14ac:dyDescent="0.45">
      <c r="P1125" s="134"/>
      <c r="R1125" s="146"/>
      <c r="T1125" s="146"/>
      <c r="U1125" s="146"/>
      <c r="W1125" s="147"/>
      <c r="AB1125" s="156"/>
    </row>
    <row r="1126" spans="16:28" ht="15" customHeight="1" x14ac:dyDescent="0.45">
      <c r="P1126" s="134"/>
      <c r="R1126" s="146"/>
      <c r="T1126" s="146"/>
      <c r="U1126" s="146"/>
      <c r="W1126" s="147"/>
      <c r="AB1126" s="156"/>
    </row>
    <row r="1127" spans="16:28" ht="15" customHeight="1" x14ac:dyDescent="0.45">
      <c r="P1127" s="134"/>
      <c r="R1127" s="146"/>
      <c r="T1127" s="146"/>
      <c r="U1127" s="146"/>
      <c r="W1127" s="147"/>
      <c r="AB1127" s="156"/>
    </row>
    <row r="1128" spans="16:28" ht="15" customHeight="1" x14ac:dyDescent="0.45">
      <c r="P1128" s="134"/>
      <c r="R1128" s="146"/>
      <c r="T1128" s="146"/>
      <c r="U1128" s="146"/>
      <c r="W1128" s="147"/>
      <c r="AB1128" s="156"/>
    </row>
    <row r="1129" spans="16:28" ht="15" customHeight="1" x14ac:dyDescent="0.45">
      <c r="P1129" s="134"/>
      <c r="R1129" s="146"/>
      <c r="T1129" s="146"/>
      <c r="U1129" s="146"/>
      <c r="W1129" s="147"/>
      <c r="AB1129" s="156"/>
    </row>
    <row r="1130" spans="16:28" ht="15" customHeight="1" x14ac:dyDescent="0.45">
      <c r="P1130" s="134"/>
      <c r="R1130" s="146"/>
      <c r="T1130" s="146"/>
      <c r="U1130" s="146"/>
      <c r="W1130" s="147"/>
      <c r="AB1130" s="156"/>
    </row>
    <row r="1131" spans="16:28" ht="15" customHeight="1" x14ac:dyDescent="0.45">
      <c r="P1131" s="134"/>
      <c r="R1131" s="146"/>
      <c r="T1131" s="146"/>
      <c r="U1131" s="146"/>
      <c r="W1131" s="147"/>
      <c r="AB1131" s="156"/>
    </row>
    <row r="1132" spans="16:28" ht="15" customHeight="1" x14ac:dyDescent="0.45">
      <c r="P1132" s="134"/>
      <c r="R1132" s="146"/>
      <c r="T1132" s="146"/>
      <c r="U1132" s="146"/>
      <c r="W1132" s="147"/>
      <c r="AB1132" s="156"/>
    </row>
    <row r="1133" spans="16:28" ht="15" customHeight="1" x14ac:dyDescent="0.45">
      <c r="P1133" s="134"/>
      <c r="R1133" s="146"/>
      <c r="T1133" s="146"/>
      <c r="U1133" s="146"/>
      <c r="W1133" s="147"/>
      <c r="AB1133" s="156"/>
    </row>
    <row r="1134" spans="16:28" ht="15" customHeight="1" x14ac:dyDescent="0.45">
      <c r="P1134" s="134"/>
      <c r="R1134" s="146"/>
      <c r="T1134" s="146"/>
      <c r="U1134" s="146"/>
      <c r="W1134" s="147"/>
      <c r="AB1134" s="156"/>
    </row>
    <row r="1135" spans="16:28" ht="15" customHeight="1" x14ac:dyDescent="0.45">
      <c r="P1135" s="134"/>
      <c r="R1135" s="146"/>
      <c r="T1135" s="146"/>
      <c r="U1135" s="146"/>
      <c r="W1135" s="147"/>
      <c r="AB1135" s="156"/>
    </row>
    <row r="1136" spans="16:28" ht="15" customHeight="1" x14ac:dyDescent="0.45">
      <c r="P1136" s="134"/>
      <c r="R1136" s="146"/>
      <c r="T1136" s="146"/>
      <c r="U1136" s="146"/>
      <c r="W1136" s="147"/>
      <c r="AB1136" s="156"/>
    </row>
    <row r="1137" spans="16:28" ht="15" customHeight="1" x14ac:dyDescent="0.45">
      <c r="P1137" s="134"/>
      <c r="R1137" s="146"/>
      <c r="T1137" s="146"/>
      <c r="U1137" s="146"/>
      <c r="W1137" s="147"/>
      <c r="AB1137" s="156"/>
    </row>
    <row r="1138" spans="16:28" ht="15" customHeight="1" x14ac:dyDescent="0.45">
      <c r="P1138" s="134"/>
      <c r="R1138" s="146"/>
      <c r="T1138" s="146"/>
      <c r="U1138" s="146"/>
      <c r="W1138" s="147"/>
      <c r="AB1138" s="156"/>
    </row>
    <row r="1139" spans="16:28" ht="15" customHeight="1" x14ac:dyDescent="0.45">
      <c r="P1139" s="134"/>
      <c r="R1139" s="146"/>
      <c r="T1139" s="146"/>
      <c r="U1139" s="146"/>
      <c r="W1139" s="147"/>
      <c r="AB1139" s="156"/>
    </row>
    <row r="1140" spans="16:28" ht="15" customHeight="1" x14ac:dyDescent="0.45">
      <c r="P1140" s="134"/>
      <c r="R1140" s="146"/>
      <c r="T1140" s="146"/>
      <c r="U1140" s="146"/>
      <c r="W1140" s="147"/>
      <c r="AB1140" s="156"/>
    </row>
    <row r="1141" spans="16:28" ht="15" customHeight="1" x14ac:dyDescent="0.45">
      <c r="P1141" s="134"/>
      <c r="R1141" s="146"/>
      <c r="T1141" s="146"/>
      <c r="U1141" s="146"/>
      <c r="W1141" s="147"/>
      <c r="AB1141" s="156"/>
    </row>
    <row r="1142" spans="16:28" ht="15" customHeight="1" x14ac:dyDescent="0.45">
      <c r="P1142" s="134"/>
      <c r="R1142" s="146"/>
      <c r="T1142" s="146"/>
      <c r="U1142" s="146"/>
      <c r="W1142" s="147"/>
      <c r="AB1142" s="156"/>
    </row>
    <row r="1143" spans="16:28" ht="15" customHeight="1" x14ac:dyDescent="0.45">
      <c r="P1143" s="134"/>
      <c r="R1143" s="146"/>
      <c r="T1143" s="146"/>
      <c r="U1143" s="146"/>
      <c r="W1143" s="147"/>
      <c r="AB1143" s="156"/>
    </row>
    <row r="1144" spans="16:28" ht="15" customHeight="1" x14ac:dyDescent="0.45">
      <c r="P1144" s="134"/>
      <c r="R1144" s="146"/>
      <c r="T1144" s="146"/>
      <c r="U1144" s="146"/>
      <c r="W1144" s="147"/>
      <c r="AB1144" s="156"/>
    </row>
    <row r="1145" spans="16:28" ht="15" customHeight="1" x14ac:dyDescent="0.45">
      <c r="P1145" s="134"/>
      <c r="R1145" s="146"/>
      <c r="T1145" s="146"/>
      <c r="U1145" s="146"/>
      <c r="W1145" s="147"/>
      <c r="AB1145" s="156"/>
    </row>
    <row r="1146" spans="16:28" ht="15" customHeight="1" x14ac:dyDescent="0.45">
      <c r="P1146" s="134"/>
      <c r="R1146" s="146"/>
      <c r="T1146" s="146"/>
      <c r="U1146" s="146"/>
      <c r="W1146" s="147"/>
      <c r="AB1146" s="156"/>
    </row>
    <row r="1147" spans="16:28" ht="15" customHeight="1" x14ac:dyDescent="0.45">
      <c r="P1147" s="134"/>
      <c r="R1147" s="146"/>
      <c r="T1147" s="146"/>
      <c r="U1147" s="146"/>
      <c r="W1147" s="147"/>
      <c r="AB1147" s="156"/>
    </row>
    <row r="1148" spans="16:28" ht="15" customHeight="1" x14ac:dyDescent="0.45">
      <c r="P1148" s="134"/>
      <c r="R1148" s="146"/>
      <c r="T1148" s="146"/>
      <c r="U1148" s="146"/>
      <c r="W1148" s="147"/>
      <c r="AB1148" s="156"/>
    </row>
    <row r="1149" spans="16:28" ht="15" customHeight="1" x14ac:dyDescent="0.45">
      <c r="P1149" s="134"/>
      <c r="R1149" s="146"/>
      <c r="T1149" s="146"/>
      <c r="U1149" s="146"/>
      <c r="W1149" s="147"/>
      <c r="AB1149" s="156"/>
    </row>
    <row r="1150" spans="16:28" ht="15" customHeight="1" x14ac:dyDescent="0.45">
      <c r="P1150" s="134"/>
      <c r="R1150" s="146"/>
      <c r="T1150" s="146"/>
      <c r="U1150" s="146"/>
      <c r="W1150" s="147"/>
      <c r="AB1150" s="156"/>
    </row>
    <row r="1151" spans="16:28" ht="15" customHeight="1" x14ac:dyDescent="0.45">
      <c r="P1151" s="134"/>
      <c r="R1151" s="146"/>
      <c r="T1151" s="146"/>
      <c r="U1151" s="146"/>
      <c r="W1151" s="147"/>
      <c r="AB1151" s="156"/>
    </row>
    <row r="1152" spans="16:28" ht="15" customHeight="1" x14ac:dyDescent="0.45">
      <c r="P1152" s="134"/>
      <c r="R1152" s="146"/>
      <c r="T1152" s="146"/>
      <c r="U1152" s="146"/>
      <c r="W1152" s="147"/>
      <c r="AB1152" s="156"/>
    </row>
    <row r="1153" spans="16:28" ht="15" customHeight="1" x14ac:dyDescent="0.45">
      <c r="P1153" s="134"/>
      <c r="R1153" s="146"/>
      <c r="T1153" s="146"/>
      <c r="U1153" s="146"/>
      <c r="W1153" s="147"/>
      <c r="AB1153" s="156"/>
    </row>
    <row r="1154" spans="16:28" ht="15" customHeight="1" x14ac:dyDescent="0.45">
      <c r="P1154" s="134"/>
      <c r="R1154" s="146"/>
      <c r="T1154" s="146"/>
      <c r="U1154" s="146"/>
      <c r="W1154" s="147"/>
      <c r="AB1154" s="156"/>
    </row>
    <row r="1155" spans="16:28" ht="15" customHeight="1" x14ac:dyDescent="0.45">
      <c r="P1155" s="134"/>
      <c r="R1155" s="146"/>
      <c r="T1155" s="146"/>
      <c r="U1155" s="146"/>
      <c r="W1155" s="147"/>
      <c r="AB1155" s="156"/>
    </row>
    <row r="1156" spans="16:28" ht="15" customHeight="1" x14ac:dyDescent="0.45">
      <c r="P1156" s="134"/>
      <c r="R1156" s="146"/>
      <c r="T1156" s="146"/>
      <c r="U1156" s="146"/>
      <c r="W1156" s="147"/>
      <c r="AB1156" s="156"/>
    </row>
    <row r="1157" spans="16:28" ht="15" customHeight="1" x14ac:dyDescent="0.45">
      <c r="P1157" s="134"/>
      <c r="R1157" s="146"/>
      <c r="T1157" s="146"/>
      <c r="U1157" s="146"/>
      <c r="W1157" s="147"/>
      <c r="AB1157" s="156"/>
    </row>
    <row r="1158" spans="16:28" ht="15" customHeight="1" x14ac:dyDescent="0.45">
      <c r="P1158" s="134"/>
      <c r="R1158" s="146"/>
      <c r="T1158" s="146"/>
      <c r="U1158" s="146"/>
      <c r="W1158" s="147"/>
      <c r="AB1158" s="156"/>
    </row>
    <row r="1159" spans="16:28" ht="15" customHeight="1" x14ac:dyDescent="0.45">
      <c r="P1159" s="134"/>
      <c r="R1159" s="146"/>
      <c r="T1159" s="146"/>
      <c r="U1159" s="146"/>
      <c r="W1159" s="147"/>
      <c r="AB1159" s="156"/>
    </row>
    <row r="1160" spans="16:28" ht="15" customHeight="1" x14ac:dyDescent="0.45">
      <c r="P1160" s="134"/>
      <c r="R1160" s="146"/>
      <c r="T1160" s="146"/>
      <c r="U1160" s="146"/>
      <c r="W1160" s="147"/>
      <c r="AB1160" s="156"/>
    </row>
    <row r="1161" spans="16:28" ht="15" customHeight="1" x14ac:dyDescent="0.45">
      <c r="P1161" s="134"/>
      <c r="R1161" s="146"/>
      <c r="T1161" s="146"/>
      <c r="U1161" s="146"/>
      <c r="W1161" s="147"/>
      <c r="AB1161" s="156"/>
    </row>
    <row r="1162" spans="16:28" ht="15" customHeight="1" x14ac:dyDescent="0.45">
      <c r="P1162" s="134"/>
      <c r="R1162" s="146"/>
      <c r="T1162" s="146"/>
      <c r="U1162" s="146"/>
      <c r="W1162" s="147"/>
      <c r="AB1162" s="156"/>
    </row>
    <row r="1163" spans="16:28" ht="15" customHeight="1" x14ac:dyDescent="0.45">
      <c r="P1163" s="134"/>
      <c r="R1163" s="146"/>
      <c r="T1163" s="146"/>
      <c r="U1163" s="146"/>
      <c r="W1163" s="147"/>
      <c r="AB1163" s="156"/>
    </row>
    <row r="1164" spans="16:28" ht="15" customHeight="1" x14ac:dyDescent="0.45">
      <c r="P1164" s="134"/>
      <c r="R1164" s="146"/>
      <c r="T1164" s="146"/>
      <c r="U1164" s="146"/>
      <c r="W1164" s="147"/>
      <c r="AB1164" s="156"/>
    </row>
    <row r="1165" spans="16:28" ht="15" customHeight="1" x14ac:dyDescent="0.45">
      <c r="P1165" s="134"/>
      <c r="R1165" s="146"/>
      <c r="T1165" s="146"/>
      <c r="U1165" s="146"/>
      <c r="W1165" s="147"/>
      <c r="AB1165" s="156"/>
    </row>
    <row r="1166" spans="16:28" ht="15" customHeight="1" x14ac:dyDescent="0.45">
      <c r="P1166" s="134"/>
      <c r="R1166" s="146"/>
      <c r="T1166" s="146"/>
      <c r="U1166" s="146"/>
      <c r="W1166" s="147"/>
      <c r="AB1166" s="156"/>
    </row>
    <row r="1167" spans="16:28" ht="15" customHeight="1" x14ac:dyDescent="0.45">
      <c r="P1167" s="134"/>
      <c r="R1167" s="146"/>
      <c r="T1167" s="146"/>
      <c r="U1167" s="146"/>
      <c r="W1167" s="147"/>
      <c r="AB1167" s="156"/>
    </row>
    <row r="1168" spans="16:28" ht="15" customHeight="1" x14ac:dyDescent="0.45">
      <c r="P1168" s="134"/>
      <c r="R1168" s="146"/>
      <c r="T1168" s="146"/>
      <c r="U1168" s="146"/>
      <c r="W1168" s="147"/>
      <c r="AB1168" s="156"/>
    </row>
    <row r="1169" spans="16:28" ht="15" customHeight="1" x14ac:dyDescent="0.45">
      <c r="P1169" s="134"/>
      <c r="R1169" s="146"/>
      <c r="T1169" s="146"/>
      <c r="U1169" s="146"/>
      <c r="W1169" s="147"/>
      <c r="AB1169" s="156"/>
    </row>
    <row r="1170" spans="16:28" ht="15" customHeight="1" x14ac:dyDescent="0.45">
      <c r="P1170" s="134"/>
      <c r="R1170" s="146"/>
      <c r="T1170" s="146"/>
      <c r="U1170" s="146"/>
      <c r="W1170" s="147"/>
      <c r="AB1170" s="156"/>
    </row>
    <row r="1171" spans="16:28" ht="15" customHeight="1" x14ac:dyDescent="0.45">
      <c r="P1171" s="134"/>
      <c r="R1171" s="146"/>
      <c r="T1171" s="146"/>
      <c r="U1171" s="146"/>
      <c r="W1171" s="147"/>
      <c r="AB1171" s="156"/>
    </row>
    <row r="1172" spans="16:28" ht="15" customHeight="1" x14ac:dyDescent="0.45">
      <c r="P1172" s="134"/>
      <c r="R1172" s="146"/>
      <c r="T1172" s="146"/>
      <c r="U1172" s="146"/>
      <c r="W1172" s="147"/>
      <c r="AB1172" s="156"/>
    </row>
    <row r="1173" spans="16:28" ht="15" customHeight="1" x14ac:dyDescent="0.45">
      <c r="P1173" s="134"/>
      <c r="R1173" s="146"/>
      <c r="T1173" s="146"/>
      <c r="U1173" s="146"/>
      <c r="W1173" s="147"/>
      <c r="AB1173" s="156"/>
    </row>
    <row r="1174" spans="16:28" ht="15" customHeight="1" x14ac:dyDescent="0.45">
      <c r="P1174" s="134"/>
      <c r="R1174" s="146"/>
      <c r="T1174" s="146"/>
      <c r="U1174" s="146"/>
      <c r="W1174" s="147"/>
      <c r="AB1174" s="156"/>
    </row>
    <row r="1175" spans="16:28" ht="15" customHeight="1" x14ac:dyDescent="0.45">
      <c r="P1175" s="134"/>
      <c r="R1175" s="146"/>
      <c r="T1175" s="146"/>
      <c r="U1175" s="146"/>
      <c r="W1175" s="147"/>
      <c r="AB1175" s="156"/>
    </row>
    <row r="1176" spans="16:28" ht="15" customHeight="1" x14ac:dyDescent="0.45">
      <c r="P1176" s="134"/>
      <c r="R1176" s="146"/>
      <c r="T1176" s="146"/>
      <c r="U1176" s="146"/>
      <c r="W1176" s="147"/>
      <c r="AB1176" s="156"/>
    </row>
    <row r="1177" spans="16:28" ht="15" customHeight="1" x14ac:dyDescent="0.45">
      <c r="P1177" s="134"/>
      <c r="R1177" s="146"/>
      <c r="T1177" s="146"/>
      <c r="U1177" s="146"/>
      <c r="W1177" s="147"/>
      <c r="AB1177" s="156"/>
    </row>
    <row r="1178" spans="16:28" ht="15" customHeight="1" x14ac:dyDescent="0.45">
      <c r="P1178" s="134"/>
      <c r="R1178" s="146"/>
      <c r="T1178" s="146"/>
      <c r="U1178" s="146"/>
      <c r="W1178" s="147"/>
      <c r="AB1178" s="156"/>
    </row>
    <row r="1179" spans="16:28" ht="15" customHeight="1" x14ac:dyDescent="0.45">
      <c r="P1179" s="134"/>
      <c r="R1179" s="146"/>
      <c r="T1179" s="146"/>
      <c r="U1179" s="146"/>
      <c r="W1179" s="147"/>
      <c r="AB1179" s="156"/>
    </row>
    <row r="1180" spans="16:28" ht="15" customHeight="1" x14ac:dyDescent="0.45">
      <c r="P1180" s="134"/>
      <c r="R1180" s="146"/>
      <c r="T1180" s="146"/>
      <c r="U1180" s="146"/>
      <c r="W1180" s="147"/>
      <c r="AB1180" s="156"/>
    </row>
    <row r="1181" spans="16:28" ht="15" customHeight="1" x14ac:dyDescent="0.45">
      <c r="P1181" s="134"/>
      <c r="R1181" s="146"/>
      <c r="T1181" s="146"/>
      <c r="U1181" s="146"/>
      <c r="W1181" s="147"/>
      <c r="AB1181" s="156"/>
    </row>
    <row r="1182" spans="16:28" ht="15" customHeight="1" x14ac:dyDescent="0.45">
      <c r="P1182" s="134"/>
      <c r="R1182" s="146"/>
      <c r="T1182" s="146"/>
      <c r="U1182" s="146"/>
      <c r="W1182" s="147"/>
      <c r="AB1182" s="156"/>
    </row>
    <row r="1183" spans="16:28" ht="15" customHeight="1" x14ac:dyDescent="0.45">
      <c r="P1183" s="134"/>
      <c r="R1183" s="146"/>
      <c r="T1183" s="146"/>
      <c r="U1183" s="146"/>
      <c r="W1183" s="147"/>
      <c r="AB1183" s="156"/>
    </row>
    <row r="1184" spans="16:28" ht="15" customHeight="1" x14ac:dyDescent="0.45">
      <c r="P1184" s="134"/>
      <c r="R1184" s="146"/>
      <c r="T1184" s="146"/>
      <c r="U1184" s="146"/>
      <c r="W1184" s="147"/>
      <c r="AB1184" s="156"/>
    </row>
    <row r="1185" spans="16:28" ht="15" customHeight="1" x14ac:dyDescent="0.45">
      <c r="P1185" s="134"/>
      <c r="R1185" s="146"/>
      <c r="T1185" s="146"/>
      <c r="U1185" s="146"/>
      <c r="W1185" s="147"/>
      <c r="AB1185" s="156"/>
    </row>
    <row r="1186" spans="16:28" ht="15" customHeight="1" x14ac:dyDescent="0.45">
      <c r="P1186" s="134"/>
      <c r="R1186" s="146"/>
      <c r="T1186" s="146"/>
      <c r="U1186" s="146"/>
      <c r="W1186" s="147"/>
      <c r="AB1186" s="156"/>
    </row>
    <row r="1187" spans="16:28" ht="15" customHeight="1" x14ac:dyDescent="0.45">
      <c r="P1187" s="134"/>
      <c r="R1187" s="146"/>
      <c r="T1187" s="146"/>
      <c r="U1187" s="146"/>
      <c r="W1187" s="147"/>
      <c r="AB1187" s="156"/>
    </row>
    <row r="1188" spans="16:28" ht="15" customHeight="1" x14ac:dyDescent="0.45">
      <c r="P1188" s="134"/>
      <c r="R1188" s="146"/>
      <c r="T1188" s="146"/>
      <c r="U1188" s="146"/>
      <c r="W1188" s="147"/>
      <c r="AB1188" s="156"/>
    </row>
    <row r="1189" spans="16:28" ht="15" customHeight="1" x14ac:dyDescent="0.45">
      <c r="P1189" s="134"/>
      <c r="R1189" s="146"/>
      <c r="T1189" s="146"/>
      <c r="U1189" s="146"/>
      <c r="W1189" s="147"/>
      <c r="AB1189" s="156"/>
    </row>
    <row r="1190" spans="16:28" ht="15" customHeight="1" x14ac:dyDescent="0.45">
      <c r="P1190" s="134"/>
      <c r="R1190" s="146"/>
      <c r="T1190" s="146"/>
      <c r="U1190" s="146"/>
      <c r="W1190" s="147"/>
      <c r="AB1190" s="156"/>
    </row>
    <row r="1191" spans="16:28" ht="15" customHeight="1" x14ac:dyDescent="0.45">
      <c r="P1191" s="134"/>
      <c r="R1191" s="146"/>
      <c r="T1191" s="146"/>
      <c r="U1191" s="146"/>
      <c r="W1191" s="147"/>
      <c r="AB1191" s="156"/>
    </row>
    <row r="1192" spans="16:28" ht="15" customHeight="1" x14ac:dyDescent="0.45">
      <c r="P1192" s="134"/>
      <c r="R1192" s="146"/>
      <c r="T1192" s="146"/>
      <c r="U1192" s="146"/>
      <c r="W1192" s="147"/>
      <c r="AB1192" s="156"/>
    </row>
    <row r="1193" spans="16:28" ht="15" customHeight="1" x14ac:dyDescent="0.45">
      <c r="P1193" s="134"/>
      <c r="R1193" s="146"/>
      <c r="T1193" s="146"/>
      <c r="U1193" s="146"/>
      <c r="W1193" s="147"/>
      <c r="AB1193" s="156"/>
    </row>
    <row r="1194" spans="16:28" ht="15" customHeight="1" x14ac:dyDescent="0.45">
      <c r="P1194" s="134"/>
      <c r="R1194" s="146"/>
      <c r="T1194" s="146"/>
      <c r="U1194" s="146"/>
      <c r="W1194" s="147"/>
      <c r="AB1194" s="156"/>
    </row>
    <row r="1195" spans="16:28" ht="15" customHeight="1" x14ac:dyDescent="0.45">
      <c r="P1195" s="134"/>
      <c r="R1195" s="146"/>
      <c r="T1195" s="146"/>
      <c r="U1195" s="146"/>
      <c r="W1195" s="147"/>
      <c r="AB1195" s="156"/>
    </row>
    <row r="1196" spans="16:28" ht="15" customHeight="1" x14ac:dyDescent="0.45">
      <c r="P1196" s="134"/>
      <c r="R1196" s="146"/>
      <c r="T1196" s="146"/>
      <c r="U1196" s="146"/>
      <c r="W1196" s="147"/>
      <c r="AB1196" s="156"/>
    </row>
    <row r="1197" spans="16:28" ht="15" customHeight="1" x14ac:dyDescent="0.45">
      <c r="P1197" s="134"/>
      <c r="R1197" s="146"/>
      <c r="T1197" s="146"/>
      <c r="U1197" s="146"/>
      <c r="W1197" s="147"/>
      <c r="AB1197" s="156"/>
    </row>
    <row r="1198" spans="16:28" ht="15" customHeight="1" x14ac:dyDescent="0.45">
      <c r="P1198" s="134"/>
      <c r="R1198" s="146"/>
      <c r="T1198" s="146"/>
      <c r="U1198" s="146"/>
      <c r="W1198" s="147"/>
      <c r="AB1198" s="156"/>
    </row>
    <row r="1199" spans="16:28" ht="15" customHeight="1" x14ac:dyDescent="0.45">
      <c r="P1199" s="134"/>
      <c r="R1199" s="146"/>
      <c r="T1199" s="146"/>
      <c r="U1199" s="146"/>
      <c r="W1199" s="147"/>
      <c r="AB1199" s="156"/>
    </row>
    <row r="1200" spans="16:28" ht="15" customHeight="1" x14ac:dyDescent="0.45">
      <c r="P1200" s="134"/>
      <c r="R1200" s="146"/>
      <c r="T1200" s="146"/>
      <c r="U1200" s="146"/>
      <c r="W1200" s="147"/>
      <c r="AB1200" s="156"/>
    </row>
    <row r="1201" spans="16:28" ht="15" customHeight="1" x14ac:dyDescent="0.45">
      <c r="P1201" s="134"/>
      <c r="R1201" s="146"/>
      <c r="T1201" s="146"/>
      <c r="U1201" s="146"/>
      <c r="W1201" s="147"/>
      <c r="AB1201" s="156"/>
    </row>
    <row r="1202" spans="16:28" ht="15" customHeight="1" x14ac:dyDescent="0.45">
      <c r="P1202" s="134"/>
      <c r="R1202" s="146"/>
      <c r="T1202" s="146"/>
      <c r="U1202" s="146"/>
      <c r="W1202" s="147"/>
      <c r="AB1202" s="156"/>
    </row>
    <row r="1203" spans="16:28" ht="15" customHeight="1" x14ac:dyDescent="0.45">
      <c r="P1203" s="134"/>
      <c r="R1203" s="146"/>
      <c r="T1203" s="146"/>
      <c r="U1203" s="146"/>
      <c r="W1203" s="147"/>
      <c r="AB1203" s="156"/>
    </row>
    <row r="1204" spans="16:28" ht="15" customHeight="1" x14ac:dyDescent="0.45">
      <c r="P1204" s="134"/>
      <c r="R1204" s="146"/>
      <c r="T1204" s="146"/>
      <c r="U1204" s="146"/>
      <c r="W1204" s="147"/>
      <c r="AB1204" s="156"/>
    </row>
    <row r="1205" spans="16:28" ht="15" customHeight="1" x14ac:dyDescent="0.45">
      <c r="P1205" s="134"/>
      <c r="R1205" s="146"/>
      <c r="T1205" s="146"/>
      <c r="U1205" s="146"/>
      <c r="W1205" s="147"/>
      <c r="AB1205" s="156"/>
    </row>
    <row r="1206" spans="16:28" ht="15" customHeight="1" x14ac:dyDescent="0.45">
      <c r="P1206" s="134"/>
      <c r="R1206" s="146"/>
      <c r="T1206" s="146"/>
      <c r="U1206" s="146"/>
      <c r="W1206" s="147"/>
      <c r="AB1206" s="156"/>
    </row>
    <row r="1207" spans="16:28" ht="15" customHeight="1" x14ac:dyDescent="0.45">
      <c r="P1207" s="134"/>
      <c r="R1207" s="146"/>
      <c r="T1207" s="146"/>
      <c r="U1207" s="146"/>
      <c r="W1207" s="147"/>
      <c r="AB1207" s="156"/>
    </row>
    <row r="1208" spans="16:28" ht="15" customHeight="1" x14ac:dyDescent="0.45">
      <c r="P1208" s="134"/>
      <c r="R1208" s="146"/>
      <c r="T1208" s="146"/>
      <c r="U1208" s="146"/>
      <c r="W1208" s="147"/>
      <c r="AB1208" s="156"/>
    </row>
    <row r="1209" spans="16:28" ht="15" customHeight="1" x14ac:dyDescent="0.45">
      <c r="P1209" s="134"/>
      <c r="R1209" s="146"/>
      <c r="T1209" s="146"/>
      <c r="U1209" s="146"/>
      <c r="W1209" s="147"/>
      <c r="AB1209" s="156"/>
    </row>
    <row r="1210" spans="16:28" ht="15" customHeight="1" x14ac:dyDescent="0.45">
      <c r="P1210" s="134"/>
      <c r="R1210" s="146"/>
      <c r="T1210" s="146"/>
      <c r="U1210" s="146"/>
      <c r="W1210" s="147"/>
      <c r="AB1210" s="156"/>
    </row>
    <row r="1211" spans="16:28" ht="15" customHeight="1" x14ac:dyDescent="0.45">
      <c r="P1211" s="134"/>
      <c r="R1211" s="146"/>
      <c r="T1211" s="146"/>
      <c r="U1211" s="146"/>
      <c r="W1211" s="147"/>
      <c r="AB1211" s="156"/>
    </row>
    <row r="1212" spans="16:28" ht="15" customHeight="1" x14ac:dyDescent="0.45">
      <c r="P1212" s="134"/>
      <c r="R1212" s="146"/>
      <c r="T1212" s="146"/>
      <c r="U1212" s="146"/>
      <c r="W1212" s="147"/>
      <c r="AB1212" s="156"/>
    </row>
    <row r="1213" spans="16:28" ht="15" customHeight="1" x14ac:dyDescent="0.45">
      <c r="P1213" s="134"/>
      <c r="R1213" s="146"/>
      <c r="T1213" s="146"/>
      <c r="U1213" s="146"/>
      <c r="W1213" s="147"/>
      <c r="AB1213" s="156"/>
    </row>
    <row r="1214" spans="16:28" ht="15" customHeight="1" x14ac:dyDescent="0.45">
      <c r="P1214" s="134"/>
      <c r="R1214" s="146"/>
      <c r="T1214" s="146"/>
      <c r="U1214" s="146"/>
      <c r="W1214" s="147"/>
      <c r="AB1214" s="156"/>
    </row>
    <row r="1215" spans="16:28" ht="15" customHeight="1" x14ac:dyDescent="0.45">
      <c r="P1215" s="134"/>
      <c r="R1215" s="146"/>
      <c r="T1215" s="146"/>
      <c r="U1215" s="146"/>
      <c r="W1215" s="147"/>
      <c r="AB1215" s="156"/>
    </row>
    <row r="1216" spans="16:28" ht="15" customHeight="1" x14ac:dyDescent="0.45">
      <c r="P1216" s="134"/>
      <c r="R1216" s="146"/>
      <c r="T1216" s="146"/>
      <c r="U1216" s="146"/>
      <c r="W1216" s="147"/>
      <c r="AB1216" s="156"/>
    </row>
    <row r="1217" spans="16:28" ht="15" customHeight="1" x14ac:dyDescent="0.45">
      <c r="P1217" s="134"/>
      <c r="R1217" s="146"/>
      <c r="T1217" s="146"/>
      <c r="U1217" s="146"/>
      <c r="W1217" s="147"/>
      <c r="AB1217" s="156"/>
    </row>
    <row r="1218" spans="16:28" ht="15" customHeight="1" x14ac:dyDescent="0.45">
      <c r="P1218" s="134"/>
      <c r="R1218" s="146"/>
      <c r="T1218" s="146"/>
      <c r="U1218" s="146"/>
      <c r="W1218" s="147"/>
      <c r="AB1218" s="156"/>
    </row>
    <row r="1219" spans="16:28" ht="15" customHeight="1" x14ac:dyDescent="0.45">
      <c r="P1219" s="134"/>
      <c r="R1219" s="146"/>
      <c r="T1219" s="146"/>
      <c r="U1219" s="146"/>
      <c r="W1219" s="147"/>
      <c r="AB1219" s="156"/>
    </row>
    <row r="1220" spans="16:28" ht="15" customHeight="1" x14ac:dyDescent="0.45">
      <c r="P1220" s="134"/>
      <c r="R1220" s="146"/>
      <c r="T1220" s="146"/>
      <c r="U1220" s="146"/>
      <c r="W1220" s="147"/>
      <c r="AB1220" s="156"/>
    </row>
    <row r="1221" spans="16:28" ht="15" customHeight="1" x14ac:dyDescent="0.45">
      <c r="P1221" s="134"/>
      <c r="R1221" s="146"/>
      <c r="T1221" s="146"/>
      <c r="U1221" s="146"/>
      <c r="W1221" s="147"/>
      <c r="AB1221" s="156"/>
    </row>
    <row r="1222" spans="16:28" ht="15" customHeight="1" x14ac:dyDescent="0.45">
      <c r="P1222" s="134"/>
      <c r="R1222" s="146"/>
      <c r="T1222" s="146"/>
      <c r="U1222" s="146"/>
      <c r="W1222" s="147"/>
      <c r="AB1222" s="156"/>
    </row>
    <row r="1223" spans="16:28" ht="15" customHeight="1" x14ac:dyDescent="0.45">
      <c r="P1223" s="134"/>
      <c r="R1223" s="146"/>
      <c r="T1223" s="146"/>
      <c r="U1223" s="146"/>
      <c r="W1223" s="147"/>
      <c r="AB1223" s="156"/>
    </row>
    <row r="1224" spans="16:28" ht="15" customHeight="1" x14ac:dyDescent="0.45">
      <c r="P1224" s="134"/>
      <c r="R1224" s="146"/>
      <c r="T1224" s="146"/>
      <c r="U1224" s="146"/>
      <c r="W1224" s="147"/>
      <c r="AB1224" s="156"/>
    </row>
    <row r="1225" spans="16:28" ht="15" customHeight="1" x14ac:dyDescent="0.45">
      <c r="P1225" s="134"/>
      <c r="R1225" s="146"/>
      <c r="T1225" s="146"/>
      <c r="U1225" s="146"/>
      <c r="W1225" s="147"/>
      <c r="AB1225" s="156"/>
    </row>
    <row r="1226" spans="16:28" ht="15" customHeight="1" x14ac:dyDescent="0.45">
      <c r="P1226" s="134"/>
      <c r="R1226" s="146"/>
      <c r="T1226" s="146"/>
      <c r="U1226" s="146"/>
      <c r="W1226" s="147"/>
      <c r="AB1226" s="156"/>
    </row>
    <row r="1227" spans="16:28" ht="15" customHeight="1" x14ac:dyDescent="0.45">
      <c r="P1227" s="134"/>
      <c r="R1227" s="146"/>
      <c r="T1227" s="146"/>
      <c r="U1227" s="146"/>
      <c r="W1227" s="147"/>
      <c r="AB1227" s="156"/>
    </row>
    <row r="1228" spans="16:28" ht="15" customHeight="1" x14ac:dyDescent="0.45">
      <c r="P1228" s="134"/>
      <c r="R1228" s="146"/>
      <c r="T1228" s="146"/>
      <c r="U1228" s="146"/>
      <c r="W1228" s="147"/>
      <c r="AB1228" s="156"/>
    </row>
    <row r="1229" spans="16:28" ht="15" customHeight="1" x14ac:dyDescent="0.45">
      <c r="P1229" s="134"/>
      <c r="R1229" s="146"/>
      <c r="T1229" s="146"/>
      <c r="U1229" s="146"/>
      <c r="W1229" s="147"/>
      <c r="AB1229" s="156"/>
    </row>
    <row r="1230" spans="16:28" ht="15" customHeight="1" x14ac:dyDescent="0.45">
      <c r="P1230" s="134"/>
      <c r="R1230" s="146"/>
      <c r="T1230" s="146"/>
      <c r="U1230" s="146"/>
      <c r="W1230" s="147"/>
      <c r="AB1230" s="156"/>
    </row>
    <row r="1231" spans="16:28" ht="15" customHeight="1" x14ac:dyDescent="0.45">
      <c r="P1231" s="134"/>
      <c r="R1231" s="146"/>
      <c r="T1231" s="146"/>
      <c r="U1231" s="146"/>
      <c r="W1231" s="147"/>
      <c r="AB1231" s="156"/>
    </row>
    <row r="1232" spans="16:28" ht="15" customHeight="1" x14ac:dyDescent="0.45">
      <c r="P1232" s="134"/>
      <c r="R1232" s="146"/>
      <c r="T1232" s="146"/>
      <c r="U1232" s="146"/>
      <c r="W1232" s="147"/>
      <c r="AB1232" s="156"/>
    </row>
    <row r="1233" spans="16:28" ht="15" customHeight="1" x14ac:dyDescent="0.45">
      <c r="P1233" s="134"/>
      <c r="R1233" s="146"/>
      <c r="T1233" s="146"/>
      <c r="U1233" s="146"/>
      <c r="W1233" s="147"/>
      <c r="AB1233" s="156"/>
    </row>
    <row r="1234" spans="16:28" ht="15" customHeight="1" x14ac:dyDescent="0.45">
      <c r="P1234" s="134"/>
      <c r="R1234" s="146"/>
      <c r="T1234" s="146"/>
      <c r="U1234" s="146"/>
      <c r="W1234" s="147"/>
      <c r="AB1234" s="156"/>
    </row>
    <row r="1235" spans="16:28" ht="15" customHeight="1" x14ac:dyDescent="0.45">
      <c r="P1235" s="134"/>
      <c r="R1235" s="146"/>
      <c r="T1235" s="146"/>
      <c r="U1235" s="146"/>
      <c r="W1235" s="147"/>
      <c r="AB1235" s="156"/>
    </row>
    <row r="1236" spans="16:28" ht="15" customHeight="1" x14ac:dyDescent="0.45">
      <c r="P1236" s="134"/>
      <c r="R1236" s="146"/>
      <c r="T1236" s="146"/>
      <c r="U1236" s="146"/>
      <c r="W1236" s="147"/>
      <c r="AB1236" s="156"/>
    </row>
    <row r="1237" spans="16:28" ht="15" customHeight="1" x14ac:dyDescent="0.45">
      <c r="P1237" s="134"/>
      <c r="R1237" s="146"/>
      <c r="T1237" s="146"/>
      <c r="U1237" s="146"/>
      <c r="W1237" s="147"/>
      <c r="AB1237" s="156"/>
    </row>
    <row r="1238" spans="16:28" ht="15" customHeight="1" x14ac:dyDescent="0.45">
      <c r="P1238" s="134"/>
      <c r="R1238" s="146"/>
      <c r="T1238" s="146"/>
      <c r="U1238" s="146"/>
      <c r="W1238" s="147"/>
      <c r="AB1238" s="156"/>
    </row>
    <row r="1239" spans="16:28" ht="15" customHeight="1" x14ac:dyDescent="0.45">
      <c r="P1239" s="134"/>
      <c r="R1239" s="146"/>
      <c r="T1239" s="146"/>
      <c r="U1239" s="146"/>
      <c r="W1239" s="147"/>
      <c r="AB1239" s="156"/>
    </row>
    <row r="1240" spans="16:28" ht="15" customHeight="1" x14ac:dyDescent="0.45">
      <c r="P1240" s="134"/>
      <c r="R1240" s="146"/>
      <c r="T1240" s="146"/>
      <c r="U1240" s="146"/>
      <c r="W1240" s="147"/>
      <c r="AB1240" s="156"/>
    </row>
    <row r="1241" spans="16:28" ht="15" customHeight="1" x14ac:dyDescent="0.45">
      <c r="P1241" s="134"/>
      <c r="R1241" s="146"/>
      <c r="T1241" s="146"/>
      <c r="U1241" s="146"/>
      <c r="W1241" s="147"/>
      <c r="AB1241" s="156"/>
    </row>
    <row r="1242" spans="16:28" ht="15" customHeight="1" x14ac:dyDescent="0.45">
      <c r="P1242" s="134"/>
      <c r="R1242" s="146"/>
      <c r="T1242" s="146"/>
      <c r="U1242" s="146"/>
      <c r="W1242" s="147"/>
      <c r="AB1242" s="156"/>
    </row>
    <row r="1243" spans="16:28" ht="15" customHeight="1" x14ac:dyDescent="0.45">
      <c r="P1243" s="134"/>
      <c r="R1243" s="146"/>
      <c r="T1243" s="146"/>
      <c r="U1243" s="146"/>
      <c r="W1243" s="147"/>
      <c r="AB1243" s="156"/>
    </row>
    <row r="1244" spans="16:28" ht="15" customHeight="1" x14ac:dyDescent="0.45">
      <c r="P1244" s="134"/>
      <c r="R1244" s="146"/>
      <c r="T1244" s="146"/>
      <c r="U1244" s="146"/>
      <c r="W1244" s="147"/>
      <c r="AB1244" s="156"/>
    </row>
    <row r="1245" spans="16:28" ht="15" customHeight="1" x14ac:dyDescent="0.45">
      <c r="P1245" s="134"/>
      <c r="R1245" s="146"/>
      <c r="T1245" s="146"/>
      <c r="U1245" s="146"/>
      <c r="W1245" s="147"/>
      <c r="AB1245" s="156"/>
    </row>
    <row r="1246" spans="16:28" ht="15" customHeight="1" x14ac:dyDescent="0.45">
      <c r="P1246" s="134"/>
      <c r="R1246" s="146"/>
      <c r="T1246" s="146"/>
      <c r="U1246" s="146"/>
      <c r="W1246" s="147"/>
      <c r="AB1246" s="156"/>
    </row>
    <row r="1247" spans="16:28" ht="15" customHeight="1" x14ac:dyDescent="0.45">
      <c r="P1247" s="134"/>
      <c r="R1247" s="146"/>
      <c r="T1247" s="146"/>
      <c r="U1247" s="146"/>
      <c r="W1247" s="147"/>
      <c r="AB1247" s="156"/>
    </row>
    <row r="1248" spans="16:28" ht="15" customHeight="1" x14ac:dyDescent="0.45">
      <c r="P1248" s="134"/>
      <c r="R1248" s="146"/>
      <c r="T1248" s="146"/>
      <c r="U1248" s="146"/>
      <c r="W1248" s="147"/>
      <c r="AB1248" s="156"/>
    </row>
    <row r="1249" spans="16:28" ht="15" customHeight="1" x14ac:dyDescent="0.45">
      <c r="P1249" s="134"/>
      <c r="R1249" s="146"/>
      <c r="T1249" s="146"/>
      <c r="U1249" s="146"/>
      <c r="W1249" s="147"/>
      <c r="AB1249" s="156"/>
    </row>
    <row r="1250" spans="16:28" ht="15" customHeight="1" x14ac:dyDescent="0.45">
      <c r="P1250" s="134"/>
      <c r="R1250" s="146"/>
      <c r="T1250" s="146"/>
      <c r="U1250" s="146"/>
      <c r="W1250" s="147"/>
      <c r="AB1250" s="156"/>
    </row>
    <row r="1251" spans="16:28" ht="15" customHeight="1" x14ac:dyDescent="0.45">
      <c r="P1251" s="134"/>
      <c r="R1251" s="146"/>
      <c r="T1251" s="146"/>
      <c r="U1251" s="146"/>
      <c r="W1251" s="147"/>
      <c r="AB1251" s="156"/>
    </row>
    <row r="1252" spans="16:28" ht="15" customHeight="1" x14ac:dyDescent="0.45">
      <c r="P1252" s="134"/>
      <c r="R1252" s="146"/>
      <c r="T1252" s="146"/>
      <c r="U1252" s="146"/>
      <c r="W1252" s="147"/>
      <c r="AB1252" s="156"/>
    </row>
    <row r="1253" spans="16:28" ht="15" customHeight="1" x14ac:dyDescent="0.45">
      <c r="P1253" s="134"/>
      <c r="R1253" s="146"/>
      <c r="T1253" s="146"/>
      <c r="U1253" s="146"/>
      <c r="W1253" s="147"/>
      <c r="AB1253" s="156"/>
    </row>
    <row r="1254" spans="16:28" ht="15" customHeight="1" x14ac:dyDescent="0.45">
      <c r="P1254" s="134"/>
      <c r="R1254" s="146"/>
      <c r="T1254" s="146"/>
      <c r="U1254" s="146"/>
      <c r="W1254" s="147"/>
      <c r="AB1254" s="156"/>
    </row>
    <row r="1255" spans="16:28" ht="15" customHeight="1" x14ac:dyDescent="0.45">
      <c r="P1255" s="134"/>
      <c r="R1255" s="146"/>
      <c r="T1255" s="146"/>
      <c r="U1255" s="146"/>
      <c r="W1255" s="147"/>
      <c r="AB1255" s="156"/>
    </row>
    <row r="1256" spans="16:28" ht="15" customHeight="1" x14ac:dyDescent="0.45">
      <c r="P1256" s="134"/>
      <c r="R1256" s="146"/>
      <c r="T1256" s="146"/>
      <c r="U1256" s="146"/>
      <c r="W1256" s="147"/>
      <c r="AB1256" s="156"/>
    </row>
    <row r="1257" spans="16:28" ht="15" customHeight="1" x14ac:dyDescent="0.45">
      <c r="P1257" s="134"/>
      <c r="R1257" s="146"/>
      <c r="T1257" s="146"/>
      <c r="U1257" s="146"/>
      <c r="W1257" s="147"/>
      <c r="AB1257" s="156"/>
    </row>
    <row r="1258" spans="16:28" ht="15" customHeight="1" x14ac:dyDescent="0.45">
      <c r="P1258" s="134"/>
      <c r="R1258" s="146"/>
      <c r="T1258" s="146"/>
      <c r="U1258" s="146"/>
      <c r="W1258" s="147"/>
      <c r="AB1258" s="156"/>
    </row>
    <row r="1259" spans="16:28" ht="15" customHeight="1" x14ac:dyDescent="0.45">
      <c r="P1259" s="134"/>
      <c r="R1259" s="146"/>
      <c r="T1259" s="146"/>
      <c r="U1259" s="146"/>
      <c r="W1259" s="147"/>
      <c r="AB1259" s="156"/>
    </row>
    <row r="1260" spans="16:28" ht="15" customHeight="1" x14ac:dyDescent="0.45">
      <c r="P1260" s="134"/>
      <c r="R1260" s="146"/>
      <c r="T1260" s="146"/>
      <c r="U1260" s="146"/>
      <c r="W1260" s="147"/>
      <c r="AB1260" s="156"/>
    </row>
    <row r="1261" spans="16:28" ht="15" customHeight="1" x14ac:dyDescent="0.45">
      <c r="P1261" s="134"/>
      <c r="R1261" s="146"/>
      <c r="T1261" s="146"/>
      <c r="U1261" s="146"/>
      <c r="W1261" s="147"/>
      <c r="AB1261" s="156"/>
    </row>
    <row r="1262" spans="16:28" ht="15" customHeight="1" x14ac:dyDescent="0.45">
      <c r="P1262" s="134"/>
      <c r="R1262" s="146"/>
      <c r="T1262" s="146"/>
      <c r="U1262" s="146"/>
      <c r="W1262" s="147"/>
      <c r="AB1262" s="156"/>
    </row>
    <row r="1263" spans="16:28" ht="15" customHeight="1" x14ac:dyDescent="0.45">
      <c r="P1263" s="134"/>
      <c r="R1263" s="146"/>
      <c r="T1263" s="146"/>
      <c r="U1263" s="146"/>
      <c r="W1263" s="147"/>
      <c r="AB1263" s="156"/>
    </row>
    <row r="1264" spans="16:28" ht="15" customHeight="1" x14ac:dyDescent="0.45">
      <c r="P1264" s="134"/>
      <c r="R1264" s="146"/>
      <c r="T1264" s="146"/>
      <c r="U1264" s="146"/>
      <c r="W1264" s="147"/>
      <c r="AB1264" s="156"/>
    </row>
    <row r="1265" spans="16:28" ht="15" customHeight="1" x14ac:dyDescent="0.45">
      <c r="P1265" s="134"/>
      <c r="R1265" s="146"/>
      <c r="T1265" s="146"/>
      <c r="U1265" s="146"/>
      <c r="W1265" s="147"/>
      <c r="AB1265" s="156"/>
    </row>
    <row r="1266" spans="16:28" ht="15" customHeight="1" x14ac:dyDescent="0.45">
      <c r="P1266" s="134"/>
      <c r="R1266" s="146"/>
      <c r="T1266" s="146"/>
      <c r="U1266" s="146"/>
      <c r="W1266" s="147"/>
      <c r="AB1266" s="156"/>
    </row>
    <row r="1267" spans="16:28" ht="15" customHeight="1" x14ac:dyDescent="0.45">
      <c r="P1267" s="134"/>
      <c r="R1267" s="146"/>
      <c r="T1267" s="146"/>
      <c r="U1267" s="146"/>
      <c r="W1267" s="147"/>
      <c r="AB1267" s="156"/>
    </row>
    <row r="1268" spans="16:28" ht="15" customHeight="1" x14ac:dyDescent="0.45">
      <c r="P1268" s="134"/>
      <c r="R1268" s="146"/>
      <c r="T1268" s="146"/>
      <c r="U1268" s="146"/>
      <c r="W1268" s="147"/>
      <c r="AB1268" s="156"/>
    </row>
    <row r="1269" spans="16:28" ht="15" customHeight="1" x14ac:dyDescent="0.45">
      <c r="P1269" s="134"/>
      <c r="R1269" s="146"/>
      <c r="T1269" s="146"/>
      <c r="U1269" s="146"/>
      <c r="W1269" s="147"/>
      <c r="AB1269" s="156"/>
    </row>
    <row r="1270" spans="16:28" ht="15" customHeight="1" x14ac:dyDescent="0.45">
      <c r="P1270" s="134"/>
      <c r="R1270" s="146"/>
      <c r="T1270" s="146"/>
      <c r="U1270" s="146"/>
      <c r="W1270" s="147"/>
      <c r="AB1270" s="156"/>
    </row>
    <row r="1271" spans="16:28" ht="15" customHeight="1" x14ac:dyDescent="0.45">
      <c r="P1271" s="134"/>
      <c r="R1271" s="146"/>
      <c r="T1271" s="146"/>
      <c r="U1271" s="146"/>
      <c r="W1271" s="147"/>
      <c r="AB1271" s="156"/>
    </row>
    <row r="1272" spans="16:28" ht="15" customHeight="1" x14ac:dyDescent="0.45">
      <c r="P1272" s="134"/>
      <c r="R1272" s="146"/>
      <c r="T1272" s="146"/>
      <c r="U1272" s="146"/>
      <c r="W1272" s="147"/>
      <c r="AB1272" s="156"/>
    </row>
    <row r="1273" spans="16:28" ht="15" customHeight="1" x14ac:dyDescent="0.45">
      <c r="P1273" s="134"/>
      <c r="R1273" s="146"/>
      <c r="T1273" s="146"/>
      <c r="U1273" s="146"/>
      <c r="W1273" s="147"/>
      <c r="AB1273" s="156"/>
    </row>
    <row r="1274" spans="16:28" ht="15" customHeight="1" x14ac:dyDescent="0.45">
      <c r="P1274" s="134"/>
      <c r="R1274" s="146"/>
      <c r="T1274" s="146"/>
      <c r="U1274" s="146"/>
      <c r="W1274" s="147"/>
      <c r="AB1274" s="156"/>
    </row>
    <row r="1275" spans="16:28" ht="15" customHeight="1" x14ac:dyDescent="0.45">
      <c r="P1275" s="134"/>
      <c r="R1275" s="146"/>
      <c r="T1275" s="146"/>
      <c r="U1275" s="146"/>
      <c r="W1275" s="147"/>
      <c r="AB1275" s="156"/>
    </row>
    <row r="1276" spans="16:28" ht="15" customHeight="1" x14ac:dyDescent="0.45">
      <c r="P1276" s="134"/>
      <c r="R1276" s="146"/>
      <c r="T1276" s="146"/>
      <c r="U1276" s="146"/>
      <c r="W1276" s="147"/>
      <c r="AB1276" s="156"/>
    </row>
    <row r="1277" spans="16:28" ht="15" customHeight="1" x14ac:dyDescent="0.45">
      <c r="P1277" s="134"/>
      <c r="R1277" s="146"/>
      <c r="T1277" s="146"/>
      <c r="U1277" s="146"/>
      <c r="W1277" s="147"/>
      <c r="AB1277" s="156"/>
    </row>
    <row r="1278" spans="16:28" ht="15" customHeight="1" x14ac:dyDescent="0.45">
      <c r="P1278" s="134"/>
      <c r="R1278" s="146"/>
      <c r="T1278" s="146"/>
      <c r="U1278" s="146"/>
      <c r="W1278" s="147"/>
      <c r="AB1278" s="156"/>
    </row>
    <row r="1279" spans="16:28" ht="15" customHeight="1" x14ac:dyDescent="0.45">
      <c r="P1279" s="134"/>
      <c r="R1279" s="146"/>
      <c r="T1279" s="146"/>
      <c r="U1279" s="146"/>
      <c r="W1279" s="147"/>
      <c r="AB1279" s="156"/>
    </row>
    <row r="1280" spans="16:28" ht="15" customHeight="1" x14ac:dyDescent="0.45">
      <c r="P1280" s="134"/>
      <c r="R1280" s="146"/>
      <c r="T1280" s="146"/>
      <c r="U1280" s="146"/>
      <c r="W1280" s="147"/>
      <c r="AB1280" s="156"/>
    </row>
    <row r="1281" spans="16:28" ht="15" customHeight="1" x14ac:dyDescent="0.45">
      <c r="P1281" s="134"/>
      <c r="R1281" s="146"/>
      <c r="T1281" s="146"/>
      <c r="U1281" s="146"/>
      <c r="W1281" s="147"/>
      <c r="AB1281" s="156"/>
    </row>
    <row r="1282" spans="16:28" ht="15" customHeight="1" x14ac:dyDescent="0.45">
      <c r="P1282" s="134"/>
      <c r="R1282" s="146"/>
      <c r="T1282" s="146"/>
      <c r="U1282" s="146"/>
      <c r="W1282" s="147"/>
      <c r="AB1282" s="156"/>
    </row>
    <row r="1283" spans="16:28" ht="15" customHeight="1" x14ac:dyDescent="0.45">
      <c r="P1283" s="134"/>
      <c r="R1283" s="146"/>
      <c r="T1283" s="146"/>
      <c r="U1283" s="146"/>
      <c r="W1283" s="147"/>
      <c r="AB1283" s="156"/>
    </row>
    <row r="1284" spans="16:28" ht="15" customHeight="1" x14ac:dyDescent="0.45">
      <c r="P1284" s="134"/>
      <c r="R1284" s="146"/>
      <c r="T1284" s="146"/>
      <c r="U1284" s="146"/>
      <c r="W1284" s="147"/>
      <c r="AB1284" s="156"/>
    </row>
    <row r="1285" spans="16:28" ht="15" customHeight="1" x14ac:dyDescent="0.45">
      <c r="P1285" s="134"/>
      <c r="R1285" s="146"/>
      <c r="T1285" s="146"/>
      <c r="U1285" s="146"/>
      <c r="W1285" s="147"/>
      <c r="AB1285" s="156"/>
    </row>
    <row r="1286" spans="16:28" ht="15" customHeight="1" x14ac:dyDescent="0.45">
      <c r="P1286" s="134"/>
      <c r="R1286" s="146"/>
      <c r="T1286" s="146"/>
      <c r="U1286" s="146"/>
      <c r="W1286" s="147"/>
      <c r="AB1286" s="156"/>
    </row>
    <row r="1287" spans="16:28" ht="15" customHeight="1" x14ac:dyDescent="0.45">
      <c r="P1287" s="134"/>
      <c r="R1287" s="146"/>
      <c r="T1287" s="146"/>
      <c r="U1287" s="146"/>
      <c r="W1287" s="147"/>
      <c r="AB1287" s="156"/>
    </row>
    <row r="1288" spans="16:28" ht="15" customHeight="1" x14ac:dyDescent="0.45">
      <c r="P1288" s="134"/>
      <c r="R1288" s="146"/>
      <c r="T1288" s="146"/>
      <c r="U1288" s="146"/>
      <c r="W1288" s="147"/>
      <c r="AB1288" s="156"/>
    </row>
    <row r="1289" spans="16:28" ht="15" customHeight="1" x14ac:dyDescent="0.45">
      <c r="P1289" s="134"/>
      <c r="R1289" s="146"/>
      <c r="T1289" s="146"/>
      <c r="U1289" s="146"/>
      <c r="W1289" s="147"/>
      <c r="AB1289" s="156"/>
    </row>
    <row r="1290" spans="16:28" ht="15" customHeight="1" x14ac:dyDescent="0.45">
      <c r="P1290" s="134"/>
      <c r="R1290" s="146"/>
      <c r="T1290" s="146"/>
      <c r="U1290" s="146"/>
      <c r="W1290" s="147"/>
      <c r="AB1290" s="156"/>
    </row>
    <row r="1291" spans="16:28" ht="15" customHeight="1" x14ac:dyDescent="0.45">
      <c r="P1291" s="134"/>
      <c r="R1291" s="146"/>
      <c r="T1291" s="146"/>
      <c r="U1291" s="146"/>
      <c r="W1291" s="147"/>
      <c r="AB1291" s="156"/>
    </row>
    <row r="1292" spans="16:28" ht="15" customHeight="1" x14ac:dyDescent="0.45">
      <c r="P1292" s="134"/>
      <c r="R1292" s="146"/>
      <c r="T1292" s="146"/>
      <c r="U1292" s="146"/>
      <c r="W1292" s="147"/>
      <c r="AB1292" s="156"/>
    </row>
    <row r="1293" spans="16:28" ht="15" customHeight="1" x14ac:dyDescent="0.45">
      <c r="P1293" s="134"/>
      <c r="R1293" s="146"/>
      <c r="T1293" s="146"/>
      <c r="U1293" s="146"/>
      <c r="W1293" s="147"/>
      <c r="AB1293" s="156"/>
    </row>
    <row r="1294" spans="16:28" ht="15" customHeight="1" x14ac:dyDescent="0.45">
      <c r="P1294" s="134"/>
      <c r="R1294" s="146"/>
      <c r="T1294" s="146"/>
      <c r="U1294" s="146"/>
      <c r="W1294" s="147"/>
      <c r="AB1294" s="156"/>
    </row>
    <row r="1295" spans="16:28" ht="15" customHeight="1" x14ac:dyDescent="0.45">
      <c r="P1295" s="134"/>
      <c r="R1295" s="146"/>
      <c r="T1295" s="146"/>
      <c r="U1295" s="146"/>
      <c r="W1295" s="147"/>
      <c r="AB1295" s="156"/>
    </row>
    <row r="1296" spans="16:28" ht="15" customHeight="1" x14ac:dyDescent="0.45">
      <c r="P1296" s="134"/>
      <c r="R1296" s="146"/>
      <c r="T1296" s="146"/>
      <c r="U1296" s="146"/>
      <c r="W1296" s="147"/>
      <c r="AB1296" s="156"/>
    </row>
    <row r="1297" spans="16:28" ht="15" customHeight="1" x14ac:dyDescent="0.45">
      <c r="P1297" s="134"/>
      <c r="R1297" s="146"/>
      <c r="T1297" s="146"/>
      <c r="U1297" s="146"/>
      <c r="W1297" s="147"/>
      <c r="AB1297" s="156"/>
    </row>
    <row r="1298" spans="16:28" ht="15" customHeight="1" x14ac:dyDescent="0.45">
      <c r="P1298" s="134"/>
      <c r="R1298" s="146"/>
      <c r="T1298" s="146"/>
      <c r="U1298" s="146"/>
      <c r="W1298" s="147"/>
      <c r="AB1298" s="156"/>
    </row>
    <row r="1299" spans="16:28" ht="15" customHeight="1" x14ac:dyDescent="0.45">
      <c r="P1299" s="134"/>
      <c r="R1299" s="146"/>
      <c r="T1299" s="146"/>
      <c r="U1299" s="146"/>
      <c r="W1299" s="147"/>
      <c r="AB1299" s="156"/>
    </row>
    <row r="1300" spans="16:28" ht="15" customHeight="1" x14ac:dyDescent="0.45">
      <c r="P1300" s="134"/>
      <c r="R1300" s="146"/>
      <c r="T1300" s="146"/>
      <c r="U1300" s="146"/>
      <c r="W1300" s="147"/>
      <c r="AB1300" s="156"/>
    </row>
    <row r="1301" spans="16:28" ht="15" customHeight="1" x14ac:dyDescent="0.45">
      <c r="P1301" s="134"/>
      <c r="R1301" s="146"/>
      <c r="T1301" s="146"/>
      <c r="U1301" s="146"/>
      <c r="W1301" s="147"/>
      <c r="AB1301" s="156"/>
    </row>
    <row r="1302" spans="16:28" ht="15" customHeight="1" x14ac:dyDescent="0.45">
      <c r="P1302" s="134"/>
      <c r="R1302" s="146"/>
      <c r="T1302" s="146"/>
      <c r="U1302" s="146"/>
      <c r="W1302" s="147"/>
      <c r="AB1302" s="156"/>
    </row>
    <row r="1303" spans="16:28" ht="15" customHeight="1" x14ac:dyDescent="0.45">
      <c r="P1303" s="134"/>
      <c r="R1303" s="146"/>
      <c r="T1303" s="146"/>
      <c r="U1303" s="146"/>
      <c r="W1303" s="147"/>
      <c r="AB1303" s="156"/>
    </row>
    <row r="1304" spans="16:28" ht="15" customHeight="1" x14ac:dyDescent="0.45">
      <c r="P1304" s="134"/>
      <c r="R1304" s="146"/>
      <c r="T1304" s="146"/>
      <c r="U1304" s="146"/>
      <c r="W1304" s="147"/>
      <c r="AB1304" s="156"/>
    </row>
    <row r="1305" spans="16:28" ht="15" customHeight="1" x14ac:dyDescent="0.45">
      <c r="P1305" s="134"/>
      <c r="R1305" s="146"/>
      <c r="T1305" s="146"/>
      <c r="U1305" s="146"/>
      <c r="W1305" s="147"/>
      <c r="AB1305" s="156"/>
    </row>
    <row r="1306" spans="16:28" ht="15" customHeight="1" x14ac:dyDescent="0.45">
      <c r="P1306" s="134"/>
      <c r="R1306" s="146"/>
      <c r="T1306" s="146"/>
      <c r="U1306" s="146"/>
      <c r="W1306" s="147"/>
      <c r="AB1306" s="156"/>
    </row>
    <row r="1307" spans="16:28" ht="15" customHeight="1" x14ac:dyDescent="0.45">
      <c r="P1307" s="134"/>
      <c r="R1307" s="146"/>
      <c r="T1307" s="146"/>
      <c r="U1307" s="146"/>
      <c r="W1307" s="147"/>
      <c r="AB1307" s="156"/>
    </row>
    <row r="1308" spans="16:28" ht="15" customHeight="1" x14ac:dyDescent="0.45">
      <c r="P1308" s="134"/>
      <c r="R1308" s="146"/>
      <c r="T1308" s="146"/>
      <c r="U1308" s="146"/>
      <c r="W1308" s="147"/>
      <c r="AB1308" s="156"/>
    </row>
    <row r="1309" spans="16:28" ht="15" customHeight="1" x14ac:dyDescent="0.45">
      <c r="P1309" s="134"/>
      <c r="R1309" s="146"/>
      <c r="T1309" s="146"/>
      <c r="U1309" s="146"/>
      <c r="W1309" s="147"/>
      <c r="AB1309" s="156"/>
    </row>
    <row r="1310" spans="16:28" ht="15" customHeight="1" x14ac:dyDescent="0.45">
      <c r="P1310" s="134"/>
      <c r="R1310" s="146"/>
      <c r="T1310" s="146"/>
      <c r="U1310" s="146"/>
      <c r="W1310" s="147"/>
      <c r="AB1310" s="156"/>
    </row>
    <row r="1311" spans="16:28" ht="15" customHeight="1" x14ac:dyDescent="0.45">
      <c r="P1311" s="134"/>
      <c r="R1311" s="146"/>
      <c r="T1311" s="146"/>
      <c r="U1311" s="146"/>
      <c r="W1311" s="147"/>
      <c r="AB1311" s="156"/>
    </row>
    <row r="1312" spans="16:28" ht="15" customHeight="1" x14ac:dyDescent="0.45">
      <c r="P1312" s="134"/>
      <c r="R1312" s="146"/>
      <c r="T1312" s="146"/>
      <c r="U1312" s="146"/>
      <c r="W1312" s="147"/>
      <c r="AB1312" s="156"/>
    </row>
    <row r="1313" spans="16:28" ht="15" customHeight="1" x14ac:dyDescent="0.45">
      <c r="P1313" s="134"/>
      <c r="R1313" s="146"/>
      <c r="T1313" s="146"/>
      <c r="U1313" s="146"/>
      <c r="W1313" s="147"/>
      <c r="AB1313" s="156"/>
    </row>
    <row r="1314" spans="16:28" ht="15" customHeight="1" x14ac:dyDescent="0.45">
      <c r="P1314" s="134"/>
      <c r="R1314" s="146"/>
      <c r="T1314" s="146"/>
      <c r="U1314" s="146"/>
      <c r="W1314" s="147"/>
      <c r="AB1314" s="156"/>
    </row>
    <row r="1315" spans="16:28" ht="15" customHeight="1" x14ac:dyDescent="0.45">
      <c r="P1315" s="134"/>
      <c r="R1315" s="146"/>
      <c r="T1315" s="146"/>
      <c r="U1315" s="146"/>
      <c r="W1315" s="147"/>
      <c r="AB1315" s="156"/>
    </row>
    <row r="1316" spans="16:28" ht="15" customHeight="1" x14ac:dyDescent="0.45">
      <c r="P1316" s="134"/>
      <c r="R1316" s="146"/>
      <c r="T1316" s="146"/>
      <c r="U1316" s="146"/>
      <c r="W1316" s="147"/>
      <c r="AB1316" s="156"/>
    </row>
    <row r="1317" spans="16:28" ht="15" customHeight="1" x14ac:dyDescent="0.45">
      <c r="P1317" s="134"/>
      <c r="R1317" s="146"/>
      <c r="T1317" s="146"/>
      <c r="U1317" s="146"/>
      <c r="W1317" s="147"/>
      <c r="AB1317" s="156"/>
    </row>
    <row r="1318" spans="16:28" ht="15" customHeight="1" x14ac:dyDescent="0.45">
      <c r="P1318" s="134"/>
      <c r="R1318" s="146"/>
      <c r="T1318" s="146"/>
      <c r="U1318" s="146"/>
      <c r="W1318" s="147"/>
      <c r="AB1318" s="156"/>
    </row>
    <row r="1319" spans="16:28" ht="15" customHeight="1" x14ac:dyDescent="0.45">
      <c r="P1319" s="134"/>
      <c r="R1319" s="146"/>
      <c r="T1319" s="146"/>
      <c r="U1319" s="146"/>
      <c r="W1319" s="147"/>
      <c r="AB1319" s="156"/>
    </row>
    <row r="1320" spans="16:28" ht="15" customHeight="1" x14ac:dyDescent="0.45">
      <c r="P1320" s="134"/>
      <c r="R1320" s="146"/>
      <c r="T1320" s="146"/>
      <c r="U1320" s="146"/>
      <c r="W1320" s="147"/>
      <c r="AB1320" s="156"/>
    </row>
    <row r="1321" spans="16:28" ht="15" customHeight="1" x14ac:dyDescent="0.45">
      <c r="P1321" s="134"/>
      <c r="R1321" s="146"/>
      <c r="T1321" s="146"/>
      <c r="U1321" s="146"/>
      <c r="W1321" s="147"/>
      <c r="AB1321" s="156"/>
    </row>
    <row r="1322" spans="16:28" ht="15" customHeight="1" x14ac:dyDescent="0.45">
      <c r="P1322" s="134"/>
      <c r="R1322" s="146"/>
      <c r="T1322" s="146"/>
      <c r="U1322" s="146"/>
      <c r="W1322" s="147"/>
      <c r="AB1322" s="156"/>
    </row>
    <row r="1323" spans="16:28" ht="15" customHeight="1" x14ac:dyDescent="0.45">
      <c r="P1323" s="134"/>
      <c r="R1323" s="146"/>
      <c r="T1323" s="146"/>
      <c r="U1323" s="146"/>
      <c r="W1323" s="147"/>
      <c r="AB1323" s="156"/>
    </row>
    <row r="1324" spans="16:28" ht="15" customHeight="1" x14ac:dyDescent="0.45">
      <c r="P1324" s="134"/>
      <c r="R1324" s="146"/>
      <c r="T1324" s="146"/>
      <c r="U1324" s="146"/>
      <c r="W1324" s="147"/>
      <c r="AB1324" s="156"/>
    </row>
    <row r="1325" spans="16:28" ht="15" customHeight="1" x14ac:dyDescent="0.45">
      <c r="P1325" s="134"/>
      <c r="R1325" s="146"/>
      <c r="T1325" s="146"/>
      <c r="U1325" s="146"/>
      <c r="W1325" s="147"/>
      <c r="AB1325" s="156"/>
    </row>
    <row r="1326" spans="16:28" ht="15" customHeight="1" x14ac:dyDescent="0.45">
      <c r="P1326" s="134"/>
      <c r="R1326" s="146"/>
      <c r="T1326" s="146"/>
      <c r="U1326" s="146"/>
      <c r="W1326" s="147"/>
      <c r="AB1326" s="156"/>
    </row>
    <row r="1327" spans="16:28" ht="15" customHeight="1" x14ac:dyDescent="0.45">
      <c r="P1327" s="134"/>
      <c r="R1327" s="146"/>
      <c r="T1327" s="146"/>
      <c r="U1327" s="146"/>
      <c r="W1327" s="147"/>
      <c r="AB1327" s="156"/>
    </row>
    <row r="1328" spans="16:28" ht="15" customHeight="1" x14ac:dyDescent="0.45">
      <c r="P1328" s="134"/>
      <c r="R1328" s="146"/>
      <c r="T1328" s="146"/>
      <c r="U1328" s="146"/>
      <c r="W1328" s="147"/>
      <c r="AB1328" s="156"/>
    </row>
    <row r="1329" spans="16:28" ht="15" customHeight="1" x14ac:dyDescent="0.45">
      <c r="P1329" s="134"/>
      <c r="R1329" s="146"/>
      <c r="T1329" s="146"/>
      <c r="U1329" s="146"/>
      <c r="W1329" s="147"/>
      <c r="AB1329" s="156"/>
    </row>
    <row r="1330" spans="16:28" ht="15" customHeight="1" x14ac:dyDescent="0.45">
      <c r="P1330" s="134"/>
      <c r="R1330" s="146"/>
      <c r="T1330" s="146"/>
      <c r="U1330" s="146"/>
      <c r="W1330" s="147"/>
      <c r="AB1330" s="156"/>
    </row>
    <row r="1331" spans="16:28" ht="15" customHeight="1" x14ac:dyDescent="0.45">
      <c r="P1331" s="134"/>
      <c r="R1331" s="146"/>
      <c r="T1331" s="146"/>
      <c r="U1331" s="146"/>
      <c r="W1331" s="147"/>
      <c r="AB1331" s="156"/>
    </row>
    <row r="1332" spans="16:28" ht="15" customHeight="1" x14ac:dyDescent="0.45">
      <c r="P1332" s="134"/>
      <c r="R1332" s="146"/>
      <c r="T1332" s="146"/>
      <c r="U1332" s="146"/>
      <c r="W1332" s="147"/>
      <c r="AB1332" s="156"/>
    </row>
    <row r="1333" spans="16:28" ht="15" customHeight="1" x14ac:dyDescent="0.45">
      <c r="P1333" s="134"/>
      <c r="R1333" s="146"/>
      <c r="T1333" s="146"/>
      <c r="U1333" s="146"/>
      <c r="W1333" s="147"/>
      <c r="AB1333" s="156"/>
    </row>
    <row r="1334" spans="16:28" ht="15" customHeight="1" x14ac:dyDescent="0.45">
      <c r="P1334" s="134"/>
      <c r="R1334" s="146"/>
      <c r="T1334" s="146"/>
      <c r="U1334" s="146"/>
      <c r="W1334" s="147"/>
      <c r="AB1334" s="156"/>
    </row>
    <row r="1335" spans="16:28" ht="15" customHeight="1" x14ac:dyDescent="0.45">
      <c r="P1335" s="134"/>
      <c r="R1335" s="146"/>
      <c r="T1335" s="146"/>
      <c r="U1335" s="146"/>
      <c r="W1335" s="147"/>
      <c r="AB1335" s="156"/>
    </row>
    <row r="1336" spans="16:28" ht="15" customHeight="1" x14ac:dyDescent="0.45">
      <c r="P1336" s="134"/>
      <c r="R1336" s="146"/>
      <c r="T1336" s="146"/>
      <c r="U1336" s="146"/>
      <c r="W1336" s="147"/>
      <c r="AB1336" s="156"/>
    </row>
    <row r="1337" spans="16:28" ht="15" customHeight="1" x14ac:dyDescent="0.45">
      <c r="P1337" s="134"/>
      <c r="R1337" s="146"/>
      <c r="T1337" s="146"/>
      <c r="U1337" s="146"/>
      <c r="W1337" s="147"/>
      <c r="AB1337" s="156"/>
    </row>
    <row r="1338" spans="16:28" ht="15" customHeight="1" x14ac:dyDescent="0.45">
      <c r="P1338" s="134"/>
      <c r="R1338" s="146"/>
      <c r="T1338" s="146"/>
      <c r="U1338" s="146"/>
      <c r="W1338" s="147"/>
      <c r="AB1338" s="156"/>
    </row>
    <row r="1339" spans="16:28" ht="15" customHeight="1" x14ac:dyDescent="0.45">
      <c r="P1339" s="134"/>
      <c r="R1339" s="146"/>
      <c r="T1339" s="146"/>
      <c r="U1339" s="146"/>
      <c r="W1339" s="147"/>
      <c r="AB1339" s="156"/>
    </row>
    <row r="1340" spans="16:28" ht="15" customHeight="1" x14ac:dyDescent="0.45">
      <c r="P1340" s="134"/>
      <c r="R1340" s="146"/>
      <c r="T1340" s="146"/>
      <c r="U1340" s="146"/>
      <c r="W1340" s="147"/>
      <c r="AB1340" s="156"/>
    </row>
    <row r="1341" spans="16:28" ht="15" customHeight="1" x14ac:dyDescent="0.45">
      <c r="P1341" s="134"/>
      <c r="R1341" s="146"/>
      <c r="T1341" s="146"/>
      <c r="U1341" s="146"/>
      <c r="W1341" s="147"/>
      <c r="AB1341" s="156"/>
    </row>
    <row r="1342" spans="16:28" ht="15" customHeight="1" x14ac:dyDescent="0.45">
      <c r="P1342" s="134"/>
      <c r="R1342" s="146"/>
      <c r="T1342" s="146"/>
      <c r="U1342" s="146"/>
      <c r="W1342" s="147"/>
      <c r="AB1342" s="156"/>
    </row>
    <row r="1343" spans="16:28" ht="15" customHeight="1" x14ac:dyDescent="0.45">
      <c r="P1343" s="134"/>
      <c r="R1343" s="146"/>
      <c r="T1343" s="146"/>
      <c r="U1343" s="146"/>
      <c r="W1343" s="147"/>
      <c r="AB1343" s="156"/>
    </row>
    <row r="1344" spans="16:28" ht="15" customHeight="1" x14ac:dyDescent="0.45">
      <c r="P1344" s="134"/>
      <c r="R1344" s="146"/>
      <c r="T1344" s="146"/>
      <c r="U1344" s="146"/>
      <c r="W1344" s="147"/>
      <c r="AB1344" s="156"/>
    </row>
    <row r="1345" spans="16:28" ht="15" customHeight="1" x14ac:dyDescent="0.45">
      <c r="P1345" s="134"/>
      <c r="R1345" s="146"/>
      <c r="T1345" s="146"/>
      <c r="U1345" s="146"/>
      <c r="W1345" s="147"/>
      <c r="AB1345" s="156"/>
    </row>
    <row r="1346" spans="16:28" ht="15" customHeight="1" x14ac:dyDescent="0.45">
      <c r="P1346" s="134"/>
      <c r="R1346" s="146"/>
      <c r="T1346" s="146"/>
      <c r="U1346" s="146"/>
      <c r="W1346" s="147"/>
      <c r="AB1346" s="156"/>
    </row>
    <row r="1347" spans="16:28" ht="15" customHeight="1" x14ac:dyDescent="0.45">
      <c r="P1347" s="134"/>
      <c r="R1347" s="146"/>
      <c r="T1347" s="146"/>
      <c r="U1347" s="146"/>
      <c r="W1347" s="147"/>
      <c r="AB1347" s="156"/>
    </row>
    <row r="1348" spans="16:28" ht="15" customHeight="1" x14ac:dyDescent="0.45">
      <c r="P1348" s="134"/>
      <c r="R1348" s="146"/>
      <c r="T1348" s="146"/>
      <c r="U1348" s="146"/>
      <c r="W1348" s="147"/>
      <c r="AB1348" s="156"/>
    </row>
    <row r="1349" spans="16:28" ht="15" customHeight="1" x14ac:dyDescent="0.45">
      <c r="P1349" s="134"/>
      <c r="R1349" s="146"/>
      <c r="T1349" s="146"/>
      <c r="U1349" s="146"/>
      <c r="W1349" s="147"/>
      <c r="AB1349" s="156"/>
    </row>
    <row r="1350" spans="16:28" ht="15" customHeight="1" x14ac:dyDescent="0.45">
      <c r="P1350" s="134"/>
      <c r="R1350" s="146"/>
      <c r="T1350" s="146"/>
      <c r="U1350" s="146"/>
      <c r="W1350" s="147"/>
      <c r="AB1350" s="156"/>
    </row>
    <row r="1351" spans="16:28" ht="15" customHeight="1" x14ac:dyDescent="0.45">
      <c r="P1351" s="134"/>
      <c r="R1351" s="146"/>
      <c r="T1351" s="146"/>
      <c r="U1351" s="146"/>
      <c r="W1351" s="147"/>
      <c r="AB1351" s="156"/>
    </row>
    <row r="1352" spans="16:28" ht="15" customHeight="1" x14ac:dyDescent="0.45">
      <c r="P1352" s="134"/>
      <c r="R1352" s="146"/>
      <c r="T1352" s="146"/>
      <c r="U1352" s="146"/>
      <c r="W1352" s="147"/>
      <c r="AB1352" s="156"/>
    </row>
    <row r="1353" spans="16:28" ht="15" customHeight="1" x14ac:dyDescent="0.45">
      <c r="P1353" s="134"/>
      <c r="R1353" s="146"/>
      <c r="T1353" s="146"/>
      <c r="U1353" s="146"/>
      <c r="W1353" s="147"/>
      <c r="AB1353" s="156"/>
    </row>
    <row r="1354" spans="16:28" ht="15" customHeight="1" x14ac:dyDescent="0.45">
      <c r="P1354" s="134"/>
      <c r="R1354" s="146"/>
      <c r="T1354" s="146"/>
      <c r="U1354" s="146"/>
      <c r="W1354" s="147"/>
      <c r="AB1354" s="156"/>
    </row>
    <row r="1355" spans="16:28" ht="15" customHeight="1" x14ac:dyDescent="0.45">
      <c r="P1355" s="134"/>
      <c r="R1355" s="146"/>
      <c r="T1355" s="146"/>
      <c r="U1355" s="146"/>
      <c r="W1355" s="147"/>
      <c r="AB1355" s="156"/>
    </row>
    <row r="1356" spans="16:28" ht="15" customHeight="1" x14ac:dyDescent="0.45">
      <c r="P1356" s="134"/>
      <c r="R1356" s="146"/>
      <c r="T1356" s="146"/>
      <c r="U1356" s="146"/>
      <c r="W1356" s="147"/>
      <c r="AB1356" s="156"/>
    </row>
    <row r="1357" spans="16:28" ht="15" customHeight="1" x14ac:dyDescent="0.45">
      <c r="P1357" s="134"/>
      <c r="R1357" s="146"/>
      <c r="T1357" s="146"/>
      <c r="U1357" s="146"/>
      <c r="W1357" s="147"/>
      <c r="AB1357" s="156"/>
    </row>
    <row r="1358" spans="16:28" ht="15" customHeight="1" x14ac:dyDescent="0.45">
      <c r="P1358" s="134"/>
      <c r="R1358" s="146"/>
      <c r="T1358" s="146"/>
      <c r="U1358" s="146"/>
      <c r="W1358" s="147"/>
      <c r="AB1358" s="156"/>
    </row>
    <row r="1359" spans="16:28" ht="15" customHeight="1" x14ac:dyDescent="0.45">
      <c r="P1359" s="134"/>
      <c r="R1359" s="146"/>
      <c r="T1359" s="146"/>
      <c r="U1359" s="146"/>
      <c r="W1359" s="147"/>
      <c r="AB1359" s="156"/>
    </row>
    <row r="1360" spans="16:28" ht="15" customHeight="1" x14ac:dyDescent="0.45">
      <c r="P1360" s="134"/>
      <c r="R1360" s="146"/>
      <c r="T1360" s="146"/>
      <c r="U1360" s="146"/>
      <c r="W1360" s="147"/>
      <c r="AB1360" s="156"/>
    </row>
    <row r="1361" spans="16:28" ht="15" customHeight="1" x14ac:dyDescent="0.45">
      <c r="P1361" s="134"/>
      <c r="R1361" s="146"/>
      <c r="T1361" s="146"/>
      <c r="U1361" s="146"/>
      <c r="W1361" s="147"/>
      <c r="AB1361" s="156"/>
    </row>
    <row r="1362" spans="16:28" ht="15" customHeight="1" x14ac:dyDescent="0.45">
      <c r="P1362" s="134"/>
      <c r="R1362" s="146"/>
      <c r="T1362" s="146"/>
      <c r="U1362" s="146"/>
      <c r="W1362" s="147"/>
      <c r="AB1362" s="156"/>
    </row>
    <row r="1363" spans="16:28" ht="15" customHeight="1" x14ac:dyDescent="0.45">
      <c r="P1363" s="134"/>
      <c r="R1363" s="146"/>
      <c r="T1363" s="146"/>
      <c r="U1363" s="146"/>
      <c r="W1363" s="147"/>
      <c r="AB1363" s="156"/>
    </row>
    <row r="1364" spans="16:28" ht="15" customHeight="1" x14ac:dyDescent="0.45">
      <c r="P1364" s="134"/>
      <c r="R1364" s="146"/>
      <c r="T1364" s="146"/>
      <c r="U1364" s="146"/>
      <c r="W1364" s="147"/>
      <c r="AB1364" s="156"/>
    </row>
    <row r="1365" spans="16:28" ht="15" customHeight="1" x14ac:dyDescent="0.45">
      <c r="P1365" s="134"/>
      <c r="R1365" s="146"/>
      <c r="T1365" s="146"/>
      <c r="U1365" s="146"/>
      <c r="W1365" s="147"/>
      <c r="AB1365" s="156"/>
    </row>
    <row r="1366" spans="16:28" ht="15" customHeight="1" x14ac:dyDescent="0.45">
      <c r="P1366" s="134"/>
      <c r="R1366" s="146"/>
      <c r="T1366" s="146"/>
      <c r="U1366" s="146"/>
      <c r="W1366" s="147"/>
      <c r="AB1366" s="156"/>
    </row>
    <row r="1367" spans="16:28" ht="15" customHeight="1" x14ac:dyDescent="0.45">
      <c r="P1367" s="134"/>
      <c r="R1367" s="146"/>
      <c r="T1367" s="146"/>
      <c r="U1367" s="146"/>
      <c r="W1367" s="147"/>
      <c r="AB1367" s="156"/>
    </row>
    <row r="1368" spans="16:28" ht="15" customHeight="1" x14ac:dyDescent="0.45">
      <c r="P1368" s="134"/>
      <c r="R1368" s="146"/>
      <c r="T1368" s="146"/>
      <c r="U1368" s="146"/>
      <c r="W1368" s="147"/>
      <c r="AB1368" s="156"/>
    </row>
    <row r="1369" spans="16:28" ht="15" customHeight="1" x14ac:dyDescent="0.45">
      <c r="P1369" s="134"/>
      <c r="R1369" s="146"/>
      <c r="T1369" s="146"/>
      <c r="U1369" s="146"/>
      <c r="W1369" s="147"/>
      <c r="AB1369" s="156"/>
    </row>
    <row r="1370" spans="16:28" ht="15" customHeight="1" x14ac:dyDescent="0.45">
      <c r="P1370" s="134"/>
      <c r="R1370" s="146"/>
      <c r="T1370" s="146"/>
      <c r="U1370" s="146"/>
      <c r="W1370" s="147"/>
      <c r="AB1370" s="156"/>
    </row>
    <row r="1371" spans="16:28" ht="15" customHeight="1" x14ac:dyDescent="0.45">
      <c r="P1371" s="134"/>
      <c r="R1371" s="146"/>
      <c r="T1371" s="146"/>
      <c r="U1371" s="146"/>
      <c r="W1371" s="147"/>
      <c r="AB1371" s="156"/>
    </row>
    <row r="1372" spans="16:28" ht="15" customHeight="1" x14ac:dyDescent="0.45">
      <c r="P1372" s="134"/>
      <c r="R1372" s="146"/>
      <c r="T1372" s="146"/>
      <c r="U1372" s="146"/>
      <c r="W1372" s="147"/>
      <c r="AB1372" s="156"/>
    </row>
    <row r="1373" spans="16:28" ht="15" customHeight="1" x14ac:dyDescent="0.45">
      <c r="P1373" s="134"/>
      <c r="R1373" s="146"/>
      <c r="T1373" s="146"/>
      <c r="U1373" s="146"/>
      <c r="W1373" s="147"/>
      <c r="AB1373" s="156"/>
    </row>
    <row r="1374" spans="16:28" ht="15" customHeight="1" x14ac:dyDescent="0.45">
      <c r="P1374" s="134"/>
      <c r="R1374" s="146"/>
      <c r="T1374" s="146"/>
      <c r="U1374" s="146"/>
      <c r="W1374" s="147"/>
      <c r="AB1374" s="156"/>
    </row>
    <row r="1375" spans="16:28" ht="15" customHeight="1" x14ac:dyDescent="0.45">
      <c r="P1375" s="134"/>
      <c r="R1375" s="146"/>
      <c r="T1375" s="146"/>
      <c r="U1375" s="146"/>
      <c r="W1375" s="147"/>
      <c r="AB1375" s="156"/>
    </row>
    <row r="1376" spans="16:28" ht="15" customHeight="1" x14ac:dyDescent="0.45">
      <c r="P1376" s="134"/>
      <c r="R1376" s="146"/>
      <c r="T1376" s="146"/>
      <c r="U1376" s="146"/>
      <c r="W1376" s="147"/>
      <c r="AB1376" s="156"/>
    </row>
    <row r="1377" spans="16:28" ht="15" customHeight="1" x14ac:dyDescent="0.45">
      <c r="P1377" s="134"/>
      <c r="R1377" s="146"/>
      <c r="T1377" s="146"/>
      <c r="U1377" s="146"/>
      <c r="W1377" s="147"/>
      <c r="AB1377" s="156"/>
    </row>
    <row r="1378" spans="16:28" ht="15" customHeight="1" x14ac:dyDescent="0.45">
      <c r="P1378" s="134"/>
      <c r="R1378" s="146"/>
      <c r="T1378" s="146"/>
      <c r="U1378" s="146"/>
      <c r="W1378" s="147"/>
      <c r="AB1378" s="156"/>
    </row>
    <row r="1379" spans="16:28" ht="15" customHeight="1" x14ac:dyDescent="0.45">
      <c r="P1379" s="134"/>
      <c r="R1379" s="146"/>
      <c r="T1379" s="146"/>
      <c r="U1379" s="146"/>
      <c r="W1379" s="147"/>
      <c r="AB1379" s="156"/>
    </row>
    <row r="1380" spans="16:28" ht="15" customHeight="1" x14ac:dyDescent="0.45">
      <c r="P1380" s="134"/>
      <c r="R1380" s="146"/>
      <c r="T1380" s="146"/>
      <c r="U1380" s="146"/>
      <c r="W1380" s="147"/>
      <c r="AB1380" s="156"/>
    </row>
    <row r="1381" spans="16:28" ht="15" customHeight="1" x14ac:dyDescent="0.45">
      <c r="P1381" s="134"/>
      <c r="R1381" s="146"/>
      <c r="T1381" s="146"/>
      <c r="U1381" s="146"/>
      <c r="W1381" s="147"/>
      <c r="AB1381" s="156"/>
    </row>
    <row r="1382" spans="16:28" ht="15" customHeight="1" x14ac:dyDescent="0.45">
      <c r="P1382" s="134"/>
      <c r="R1382" s="146"/>
      <c r="T1382" s="146"/>
      <c r="U1382" s="146"/>
      <c r="W1382" s="147"/>
      <c r="AB1382" s="156"/>
    </row>
    <row r="1383" spans="16:28" ht="15" customHeight="1" x14ac:dyDescent="0.45">
      <c r="P1383" s="134"/>
      <c r="R1383" s="146"/>
      <c r="T1383" s="146"/>
      <c r="U1383" s="146"/>
      <c r="W1383" s="147"/>
      <c r="AB1383" s="156"/>
    </row>
    <row r="1384" spans="16:28" ht="15" customHeight="1" x14ac:dyDescent="0.45">
      <c r="P1384" s="134"/>
      <c r="R1384" s="146"/>
      <c r="T1384" s="146"/>
      <c r="U1384" s="146"/>
      <c r="W1384" s="147"/>
      <c r="AB1384" s="156"/>
    </row>
    <row r="1385" spans="16:28" ht="15" customHeight="1" x14ac:dyDescent="0.45">
      <c r="P1385" s="134"/>
      <c r="R1385" s="146"/>
      <c r="T1385" s="146"/>
      <c r="U1385" s="146"/>
      <c r="W1385" s="147"/>
      <c r="AB1385" s="156"/>
    </row>
    <row r="1386" spans="16:28" ht="15" customHeight="1" x14ac:dyDescent="0.45">
      <c r="P1386" s="134"/>
      <c r="R1386" s="146"/>
      <c r="T1386" s="146"/>
      <c r="U1386" s="146"/>
      <c r="W1386" s="147"/>
      <c r="AB1386" s="156"/>
    </row>
    <row r="1387" spans="16:28" ht="15" customHeight="1" x14ac:dyDescent="0.45">
      <c r="P1387" s="134"/>
      <c r="R1387" s="146"/>
      <c r="T1387" s="146"/>
      <c r="U1387" s="146"/>
      <c r="W1387" s="147"/>
      <c r="AB1387" s="156"/>
    </row>
    <row r="1388" spans="16:28" ht="15" customHeight="1" x14ac:dyDescent="0.45">
      <c r="P1388" s="134"/>
      <c r="R1388" s="146"/>
      <c r="T1388" s="146"/>
      <c r="U1388" s="146"/>
      <c r="W1388" s="147"/>
      <c r="AB1388" s="156"/>
    </row>
    <row r="1389" spans="16:28" ht="15" customHeight="1" x14ac:dyDescent="0.45">
      <c r="P1389" s="134"/>
      <c r="R1389" s="146"/>
      <c r="T1389" s="146"/>
      <c r="U1389" s="146"/>
      <c r="W1389" s="147"/>
      <c r="AB1389" s="156"/>
    </row>
    <row r="1390" spans="16:28" ht="15" customHeight="1" x14ac:dyDescent="0.45">
      <c r="P1390" s="134"/>
      <c r="R1390" s="146"/>
      <c r="T1390" s="146"/>
      <c r="U1390" s="146"/>
      <c r="W1390" s="147"/>
      <c r="AB1390" s="156"/>
    </row>
    <row r="1391" spans="16:28" ht="15" customHeight="1" x14ac:dyDescent="0.45">
      <c r="P1391" s="134"/>
      <c r="R1391" s="146"/>
      <c r="T1391" s="146"/>
      <c r="U1391" s="146"/>
      <c r="W1391" s="147"/>
      <c r="AB1391" s="156"/>
    </row>
    <row r="1392" spans="16:28" ht="15" customHeight="1" x14ac:dyDescent="0.45">
      <c r="P1392" s="134"/>
      <c r="R1392" s="146"/>
      <c r="T1392" s="146"/>
      <c r="U1392" s="146"/>
      <c r="W1392" s="147"/>
      <c r="AB1392" s="156"/>
    </row>
    <row r="1393" spans="16:28" ht="15" customHeight="1" x14ac:dyDescent="0.45">
      <c r="P1393" s="134"/>
      <c r="R1393" s="146"/>
      <c r="T1393" s="146"/>
      <c r="U1393" s="146"/>
      <c r="W1393" s="147"/>
      <c r="AB1393" s="156"/>
    </row>
    <row r="1394" spans="16:28" ht="15" customHeight="1" x14ac:dyDescent="0.45">
      <c r="P1394" s="134"/>
      <c r="R1394" s="146"/>
      <c r="T1394" s="146"/>
      <c r="U1394" s="146"/>
      <c r="W1394" s="147"/>
      <c r="AB1394" s="156"/>
    </row>
    <row r="1395" spans="16:28" ht="15" customHeight="1" x14ac:dyDescent="0.45">
      <c r="P1395" s="134"/>
      <c r="R1395" s="146"/>
      <c r="T1395" s="146"/>
      <c r="U1395" s="146"/>
      <c r="W1395" s="147"/>
      <c r="AB1395" s="156"/>
    </row>
    <row r="1396" spans="16:28" ht="15" customHeight="1" x14ac:dyDescent="0.45">
      <c r="P1396" s="134"/>
      <c r="R1396" s="146"/>
      <c r="T1396" s="146"/>
      <c r="U1396" s="146"/>
      <c r="W1396" s="147"/>
      <c r="AB1396" s="156"/>
    </row>
    <row r="1397" spans="16:28" ht="15" customHeight="1" x14ac:dyDescent="0.45">
      <c r="P1397" s="134"/>
      <c r="R1397" s="146"/>
      <c r="T1397" s="146"/>
      <c r="U1397" s="146"/>
      <c r="W1397" s="147"/>
      <c r="AB1397" s="156"/>
    </row>
    <row r="1398" spans="16:28" ht="15" customHeight="1" x14ac:dyDescent="0.45">
      <c r="P1398" s="134"/>
      <c r="R1398" s="146"/>
      <c r="T1398" s="146"/>
      <c r="U1398" s="146"/>
      <c r="W1398" s="147"/>
      <c r="AB1398" s="156"/>
    </row>
    <row r="1399" spans="16:28" ht="15" customHeight="1" x14ac:dyDescent="0.45">
      <c r="P1399" s="134"/>
      <c r="R1399" s="146"/>
      <c r="T1399" s="146"/>
      <c r="U1399" s="146"/>
      <c r="W1399" s="147"/>
      <c r="AB1399" s="156"/>
    </row>
    <row r="1400" spans="16:28" ht="15" customHeight="1" x14ac:dyDescent="0.45">
      <c r="P1400" s="134"/>
      <c r="R1400" s="146"/>
      <c r="T1400" s="146"/>
      <c r="U1400" s="146"/>
      <c r="W1400" s="147"/>
      <c r="AB1400" s="156"/>
    </row>
    <row r="1401" spans="16:28" ht="15" customHeight="1" x14ac:dyDescent="0.45">
      <c r="P1401" s="134"/>
      <c r="R1401" s="146"/>
      <c r="T1401" s="146"/>
      <c r="U1401" s="146"/>
      <c r="W1401" s="147"/>
      <c r="AB1401" s="156"/>
    </row>
    <row r="1402" spans="16:28" ht="15" customHeight="1" x14ac:dyDescent="0.45">
      <c r="P1402" s="134"/>
      <c r="R1402" s="146"/>
      <c r="T1402" s="146"/>
      <c r="U1402" s="146"/>
      <c r="W1402" s="147"/>
      <c r="AB1402" s="156"/>
    </row>
    <row r="1403" spans="16:28" ht="15" customHeight="1" x14ac:dyDescent="0.45">
      <c r="P1403" s="134"/>
      <c r="R1403" s="146"/>
      <c r="T1403" s="146"/>
      <c r="U1403" s="146"/>
      <c r="W1403" s="147"/>
      <c r="AB1403" s="156"/>
    </row>
    <row r="1404" spans="16:28" ht="15" customHeight="1" x14ac:dyDescent="0.45">
      <c r="P1404" s="134"/>
      <c r="R1404" s="146"/>
      <c r="T1404" s="146"/>
      <c r="U1404" s="146"/>
      <c r="W1404" s="147"/>
      <c r="AB1404" s="156"/>
    </row>
    <row r="1405" spans="16:28" ht="15" customHeight="1" x14ac:dyDescent="0.45">
      <c r="P1405" s="134"/>
      <c r="R1405" s="146"/>
      <c r="T1405" s="146"/>
      <c r="U1405" s="146"/>
      <c r="W1405" s="147"/>
      <c r="AB1405" s="156"/>
    </row>
    <row r="1406" spans="16:28" ht="15" customHeight="1" x14ac:dyDescent="0.45">
      <c r="P1406" s="134"/>
      <c r="R1406" s="146"/>
      <c r="T1406" s="146"/>
      <c r="U1406" s="146"/>
      <c r="W1406" s="147"/>
      <c r="AB1406" s="156"/>
    </row>
    <row r="1407" spans="16:28" ht="15" customHeight="1" x14ac:dyDescent="0.45">
      <c r="P1407" s="134"/>
      <c r="R1407" s="146"/>
      <c r="T1407" s="146"/>
      <c r="U1407" s="146"/>
      <c r="W1407" s="147"/>
      <c r="AB1407" s="156"/>
    </row>
    <row r="1408" spans="16:28" ht="15" customHeight="1" x14ac:dyDescent="0.45">
      <c r="P1408" s="134"/>
      <c r="R1408" s="146"/>
      <c r="T1408" s="146"/>
      <c r="U1408" s="146"/>
      <c r="W1408" s="147"/>
      <c r="AB1408" s="156"/>
    </row>
    <row r="1409" spans="16:28" ht="15" customHeight="1" x14ac:dyDescent="0.45">
      <c r="P1409" s="134"/>
      <c r="R1409" s="146"/>
      <c r="T1409" s="146"/>
      <c r="U1409" s="146"/>
      <c r="W1409" s="147"/>
      <c r="AB1409" s="156"/>
    </row>
    <row r="1410" spans="16:28" ht="15" customHeight="1" x14ac:dyDescent="0.45">
      <c r="P1410" s="134"/>
      <c r="R1410" s="146"/>
      <c r="T1410" s="146"/>
      <c r="U1410" s="146"/>
      <c r="W1410" s="147"/>
      <c r="AB1410" s="156"/>
    </row>
    <row r="1411" spans="16:28" ht="15" customHeight="1" x14ac:dyDescent="0.45">
      <c r="P1411" s="134"/>
      <c r="R1411" s="146"/>
      <c r="T1411" s="146"/>
      <c r="U1411" s="146"/>
      <c r="W1411" s="147"/>
      <c r="AB1411" s="156"/>
    </row>
    <row r="1412" spans="16:28" ht="15" customHeight="1" x14ac:dyDescent="0.45">
      <c r="P1412" s="134"/>
      <c r="R1412" s="146"/>
      <c r="T1412" s="146"/>
      <c r="U1412" s="146"/>
      <c r="W1412" s="147"/>
      <c r="AB1412" s="156"/>
    </row>
    <row r="1413" spans="16:28" ht="15" customHeight="1" x14ac:dyDescent="0.45">
      <c r="P1413" s="134"/>
      <c r="R1413" s="146"/>
      <c r="T1413" s="146"/>
      <c r="U1413" s="146"/>
      <c r="W1413" s="147"/>
      <c r="AB1413" s="156"/>
    </row>
    <row r="1414" spans="16:28" ht="15" customHeight="1" x14ac:dyDescent="0.45">
      <c r="P1414" s="134"/>
      <c r="R1414" s="146"/>
      <c r="T1414" s="146"/>
      <c r="U1414" s="146"/>
      <c r="W1414" s="147"/>
      <c r="AB1414" s="156"/>
    </row>
    <row r="1415" spans="16:28" ht="15" customHeight="1" x14ac:dyDescent="0.45">
      <c r="P1415" s="134"/>
      <c r="R1415" s="146"/>
      <c r="T1415" s="146"/>
      <c r="U1415" s="146"/>
      <c r="W1415" s="147"/>
      <c r="AB1415" s="156"/>
    </row>
    <row r="1416" spans="16:28" ht="15" customHeight="1" x14ac:dyDescent="0.45">
      <c r="P1416" s="134"/>
      <c r="R1416" s="146"/>
      <c r="T1416" s="146"/>
      <c r="U1416" s="146"/>
      <c r="W1416" s="147"/>
      <c r="AB1416" s="156"/>
    </row>
    <row r="1417" spans="16:28" ht="15" customHeight="1" x14ac:dyDescent="0.45">
      <c r="P1417" s="134"/>
      <c r="R1417" s="146"/>
      <c r="T1417" s="146"/>
      <c r="U1417" s="146"/>
      <c r="W1417" s="147"/>
      <c r="AB1417" s="156"/>
    </row>
    <row r="1418" spans="16:28" ht="15" customHeight="1" x14ac:dyDescent="0.45">
      <c r="P1418" s="134"/>
      <c r="R1418" s="146"/>
      <c r="T1418" s="146"/>
      <c r="U1418" s="146"/>
      <c r="W1418" s="147"/>
      <c r="AB1418" s="156"/>
    </row>
    <row r="1419" spans="16:28" ht="15" customHeight="1" x14ac:dyDescent="0.45">
      <c r="P1419" s="134"/>
      <c r="R1419" s="146"/>
      <c r="T1419" s="146"/>
      <c r="U1419" s="146"/>
      <c r="W1419" s="147"/>
      <c r="AB1419" s="156"/>
    </row>
    <row r="1420" spans="16:28" ht="15" customHeight="1" x14ac:dyDescent="0.45">
      <c r="P1420" s="134"/>
      <c r="R1420" s="146"/>
      <c r="T1420" s="146"/>
      <c r="U1420" s="146"/>
      <c r="W1420" s="147"/>
      <c r="AB1420" s="156"/>
    </row>
    <row r="1421" spans="16:28" ht="15" customHeight="1" x14ac:dyDescent="0.45">
      <c r="P1421" s="134"/>
      <c r="R1421" s="146"/>
      <c r="T1421" s="146"/>
      <c r="U1421" s="146"/>
      <c r="W1421" s="147"/>
      <c r="AB1421" s="156"/>
    </row>
    <row r="1422" spans="16:28" ht="15" customHeight="1" x14ac:dyDescent="0.45">
      <c r="P1422" s="134"/>
      <c r="R1422" s="146"/>
      <c r="T1422" s="146"/>
      <c r="U1422" s="146"/>
      <c r="W1422" s="147"/>
      <c r="AB1422" s="156"/>
    </row>
    <row r="1423" spans="16:28" ht="15" customHeight="1" x14ac:dyDescent="0.45">
      <c r="P1423" s="134"/>
      <c r="R1423" s="146"/>
      <c r="T1423" s="146"/>
      <c r="U1423" s="146"/>
      <c r="W1423" s="147"/>
      <c r="AB1423" s="156"/>
    </row>
    <row r="1424" spans="16:28" ht="15" customHeight="1" x14ac:dyDescent="0.45">
      <c r="P1424" s="134"/>
      <c r="R1424" s="146"/>
      <c r="T1424" s="146"/>
      <c r="U1424" s="146"/>
      <c r="W1424" s="147"/>
      <c r="AB1424" s="156"/>
    </row>
    <row r="1425" spans="16:28" ht="15" customHeight="1" x14ac:dyDescent="0.45">
      <c r="P1425" s="134"/>
      <c r="R1425" s="146"/>
      <c r="T1425" s="146"/>
      <c r="U1425" s="146"/>
      <c r="W1425" s="147"/>
      <c r="AB1425" s="156"/>
    </row>
    <row r="1426" spans="16:28" ht="15" customHeight="1" x14ac:dyDescent="0.45">
      <c r="P1426" s="134"/>
      <c r="R1426" s="146"/>
      <c r="T1426" s="146"/>
      <c r="U1426" s="146"/>
      <c r="W1426" s="147"/>
      <c r="AB1426" s="156"/>
    </row>
    <row r="1427" spans="16:28" ht="15" customHeight="1" x14ac:dyDescent="0.45">
      <c r="P1427" s="134"/>
      <c r="R1427" s="146"/>
      <c r="T1427" s="146"/>
      <c r="U1427" s="146"/>
      <c r="W1427" s="147"/>
      <c r="AB1427" s="156"/>
    </row>
    <row r="1428" spans="16:28" ht="15" customHeight="1" x14ac:dyDescent="0.45">
      <c r="P1428" s="134"/>
      <c r="R1428" s="146"/>
      <c r="T1428" s="146"/>
      <c r="U1428" s="146"/>
      <c r="W1428" s="147"/>
      <c r="AB1428" s="156"/>
    </row>
    <row r="1429" spans="16:28" ht="15" customHeight="1" x14ac:dyDescent="0.45">
      <c r="P1429" s="134"/>
      <c r="R1429" s="146"/>
      <c r="T1429" s="146"/>
      <c r="U1429" s="146"/>
      <c r="W1429" s="147"/>
      <c r="AB1429" s="156"/>
    </row>
    <row r="1430" spans="16:28" ht="15" customHeight="1" x14ac:dyDescent="0.45">
      <c r="P1430" s="134"/>
      <c r="R1430" s="146"/>
      <c r="T1430" s="146"/>
      <c r="U1430" s="146"/>
      <c r="W1430" s="147"/>
      <c r="AB1430" s="156"/>
    </row>
    <row r="1431" spans="16:28" ht="15" customHeight="1" x14ac:dyDescent="0.45">
      <c r="P1431" s="134"/>
      <c r="R1431" s="146"/>
      <c r="T1431" s="146"/>
      <c r="U1431" s="146"/>
      <c r="W1431" s="147"/>
      <c r="AB1431" s="156"/>
    </row>
    <row r="1432" spans="16:28" ht="15" customHeight="1" x14ac:dyDescent="0.45">
      <c r="P1432" s="134"/>
      <c r="R1432" s="146"/>
      <c r="T1432" s="146"/>
      <c r="U1432" s="146"/>
      <c r="W1432" s="147"/>
      <c r="AB1432" s="156"/>
    </row>
    <row r="1433" spans="16:28" ht="15" customHeight="1" x14ac:dyDescent="0.45">
      <c r="P1433" s="134"/>
      <c r="R1433" s="146"/>
      <c r="T1433" s="146"/>
      <c r="U1433" s="146"/>
      <c r="W1433" s="147"/>
      <c r="AB1433" s="156"/>
    </row>
    <row r="1434" spans="16:28" ht="15" customHeight="1" x14ac:dyDescent="0.45">
      <c r="P1434" s="134"/>
      <c r="R1434" s="146"/>
      <c r="T1434" s="146"/>
      <c r="U1434" s="146"/>
      <c r="W1434" s="147"/>
      <c r="AB1434" s="156"/>
    </row>
    <row r="1435" spans="16:28" ht="15" customHeight="1" x14ac:dyDescent="0.45">
      <c r="P1435" s="134"/>
      <c r="R1435" s="146"/>
      <c r="T1435" s="146"/>
      <c r="U1435" s="146"/>
      <c r="W1435" s="147"/>
      <c r="AB1435" s="156"/>
    </row>
    <row r="1436" spans="16:28" ht="15" customHeight="1" x14ac:dyDescent="0.45">
      <c r="P1436" s="134"/>
      <c r="R1436" s="146"/>
      <c r="T1436" s="146"/>
      <c r="U1436" s="146"/>
      <c r="W1436" s="147"/>
      <c r="AB1436" s="156"/>
    </row>
    <row r="1437" spans="16:28" ht="15" customHeight="1" x14ac:dyDescent="0.45">
      <c r="P1437" s="134"/>
      <c r="R1437" s="146"/>
      <c r="T1437" s="146"/>
      <c r="U1437" s="146"/>
      <c r="W1437" s="147"/>
      <c r="AB1437" s="156"/>
    </row>
    <row r="1438" spans="16:28" ht="15" customHeight="1" x14ac:dyDescent="0.45">
      <c r="P1438" s="134"/>
      <c r="R1438" s="146"/>
      <c r="T1438" s="146"/>
      <c r="U1438" s="146"/>
      <c r="W1438" s="147"/>
      <c r="AB1438" s="156"/>
    </row>
    <row r="1439" spans="16:28" ht="15" customHeight="1" x14ac:dyDescent="0.45">
      <c r="P1439" s="134"/>
      <c r="R1439" s="146"/>
      <c r="T1439" s="146"/>
      <c r="U1439" s="146"/>
      <c r="W1439" s="147"/>
      <c r="AB1439" s="156"/>
    </row>
    <row r="1440" spans="16:28" ht="15" customHeight="1" x14ac:dyDescent="0.45">
      <c r="P1440" s="134"/>
      <c r="R1440" s="146"/>
      <c r="T1440" s="146"/>
      <c r="U1440" s="146"/>
      <c r="W1440" s="147"/>
      <c r="AB1440" s="156"/>
    </row>
    <row r="1441" spans="16:28" ht="15" customHeight="1" x14ac:dyDescent="0.45">
      <c r="P1441" s="134"/>
      <c r="R1441" s="146"/>
      <c r="T1441" s="146"/>
      <c r="U1441" s="146"/>
      <c r="W1441" s="147"/>
      <c r="AB1441" s="156"/>
    </row>
    <row r="1442" spans="16:28" ht="15" customHeight="1" x14ac:dyDescent="0.45">
      <c r="P1442" s="134"/>
      <c r="R1442" s="146"/>
      <c r="T1442" s="146"/>
      <c r="U1442" s="146"/>
      <c r="W1442" s="147"/>
      <c r="AB1442" s="156"/>
    </row>
    <row r="1443" spans="16:28" ht="15" customHeight="1" x14ac:dyDescent="0.45">
      <c r="P1443" s="134"/>
      <c r="R1443" s="146"/>
      <c r="T1443" s="146"/>
      <c r="U1443" s="146"/>
      <c r="W1443" s="147"/>
      <c r="AB1443" s="156"/>
    </row>
    <row r="1444" spans="16:28" ht="15" customHeight="1" x14ac:dyDescent="0.45">
      <c r="P1444" s="134"/>
      <c r="R1444" s="146"/>
      <c r="T1444" s="146"/>
      <c r="U1444" s="146"/>
      <c r="W1444" s="147"/>
      <c r="AB1444" s="156"/>
    </row>
    <row r="1445" spans="16:28" ht="15" customHeight="1" x14ac:dyDescent="0.45">
      <c r="P1445" s="134"/>
      <c r="R1445" s="146"/>
      <c r="T1445" s="146"/>
      <c r="U1445" s="146"/>
      <c r="W1445" s="147"/>
      <c r="AB1445" s="156"/>
    </row>
    <row r="1446" spans="16:28" ht="15" customHeight="1" x14ac:dyDescent="0.45">
      <c r="P1446" s="134"/>
      <c r="R1446" s="146"/>
      <c r="T1446" s="146"/>
      <c r="U1446" s="146"/>
      <c r="W1446" s="147"/>
      <c r="AB1446" s="156"/>
    </row>
    <row r="1447" spans="16:28" ht="15" customHeight="1" x14ac:dyDescent="0.45">
      <c r="P1447" s="134"/>
      <c r="R1447" s="146"/>
      <c r="T1447" s="146"/>
      <c r="U1447" s="146"/>
      <c r="W1447" s="147"/>
      <c r="AB1447" s="156"/>
    </row>
    <row r="1448" spans="16:28" ht="15" customHeight="1" x14ac:dyDescent="0.45">
      <c r="P1448" s="134"/>
      <c r="R1448" s="146"/>
      <c r="T1448" s="146"/>
      <c r="U1448" s="146"/>
      <c r="W1448" s="147"/>
      <c r="AB1448" s="156"/>
    </row>
    <row r="1449" spans="16:28" ht="15" customHeight="1" x14ac:dyDescent="0.45">
      <c r="P1449" s="134"/>
      <c r="R1449" s="146"/>
      <c r="T1449" s="146"/>
      <c r="U1449" s="146"/>
      <c r="W1449" s="147"/>
      <c r="AB1449" s="156"/>
    </row>
    <row r="1450" spans="16:28" ht="15" customHeight="1" x14ac:dyDescent="0.45">
      <c r="P1450" s="134"/>
      <c r="R1450" s="146"/>
      <c r="T1450" s="146"/>
      <c r="U1450" s="146"/>
      <c r="W1450" s="147"/>
      <c r="AB1450" s="156"/>
    </row>
    <row r="1451" spans="16:28" ht="15" customHeight="1" x14ac:dyDescent="0.45">
      <c r="P1451" s="134"/>
      <c r="R1451" s="146"/>
      <c r="T1451" s="146"/>
      <c r="U1451" s="146"/>
      <c r="W1451" s="147"/>
      <c r="AB1451" s="156"/>
    </row>
    <row r="1452" spans="16:28" ht="15" customHeight="1" x14ac:dyDescent="0.45">
      <c r="P1452" s="134"/>
      <c r="R1452" s="146"/>
      <c r="T1452" s="146"/>
      <c r="U1452" s="146"/>
      <c r="W1452" s="147"/>
      <c r="AB1452" s="156"/>
    </row>
    <row r="1453" spans="16:28" ht="15" customHeight="1" x14ac:dyDescent="0.45">
      <c r="P1453" s="134"/>
      <c r="R1453" s="146"/>
      <c r="T1453" s="146"/>
      <c r="U1453" s="146"/>
      <c r="W1453" s="147"/>
      <c r="AB1453" s="156"/>
    </row>
    <row r="1454" spans="16:28" ht="15" customHeight="1" x14ac:dyDescent="0.45">
      <c r="P1454" s="134"/>
      <c r="R1454" s="146"/>
      <c r="T1454" s="146"/>
      <c r="U1454" s="146"/>
      <c r="W1454" s="147"/>
      <c r="AB1454" s="156"/>
    </row>
    <row r="1455" spans="16:28" ht="15" customHeight="1" x14ac:dyDescent="0.45">
      <c r="P1455" s="134"/>
      <c r="R1455" s="146"/>
      <c r="T1455" s="146"/>
      <c r="U1455" s="146"/>
      <c r="W1455" s="147"/>
      <c r="AB1455" s="156"/>
    </row>
    <row r="1456" spans="16:28" ht="15" customHeight="1" x14ac:dyDescent="0.45">
      <c r="P1456" s="134"/>
      <c r="R1456" s="146"/>
      <c r="T1456" s="146"/>
      <c r="U1456" s="146"/>
      <c r="W1456" s="147"/>
      <c r="AB1456" s="156"/>
    </row>
    <row r="1457" spans="16:28" ht="15" customHeight="1" x14ac:dyDescent="0.45">
      <c r="P1457" s="134"/>
      <c r="R1457" s="146"/>
      <c r="T1457" s="146"/>
      <c r="U1457" s="146"/>
      <c r="W1457" s="147"/>
      <c r="AB1457" s="156"/>
    </row>
    <row r="1458" spans="16:28" ht="15" customHeight="1" x14ac:dyDescent="0.45">
      <c r="P1458" s="134"/>
      <c r="R1458" s="146"/>
      <c r="T1458" s="146"/>
      <c r="U1458" s="146"/>
      <c r="W1458" s="147"/>
      <c r="AB1458" s="156"/>
    </row>
    <row r="1459" spans="16:28" ht="15" customHeight="1" x14ac:dyDescent="0.45">
      <c r="P1459" s="134"/>
      <c r="R1459" s="146"/>
      <c r="T1459" s="146"/>
      <c r="U1459" s="146"/>
      <c r="W1459" s="147"/>
      <c r="AB1459" s="156"/>
    </row>
    <row r="1460" spans="16:28" ht="15" customHeight="1" x14ac:dyDescent="0.45">
      <c r="P1460" s="134"/>
      <c r="R1460" s="146"/>
      <c r="T1460" s="146"/>
      <c r="U1460" s="146"/>
      <c r="W1460" s="147"/>
      <c r="AB1460" s="156"/>
    </row>
    <row r="1461" spans="16:28" ht="15" customHeight="1" x14ac:dyDescent="0.45">
      <c r="P1461" s="134"/>
      <c r="R1461" s="146"/>
      <c r="T1461" s="146"/>
      <c r="U1461" s="146"/>
      <c r="W1461" s="147"/>
      <c r="AB1461" s="156"/>
    </row>
    <row r="1462" spans="16:28" ht="15" customHeight="1" x14ac:dyDescent="0.45">
      <c r="P1462" s="134"/>
      <c r="R1462" s="146"/>
      <c r="T1462" s="146"/>
      <c r="U1462" s="146"/>
      <c r="W1462" s="147"/>
      <c r="AB1462" s="156"/>
    </row>
    <row r="1463" spans="16:28" ht="15" customHeight="1" x14ac:dyDescent="0.45">
      <c r="P1463" s="134"/>
      <c r="R1463" s="146"/>
      <c r="T1463" s="146"/>
      <c r="U1463" s="146"/>
      <c r="W1463" s="147"/>
      <c r="AB1463" s="156"/>
    </row>
    <row r="1464" spans="16:28" ht="15" customHeight="1" x14ac:dyDescent="0.45">
      <c r="P1464" s="134"/>
      <c r="R1464" s="146"/>
      <c r="T1464" s="146"/>
      <c r="U1464" s="146"/>
      <c r="W1464" s="147"/>
      <c r="AB1464" s="156"/>
    </row>
    <row r="1465" spans="16:28" ht="15" customHeight="1" x14ac:dyDescent="0.45">
      <c r="P1465" s="134"/>
      <c r="R1465" s="146"/>
      <c r="T1465" s="146"/>
      <c r="U1465" s="146"/>
      <c r="W1465" s="147"/>
      <c r="AB1465" s="156"/>
    </row>
    <row r="1466" spans="16:28" ht="15" customHeight="1" x14ac:dyDescent="0.45">
      <c r="P1466" s="134"/>
      <c r="R1466" s="146"/>
      <c r="T1466" s="146"/>
      <c r="U1466" s="146"/>
      <c r="W1466" s="147"/>
      <c r="AB1466" s="156"/>
    </row>
    <row r="1467" spans="16:28" ht="15" customHeight="1" x14ac:dyDescent="0.45">
      <c r="P1467" s="134"/>
      <c r="R1467" s="146"/>
      <c r="T1467" s="146"/>
      <c r="U1467" s="146"/>
      <c r="W1467" s="147"/>
      <c r="AB1467" s="156"/>
    </row>
    <row r="1468" spans="16:28" ht="15" customHeight="1" x14ac:dyDescent="0.45">
      <c r="P1468" s="134"/>
      <c r="R1468" s="146"/>
      <c r="T1468" s="146"/>
      <c r="U1468" s="146"/>
      <c r="W1468" s="147"/>
      <c r="AB1468" s="156"/>
    </row>
    <row r="1469" spans="16:28" ht="15" customHeight="1" x14ac:dyDescent="0.45">
      <c r="P1469" s="134"/>
      <c r="R1469" s="146"/>
      <c r="T1469" s="146"/>
      <c r="U1469" s="146"/>
      <c r="W1469" s="147"/>
      <c r="AB1469" s="156"/>
    </row>
    <row r="1470" spans="16:28" ht="15" customHeight="1" x14ac:dyDescent="0.45">
      <c r="P1470" s="134"/>
      <c r="R1470" s="146"/>
      <c r="T1470" s="146"/>
      <c r="U1470" s="146"/>
      <c r="W1470" s="147"/>
      <c r="AB1470" s="156"/>
    </row>
    <row r="1471" spans="16:28" ht="15" customHeight="1" x14ac:dyDescent="0.45">
      <c r="P1471" s="134"/>
      <c r="R1471" s="146"/>
      <c r="T1471" s="146"/>
      <c r="U1471" s="146"/>
      <c r="W1471" s="147"/>
      <c r="AB1471" s="156"/>
    </row>
    <row r="1472" spans="16:28" ht="15" customHeight="1" x14ac:dyDescent="0.45">
      <c r="P1472" s="134"/>
      <c r="R1472" s="146"/>
      <c r="T1472" s="146"/>
      <c r="U1472" s="146"/>
      <c r="W1472" s="147"/>
      <c r="AB1472" s="156"/>
    </row>
    <row r="1473" spans="16:28" ht="15" customHeight="1" x14ac:dyDescent="0.45">
      <c r="P1473" s="134"/>
      <c r="R1473" s="146"/>
      <c r="T1473" s="146"/>
      <c r="U1473" s="146"/>
      <c r="W1473" s="147"/>
      <c r="AB1473" s="156"/>
    </row>
    <row r="1474" spans="16:28" ht="15" customHeight="1" x14ac:dyDescent="0.45">
      <c r="P1474" s="134"/>
      <c r="R1474" s="146"/>
      <c r="T1474" s="146"/>
      <c r="U1474" s="146"/>
      <c r="W1474" s="147"/>
      <c r="AB1474" s="156"/>
    </row>
    <row r="1475" spans="16:28" ht="15" customHeight="1" x14ac:dyDescent="0.45">
      <c r="P1475" s="134"/>
      <c r="R1475" s="146"/>
      <c r="T1475" s="146"/>
      <c r="U1475" s="146"/>
      <c r="W1475" s="147"/>
      <c r="AB1475" s="156"/>
    </row>
    <row r="1476" spans="16:28" ht="15" customHeight="1" x14ac:dyDescent="0.45">
      <c r="P1476" s="134"/>
      <c r="R1476" s="146"/>
      <c r="T1476" s="146"/>
      <c r="U1476" s="146"/>
      <c r="W1476" s="147"/>
      <c r="AB1476" s="156"/>
    </row>
    <row r="1477" spans="16:28" ht="15" customHeight="1" x14ac:dyDescent="0.45">
      <c r="P1477" s="134"/>
      <c r="R1477" s="146"/>
      <c r="T1477" s="146"/>
      <c r="U1477" s="146"/>
      <c r="W1477" s="147"/>
      <c r="AB1477" s="156"/>
    </row>
    <row r="1478" spans="16:28" ht="15" customHeight="1" x14ac:dyDescent="0.45">
      <c r="P1478" s="134"/>
      <c r="R1478" s="146"/>
      <c r="T1478" s="146"/>
      <c r="U1478" s="146"/>
      <c r="W1478" s="147"/>
      <c r="AB1478" s="156"/>
    </row>
    <row r="1479" spans="16:28" ht="15" customHeight="1" x14ac:dyDescent="0.45">
      <c r="P1479" s="134"/>
      <c r="R1479" s="146"/>
      <c r="T1479" s="146"/>
      <c r="U1479" s="146"/>
      <c r="W1479" s="147"/>
      <c r="AB1479" s="156"/>
    </row>
    <row r="1480" spans="16:28" ht="15" customHeight="1" x14ac:dyDescent="0.45">
      <c r="P1480" s="134"/>
      <c r="R1480" s="146"/>
      <c r="T1480" s="146"/>
      <c r="U1480" s="146"/>
      <c r="W1480" s="147"/>
      <c r="AB1480" s="156"/>
    </row>
    <row r="1481" spans="16:28" ht="15" customHeight="1" x14ac:dyDescent="0.45">
      <c r="P1481" s="134"/>
      <c r="R1481" s="146"/>
      <c r="T1481" s="146"/>
      <c r="U1481" s="146"/>
      <c r="W1481" s="147"/>
      <c r="AB1481" s="156"/>
    </row>
    <row r="1482" spans="16:28" ht="15" customHeight="1" x14ac:dyDescent="0.45">
      <c r="P1482" s="134"/>
      <c r="R1482" s="146"/>
      <c r="T1482" s="146"/>
      <c r="U1482" s="146"/>
      <c r="W1482" s="147"/>
      <c r="AB1482" s="156"/>
    </row>
    <row r="1483" spans="16:28" ht="15" customHeight="1" x14ac:dyDescent="0.45">
      <c r="P1483" s="134"/>
      <c r="R1483" s="146"/>
      <c r="T1483" s="146"/>
      <c r="U1483" s="146"/>
      <c r="W1483" s="147"/>
      <c r="AB1483" s="156"/>
    </row>
    <row r="1484" spans="16:28" ht="15" customHeight="1" x14ac:dyDescent="0.45">
      <c r="P1484" s="134"/>
      <c r="R1484" s="146"/>
      <c r="T1484" s="146"/>
      <c r="U1484" s="146"/>
      <c r="W1484" s="147"/>
      <c r="AB1484" s="156"/>
    </row>
    <row r="1485" spans="16:28" ht="15" customHeight="1" x14ac:dyDescent="0.45">
      <c r="P1485" s="134"/>
      <c r="R1485" s="146"/>
      <c r="T1485" s="146"/>
      <c r="U1485" s="146"/>
      <c r="W1485" s="147"/>
      <c r="AB1485" s="156"/>
    </row>
    <row r="1486" spans="16:28" ht="15" customHeight="1" x14ac:dyDescent="0.45">
      <c r="P1486" s="134"/>
      <c r="R1486" s="146"/>
      <c r="T1486" s="146"/>
      <c r="U1486" s="146"/>
      <c r="W1486" s="147"/>
      <c r="AB1486" s="156"/>
    </row>
    <row r="1487" spans="16:28" ht="15" customHeight="1" x14ac:dyDescent="0.45">
      <c r="P1487" s="134"/>
      <c r="R1487" s="146"/>
      <c r="T1487" s="146"/>
      <c r="U1487" s="146"/>
      <c r="W1487" s="147"/>
      <c r="AB1487" s="156"/>
    </row>
    <row r="1488" spans="16:28" ht="15" customHeight="1" x14ac:dyDescent="0.45">
      <c r="P1488" s="134"/>
      <c r="R1488" s="146"/>
      <c r="T1488" s="146"/>
      <c r="U1488" s="146"/>
      <c r="W1488" s="147"/>
      <c r="AB1488" s="156"/>
    </row>
    <row r="1489" spans="16:28" ht="15" customHeight="1" x14ac:dyDescent="0.45">
      <c r="P1489" s="134"/>
      <c r="R1489" s="146"/>
      <c r="T1489" s="146"/>
      <c r="U1489" s="146"/>
      <c r="W1489" s="147"/>
      <c r="AB1489" s="156"/>
    </row>
    <row r="1490" spans="16:28" ht="15" customHeight="1" x14ac:dyDescent="0.45">
      <c r="P1490" s="134"/>
      <c r="R1490" s="146"/>
      <c r="T1490" s="146"/>
      <c r="U1490" s="146"/>
      <c r="W1490" s="147"/>
      <c r="AB1490" s="156"/>
    </row>
    <row r="1491" spans="16:28" ht="15" customHeight="1" x14ac:dyDescent="0.45">
      <c r="P1491" s="134"/>
      <c r="R1491" s="146"/>
      <c r="T1491" s="146"/>
      <c r="U1491" s="146"/>
      <c r="W1491" s="147"/>
      <c r="AB1491" s="156"/>
    </row>
    <row r="1492" spans="16:28" ht="15" customHeight="1" x14ac:dyDescent="0.45">
      <c r="P1492" s="134"/>
      <c r="R1492" s="146"/>
      <c r="T1492" s="146"/>
      <c r="U1492" s="146"/>
      <c r="W1492" s="147"/>
      <c r="AB1492" s="156"/>
    </row>
    <row r="1493" spans="16:28" ht="15" customHeight="1" x14ac:dyDescent="0.45">
      <c r="P1493" s="134"/>
      <c r="R1493" s="146"/>
      <c r="T1493" s="146"/>
      <c r="U1493" s="146"/>
      <c r="W1493" s="147"/>
      <c r="AB1493" s="156"/>
    </row>
    <row r="1494" spans="16:28" ht="15" customHeight="1" x14ac:dyDescent="0.45">
      <c r="P1494" s="134"/>
      <c r="R1494" s="146"/>
      <c r="T1494" s="146"/>
      <c r="U1494" s="146"/>
      <c r="W1494" s="147"/>
      <c r="AB1494" s="156"/>
    </row>
    <row r="1495" spans="16:28" ht="15" customHeight="1" x14ac:dyDescent="0.45">
      <c r="P1495" s="134"/>
      <c r="R1495" s="146"/>
      <c r="T1495" s="146"/>
      <c r="U1495" s="146"/>
      <c r="W1495" s="147"/>
      <c r="AB1495" s="156"/>
    </row>
    <row r="1496" spans="16:28" ht="15" customHeight="1" x14ac:dyDescent="0.45">
      <c r="P1496" s="134"/>
      <c r="R1496" s="146"/>
      <c r="T1496" s="146"/>
      <c r="U1496" s="146"/>
      <c r="W1496" s="147"/>
      <c r="AB1496" s="156"/>
    </row>
    <row r="1497" spans="16:28" ht="15" customHeight="1" x14ac:dyDescent="0.45">
      <c r="P1497" s="134"/>
      <c r="R1497" s="146"/>
      <c r="T1497" s="146"/>
      <c r="U1497" s="146"/>
      <c r="W1497" s="147"/>
      <c r="AB1497" s="156"/>
    </row>
    <row r="1498" spans="16:28" ht="15" customHeight="1" x14ac:dyDescent="0.45">
      <c r="P1498" s="134"/>
      <c r="R1498" s="146"/>
      <c r="T1498" s="146"/>
      <c r="U1498" s="146"/>
      <c r="W1498" s="147"/>
      <c r="AB1498" s="156"/>
    </row>
    <row r="1499" spans="16:28" ht="15" customHeight="1" x14ac:dyDescent="0.45">
      <c r="P1499" s="134"/>
      <c r="R1499" s="146"/>
      <c r="T1499" s="146"/>
      <c r="U1499" s="146"/>
      <c r="W1499" s="147"/>
      <c r="AB1499" s="156"/>
    </row>
    <row r="1500" spans="16:28" ht="15" customHeight="1" x14ac:dyDescent="0.45">
      <c r="P1500" s="134"/>
      <c r="R1500" s="146"/>
      <c r="T1500" s="146"/>
      <c r="U1500" s="146"/>
      <c r="W1500" s="147"/>
      <c r="AB1500" s="156"/>
    </row>
    <row r="1501" spans="16:28" ht="15" customHeight="1" x14ac:dyDescent="0.45">
      <c r="P1501" s="134"/>
      <c r="R1501" s="146"/>
      <c r="T1501" s="146"/>
      <c r="U1501" s="146"/>
      <c r="W1501" s="147"/>
      <c r="AB1501" s="156"/>
    </row>
    <row r="1502" spans="16:28" ht="15" customHeight="1" x14ac:dyDescent="0.45">
      <c r="P1502" s="134"/>
      <c r="R1502" s="146"/>
      <c r="T1502" s="146"/>
      <c r="U1502" s="146"/>
      <c r="W1502" s="147"/>
      <c r="AB1502" s="156"/>
    </row>
    <row r="1503" spans="16:28" ht="15" customHeight="1" x14ac:dyDescent="0.45">
      <c r="P1503" s="134"/>
      <c r="R1503" s="146"/>
      <c r="T1503" s="146"/>
      <c r="U1503" s="146"/>
      <c r="W1503" s="147"/>
      <c r="AB1503" s="156"/>
    </row>
    <row r="1504" spans="16:28" ht="15" customHeight="1" x14ac:dyDescent="0.45">
      <c r="P1504" s="134"/>
      <c r="R1504" s="146"/>
      <c r="T1504" s="146"/>
      <c r="U1504" s="146"/>
      <c r="W1504" s="147"/>
      <c r="AB1504" s="156"/>
    </row>
    <row r="1505" spans="16:28" ht="15" customHeight="1" x14ac:dyDescent="0.45">
      <c r="P1505" s="134"/>
      <c r="R1505" s="146"/>
      <c r="T1505" s="146"/>
      <c r="U1505" s="146"/>
      <c r="W1505" s="147"/>
      <c r="AB1505" s="156"/>
    </row>
    <row r="1506" spans="16:28" ht="15" customHeight="1" x14ac:dyDescent="0.45">
      <c r="P1506" s="134"/>
      <c r="R1506" s="146"/>
      <c r="T1506" s="146"/>
      <c r="U1506" s="146"/>
      <c r="W1506" s="147"/>
      <c r="AB1506" s="156"/>
    </row>
    <row r="1507" spans="16:28" ht="15" customHeight="1" x14ac:dyDescent="0.45">
      <c r="P1507" s="134"/>
      <c r="R1507" s="146"/>
      <c r="T1507" s="146"/>
      <c r="U1507" s="146"/>
      <c r="W1507" s="147"/>
      <c r="AB1507" s="156"/>
    </row>
    <row r="1508" spans="16:28" ht="15" customHeight="1" x14ac:dyDescent="0.45">
      <c r="P1508" s="134"/>
      <c r="R1508" s="146"/>
      <c r="T1508" s="146"/>
      <c r="U1508" s="146"/>
      <c r="W1508" s="147"/>
      <c r="AB1508" s="156"/>
    </row>
    <row r="1509" spans="16:28" ht="15" customHeight="1" x14ac:dyDescent="0.45">
      <c r="P1509" s="134"/>
      <c r="R1509" s="146"/>
      <c r="T1509" s="146"/>
      <c r="U1509" s="146"/>
      <c r="W1509" s="147"/>
      <c r="AB1509" s="156"/>
    </row>
    <row r="1510" spans="16:28" ht="15" customHeight="1" x14ac:dyDescent="0.45">
      <c r="P1510" s="134"/>
      <c r="R1510" s="146"/>
      <c r="T1510" s="146"/>
      <c r="U1510" s="146"/>
      <c r="W1510" s="147"/>
      <c r="AB1510" s="156"/>
    </row>
    <row r="1511" spans="16:28" ht="15" customHeight="1" x14ac:dyDescent="0.45">
      <c r="P1511" s="134"/>
      <c r="R1511" s="146"/>
      <c r="T1511" s="146"/>
      <c r="U1511" s="146"/>
      <c r="W1511" s="147"/>
      <c r="AB1511" s="156"/>
    </row>
    <row r="1512" spans="16:28" ht="15" customHeight="1" x14ac:dyDescent="0.45">
      <c r="P1512" s="134"/>
      <c r="R1512" s="146"/>
      <c r="T1512" s="146"/>
      <c r="U1512" s="146"/>
      <c r="W1512" s="147"/>
      <c r="AB1512" s="156"/>
    </row>
    <row r="1513" spans="16:28" ht="15" customHeight="1" x14ac:dyDescent="0.45">
      <c r="P1513" s="134"/>
      <c r="R1513" s="146"/>
      <c r="T1513" s="146"/>
      <c r="U1513" s="146"/>
      <c r="W1513" s="147"/>
      <c r="AB1513" s="156"/>
    </row>
    <row r="1514" spans="16:28" ht="15" customHeight="1" x14ac:dyDescent="0.45">
      <c r="P1514" s="134"/>
      <c r="R1514" s="146"/>
      <c r="T1514" s="146"/>
      <c r="U1514" s="146"/>
      <c r="W1514" s="147"/>
      <c r="AB1514" s="156"/>
    </row>
    <row r="1515" spans="16:28" ht="15" customHeight="1" x14ac:dyDescent="0.45">
      <c r="P1515" s="134"/>
      <c r="R1515" s="146"/>
      <c r="T1515" s="146"/>
      <c r="U1515" s="146"/>
      <c r="W1515" s="147"/>
      <c r="AB1515" s="156"/>
    </row>
    <row r="1516" spans="16:28" ht="15" customHeight="1" x14ac:dyDescent="0.45">
      <c r="P1516" s="134"/>
      <c r="R1516" s="146"/>
      <c r="T1516" s="146"/>
      <c r="U1516" s="146"/>
      <c r="W1516" s="147"/>
      <c r="AB1516" s="156"/>
    </row>
    <row r="1517" spans="16:28" ht="15" customHeight="1" x14ac:dyDescent="0.45">
      <c r="P1517" s="134"/>
      <c r="R1517" s="146"/>
      <c r="T1517" s="146"/>
      <c r="U1517" s="146"/>
      <c r="W1517" s="147"/>
      <c r="AB1517" s="156"/>
    </row>
    <row r="1518" spans="16:28" ht="15" customHeight="1" x14ac:dyDescent="0.45">
      <c r="P1518" s="134"/>
      <c r="R1518" s="146"/>
      <c r="T1518" s="146"/>
      <c r="U1518" s="146"/>
      <c r="W1518" s="147"/>
      <c r="AB1518" s="156"/>
    </row>
    <row r="1519" spans="16:28" ht="15" customHeight="1" x14ac:dyDescent="0.45">
      <c r="P1519" s="134"/>
      <c r="R1519" s="146"/>
      <c r="T1519" s="146"/>
      <c r="U1519" s="146"/>
      <c r="W1519" s="147"/>
      <c r="AB1519" s="156"/>
    </row>
    <row r="1520" spans="16:28" ht="15" customHeight="1" x14ac:dyDescent="0.45">
      <c r="P1520" s="134"/>
      <c r="R1520" s="146"/>
      <c r="T1520" s="146"/>
      <c r="U1520" s="146"/>
      <c r="W1520" s="147"/>
      <c r="AB1520" s="156"/>
    </row>
    <row r="1521" spans="16:28" ht="15" customHeight="1" x14ac:dyDescent="0.45">
      <c r="P1521" s="134"/>
      <c r="R1521" s="146"/>
      <c r="T1521" s="146"/>
      <c r="U1521" s="146"/>
      <c r="W1521" s="147"/>
      <c r="AB1521" s="156"/>
    </row>
    <row r="1522" spans="16:28" ht="15" customHeight="1" x14ac:dyDescent="0.45">
      <c r="P1522" s="134"/>
      <c r="R1522" s="146"/>
      <c r="T1522" s="146"/>
      <c r="U1522" s="146"/>
      <c r="W1522" s="147"/>
      <c r="AB1522" s="156"/>
    </row>
    <row r="1523" spans="16:28" ht="15" customHeight="1" x14ac:dyDescent="0.45">
      <c r="P1523" s="134"/>
      <c r="R1523" s="146"/>
      <c r="T1523" s="146"/>
      <c r="U1523" s="146"/>
      <c r="W1523" s="147"/>
      <c r="AB1523" s="156"/>
    </row>
    <row r="1524" spans="16:28" ht="15" customHeight="1" x14ac:dyDescent="0.45">
      <c r="P1524" s="134"/>
      <c r="R1524" s="146"/>
      <c r="T1524" s="146"/>
      <c r="U1524" s="146"/>
      <c r="W1524" s="147"/>
      <c r="AB1524" s="156"/>
    </row>
    <row r="1525" spans="16:28" ht="15" customHeight="1" x14ac:dyDescent="0.45">
      <c r="P1525" s="134"/>
      <c r="R1525" s="146"/>
      <c r="T1525" s="146"/>
      <c r="U1525" s="146"/>
      <c r="W1525" s="147"/>
      <c r="AB1525" s="156"/>
    </row>
    <row r="1526" spans="16:28" ht="15" customHeight="1" x14ac:dyDescent="0.45">
      <c r="P1526" s="134"/>
      <c r="R1526" s="146"/>
      <c r="T1526" s="146"/>
      <c r="U1526" s="146"/>
      <c r="W1526" s="147"/>
      <c r="AB1526" s="156"/>
    </row>
    <row r="1527" spans="16:28" ht="15" customHeight="1" x14ac:dyDescent="0.45">
      <c r="P1527" s="134"/>
      <c r="R1527" s="146"/>
      <c r="T1527" s="146"/>
      <c r="U1527" s="146"/>
      <c r="W1527" s="147"/>
      <c r="AB1527" s="156"/>
    </row>
    <row r="1528" spans="16:28" ht="15" customHeight="1" x14ac:dyDescent="0.45">
      <c r="P1528" s="134"/>
      <c r="R1528" s="146"/>
      <c r="T1528" s="146"/>
      <c r="U1528" s="146"/>
      <c r="W1528" s="147"/>
      <c r="AB1528" s="156"/>
    </row>
    <row r="1529" spans="16:28" ht="15" customHeight="1" x14ac:dyDescent="0.45">
      <c r="P1529" s="134"/>
      <c r="R1529" s="146"/>
      <c r="T1529" s="146"/>
      <c r="U1529" s="146"/>
      <c r="W1529" s="147"/>
      <c r="AB1529" s="156"/>
    </row>
    <row r="1530" spans="16:28" ht="15" customHeight="1" x14ac:dyDescent="0.45">
      <c r="P1530" s="134"/>
      <c r="R1530" s="146"/>
      <c r="T1530" s="146"/>
      <c r="U1530" s="146"/>
      <c r="W1530" s="147"/>
      <c r="AB1530" s="156"/>
    </row>
    <row r="1531" spans="16:28" ht="15" customHeight="1" x14ac:dyDescent="0.45">
      <c r="P1531" s="134"/>
      <c r="R1531" s="146"/>
      <c r="T1531" s="146"/>
      <c r="U1531" s="146"/>
      <c r="W1531" s="147"/>
      <c r="AB1531" s="156"/>
    </row>
    <row r="1532" spans="16:28" ht="15" customHeight="1" x14ac:dyDescent="0.45">
      <c r="P1532" s="134"/>
      <c r="R1532" s="146"/>
      <c r="T1532" s="146"/>
      <c r="U1532" s="146"/>
      <c r="W1532" s="147"/>
      <c r="AB1532" s="156"/>
    </row>
    <row r="1533" spans="16:28" ht="15" customHeight="1" x14ac:dyDescent="0.45">
      <c r="P1533" s="134"/>
      <c r="R1533" s="146"/>
      <c r="T1533" s="146"/>
      <c r="U1533" s="146"/>
      <c r="W1533" s="147"/>
      <c r="AB1533" s="156"/>
    </row>
    <row r="1534" spans="16:28" ht="15" customHeight="1" x14ac:dyDescent="0.45">
      <c r="P1534" s="134"/>
      <c r="R1534" s="146"/>
      <c r="T1534" s="146"/>
      <c r="U1534" s="146"/>
      <c r="W1534" s="147"/>
      <c r="AB1534" s="156"/>
    </row>
    <row r="1535" spans="16:28" ht="15" customHeight="1" x14ac:dyDescent="0.45">
      <c r="P1535" s="134"/>
      <c r="R1535" s="146"/>
      <c r="T1535" s="146"/>
      <c r="U1535" s="146"/>
      <c r="W1535" s="147"/>
      <c r="AB1535" s="156"/>
    </row>
    <row r="1536" spans="16:28" ht="15" customHeight="1" x14ac:dyDescent="0.45">
      <c r="P1536" s="134"/>
      <c r="R1536" s="146"/>
      <c r="T1536" s="146"/>
      <c r="U1536" s="146"/>
      <c r="W1536" s="147"/>
      <c r="AB1536" s="156"/>
    </row>
    <row r="1537" spans="16:28" ht="15" customHeight="1" x14ac:dyDescent="0.45">
      <c r="P1537" s="134"/>
      <c r="R1537" s="146"/>
      <c r="T1537" s="146"/>
      <c r="U1537" s="146"/>
      <c r="W1537" s="147"/>
      <c r="AB1537" s="156"/>
    </row>
    <row r="1538" spans="16:28" ht="15" customHeight="1" x14ac:dyDescent="0.45">
      <c r="P1538" s="134"/>
      <c r="R1538" s="146"/>
      <c r="T1538" s="146"/>
      <c r="U1538" s="146"/>
      <c r="W1538" s="147"/>
      <c r="AB1538" s="156"/>
    </row>
    <row r="1539" spans="16:28" ht="15" customHeight="1" x14ac:dyDescent="0.45">
      <c r="P1539" s="134"/>
      <c r="R1539" s="146"/>
      <c r="T1539" s="146"/>
      <c r="U1539" s="146"/>
      <c r="W1539" s="147"/>
      <c r="AB1539" s="156"/>
    </row>
    <row r="1540" spans="16:28" ht="15" customHeight="1" x14ac:dyDescent="0.45">
      <c r="P1540" s="134"/>
      <c r="R1540" s="146"/>
      <c r="T1540" s="146"/>
      <c r="U1540" s="146"/>
      <c r="W1540" s="147"/>
      <c r="AB1540" s="156"/>
    </row>
    <row r="1541" spans="16:28" ht="15" customHeight="1" x14ac:dyDescent="0.45">
      <c r="P1541" s="134"/>
      <c r="R1541" s="146"/>
      <c r="T1541" s="146"/>
      <c r="U1541" s="146"/>
      <c r="W1541" s="147"/>
      <c r="AB1541" s="156"/>
    </row>
    <row r="1542" spans="16:28" ht="15" customHeight="1" x14ac:dyDescent="0.45">
      <c r="P1542" s="134"/>
      <c r="R1542" s="146"/>
      <c r="T1542" s="146"/>
      <c r="U1542" s="146"/>
      <c r="W1542" s="147"/>
      <c r="AB1542" s="156"/>
    </row>
    <row r="1543" spans="16:28" ht="15" customHeight="1" x14ac:dyDescent="0.45">
      <c r="P1543" s="134"/>
      <c r="R1543" s="146"/>
      <c r="T1543" s="146"/>
      <c r="U1543" s="146"/>
      <c r="W1543" s="147"/>
      <c r="AB1543" s="156"/>
    </row>
    <row r="1544" spans="16:28" ht="15" customHeight="1" x14ac:dyDescent="0.45">
      <c r="P1544" s="134"/>
      <c r="R1544" s="146"/>
      <c r="T1544" s="146"/>
      <c r="U1544" s="146"/>
      <c r="W1544" s="147"/>
      <c r="AB1544" s="156"/>
    </row>
    <row r="1545" spans="16:28" ht="15" customHeight="1" x14ac:dyDescent="0.45">
      <c r="P1545" s="134"/>
      <c r="R1545" s="146"/>
      <c r="T1545" s="146"/>
      <c r="U1545" s="146"/>
      <c r="W1545" s="147"/>
      <c r="AB1545" s="156"/>
    </row>
    <row r="1546" spans="16:28" ht="15" customHeight="1" x14ac:dyDescent="0.45">
      <c r="P1546" s="134"/>
      <c r="R1546" s="146"/>
      <c r="T1546" s="146"/>
      <c r="U1546" s="146"/>
      <c r="W1546" s="147"/>
      <c r="AB1546" s="156"/>
    </row>
    <row r="1547" spans="16:28" ht="15" customHeight="1" x14ac:dyDescent="0.45">
      <c r="P1547" s="134"/>
      <c r="R1547" s="146"/>
      <c r="T1547" s="146"/>
      <c r="U1547" s="146"/>
      <c r="W1547" s="147"/>
      <c r="AB1547" s="156"/>
    </row>
    <row r="1548" spans="16:28" ht="15" customHeight="1" x14ac:dyDescent="0.45">
      <c r="P1548" s="134"/>
      <c r="R1548" s="146"/>
      <c r="T1548" s="146"/>
      <c r="U1548" s="146"/>
      <c r="W1548" s="147"/>
      <c r="AB1548" s="156"/>
    </row>
    <row r="1549" spans="16:28" ht="15" customHeight="1" x14ac:dyDescent="0.45">
      <c r="P1549" s="134"/>
      <c r="R1549" s="146"/>
      <c r="T1549" s="146"/>
      <c r="U1549" s="146"/>
      <c r="W1549" s="147"/>
      <c r="AB1549" s="156"/>
    </row>
    <row r="1550" spans="16:28" ht="15" customHeight="1" x14ac:dyDescent="0.45">
      <c r="P1550" s="134"/>
      <c r="R1550" s="146"/>
      <c r="T1550" s="146"/>
      <c r="U1550" s="146"/>
      <c r="W1550" s="147"/>
      <c r="AB1550" s="156"/>
    </row>
    <row r="1551" spans="16:28" ht="15" customHeight="1" x14ac:dyDescent="0.45">
      <c r="P1551" s="134"/>
      <c r="R1551" s="146"/>
      <c r="T1551" s="146"/>
      <c r="U1551" s="146"/>
      <c r="W1551" s="147"/>
      <c r="AB1551" s="156"/>
    </row>
    <row r="1552" spans="16:28" ht="15" customHeight="1" x14ac:dyDescent="0.45">
      <c r="P1552" s="134"/>
      <c r="R1552" s="146"/>
      <c r="T1552" s="146"/>
      <c r="U1552" s="146"/>
      <c r="W1552" s="147"/>
      <c r="AB1552" s="156"/>
    </row>
    <row r="1553" spans="16:28" ht="15" customHeight="1" x14ac:dyDescent="0.45">
      <c r="P1553" s="134"/>
      <c r="R1553" s="146"/>
      <c r="T1553" s="146"/>
      <c r="U1553" s="146"/>
      <c r="W1553" s="147"/>
      <c r="AB1553" s="156"/>
    </row>
    <row r="1554" spans="16:28" ht="15" customHeight="1" x14ac:dyDescent="0.45">
      <c r="P1554" s="134"/>
      <c r="R1554" s="146"/>
      <c r="T1554" s="146"/>
      <c r="U1554" s="146"/>
      <c r="W1554" s="147"/>
      <c r="AB1554" s="156"/>
    </row>
    <row r="1555" spans="16:28" ht="15" customHeight="1" x14ac:dyDescent="0.45">
      <c r="P1555" s="134"/>
      <c r="R1555" s="146"/>
      <c r="T1555" s="146"/>
      <c r="U1555" s="146"/>
      <c r="W1555" s="147"/>
      <c r="AB1555" s="156"/>
    </row>
    <row r="1556" spans="16:28" ht="15" customHeight="1" x14ac:dyDescent="0.45">
      <c r="P1556" s="134"/>
      <c r="R1556" s="146"/>
      <c r="T1556" s="146"/>
      <c r="U1556" s="146"/>
      <c r="W1556" s="147"/>
      <c r="AB1556" s="156"/>
    </row>
    <row r="1557" spans="16:28" ht="15" customHeight="1" x14ac:dyDescent="0.45">
      <c r="P1557" s="134"/>
      <c r="R1557" s="146"/>
      <c r="T1557" s="146"/>
      <c r="U1557" s="146"/>
      <c r="W1557" s="147"/>
      <c r="AB1557" s="156"/>
    </row>
    <row r="1558" spans="16:28" ht="15" customHeight="1" x14ac:dyDescent="0.45">
      <c r="P1558" s="134"/>
      <c r="R1558" s="146"/>
      <c r="T1558" s="146"/>
      <c r="U1558" s="146"/>
      <c r="W1558" s="147"/>
      <c r="AB1558" s="156"/>
    </row>
    <row r="1559" spans="16:28" ht="15" customHeight="1" x14ac:dyDescent="0.45">
      <c r="P1559" s="134"/>
      <c r="R1559" s="146"/>
      <c r="T1559" s="146"/>
      <c r="U1559" s="146"/>
      <c r="W1559" s="147"/>
      <c r="AB1559" s="156"/>
    </row>
    <row r="1560" spans="16:28" ht="15" customHeight="1" x14ac:dyDescent="0.45">
      <c r="P1560" s="134"/>
      <c r="R1560" s="146"/>
      <c r="T1560" s="146"/>
      <c r="U1560" s="146"/>
      <c r="W1560" s="147"/>
      <c r="AB1560" s="156"/>
    </row>
    <row r="1561" spans="16:28" ht="15" customHeight="1" x14ac:dyDescent="0.45">
      <c r="P1561" s="134"/>
      <c r="R1561" s="146"/>
      <c r="T1561" s="146"/>
      <c r="U1561" s="146"/>
      <c r="W1561" s="147"/>
      <c r="AB1561" s="156"/>
    </row>
    <row r="1562" spans="16:28" ht="15" customHeight="1" x14ac:dyDescent="0.45">
      <c r="P1562" s="134"/>
      <c r="R1562" s="146"/>
      <c r="T1562" s="146"/>
      <c r="U1562" s="146"/>
      <c r="W1562" s="147"/>
      <c r="AB1562" s="156"/>
    </row>
    <row r="1563" spans="16:28" ht="15" customHeight="1" x14ac:dyDescent="0.45">
      <c r="P1563" s="134"/>
      <c r="R1563" s="146"/>
      <c r="T1563" s="146"/>
      <c r="U1563" s="146"/>
      <c r="W1563" s="147"/>
      <c r="AB1563" s="156"/>
    </row>
    <row r="1564" spans="16:28" ht="15" customHeight="1" x14ac:dyDescent="0.45">
      <c r="P1564" s="134"/>
      <c r="R1564" s="146"/>
      <c r="T1564" s="146"/>
      <c r="U1564" s="146"/>
      <c r="W1564" s="147"/>
      <c r="AB1564" s="156"/>
    </row>
    <row r="1565" spans="16:28" ht="15" customHeight="1" x14ac:dyDescent="0.45">
      <c r="P1565" s="134"/>
      <c r="R1565" s="146"/>
      <c r="T1565" s="146"/>
      <c r="U1565" s="146"/>
      <c r="W1565" s="147"/>
      <c r="AB1565" s="156"/>
    </row>
    <row r="1566" spans="16:28" ht="15" customHeight="1" x14ac:dyDescent="0.45">
      <c r="P1566" s="134"/>
      <c r="R1566" s="146"/>
      <c r="T1566" s="146"/>
      <c r="U1566" s="146"/>
      <c r="W1566" s="147"/>
      <c r="AB1566" s="156"/>
    </row>
    <row r="1567" spans="16:28" ht="15" customHeight="1" x14ac:dyDescent="0.45">
      <c r="P1567" s="134"/>
      <c r="R1567" s="146"/>
      <c r="T1567" s="146"/>
      <c r="U1567" s="146"/>
      <c r="W1567" s="147"/>
      <c r="AB1567" s="156"/>
    </row>
    <row r="1568" spans="16:28" ht="15" customHeight="1" x14ac:dyDescent="0.45">
      <c r="P1568" s="134"/>
      <c r="R1568" s="146"/>
      <c r="T1568" s="146"/>
      <c r="U1568" s="146"/>
      <c r="W1568" s="147"/>
      <c r="AB1568" s="156"/>
    </row>
    <row r="1569" spans="16:28" ht="15" customHeight="1" x14ac:dyDescent="0.45">
      <c r="P1569" s="134"/>
      <c r="R1569" s="146"/>
      <c r="T1569" s="146"/>
      <c r="U1569" s="146"/>
      <c r="W1569" s="147"/>
      <c r="AB1569" s="156"/>
    </row>
    <row r="1570" spans="16:28" ht="15" customHeight="1" x14ac:dyDescent="0.45">
      <c r="P1570" s="134"/>
      <c r="R1570" s="146"/>
      <c r="T1570" s="146"/>
      <c r="U1570" s="146"/>
      <c r="W1570" s="147"/>
      <c r="AB1570" s="156"/>
    </row>
    <row r="1571" spans="16:28" ht="15" customHeight="1" x14ac:dyDescent="0.45">
      <c r="P1571" s="134"/>
      <c r="R1571" s="146"/>
      <c r="T1571" s="146"/>
      <c r="U1571" s="146"/>
      <c r="W1571" s="147"/>
      <c r="AB1571" s="156"/>
    </row>
    <row r="1572" spans="16:28" ht="15" customHeight="1" x14ac:dyDescent="0.45">
      <c r="P1572" s="134"/>
      <c r="R1572" s="146"/>
      <c r="T1572" s="146"/>
      <c r="U1572" s="146"/>
      <c r="W1572" s="147"/>
      <c r="AB1572" s="156"/>
    </row>
    <row r="1573" spans="16:28" ht="15" customHeight="1" x14ac:dyDescent="0.45">
      <c r="P1573" s="134"/>
      <c r="R1573" s="146"/>
      <c r="T1573" s="146"/>
      <c r="U1573" s="146"/>
      <c r="W1573" s="147"/>
      <c r="AB1573" s="156"/>
    </row>
    <row r="1574" spans="16:28" ht="15" customHeight="1" x14ac:dyDescent="0.45">
      <c r="P1574" s="134"/>
      <c r="R1574" s="146"/>
      <c r="T1574" s="146"/>
      <c r="U1574" s="146"/>
      <c r="W1574" s="147"/>
      <c r="AB1574" s="156"/>
    </row>
    <row r="1575" spans="16:28" ht="15" customHeight="1" x14ac:dyDescent="0.45">
      <c r="P1575" s="134"/>
      <c r="R1575" s="146"/>
      <c r="T1575" s="146"/>
      <c r="U1575" s="146"/>
      <c r="W1575" s="147"/>
      <c r="AB1575" s="156"/>
    </row>
    <row r="1576" spans="16:28" ht="15" customHeight="1" x14ac:dyDescent="0.45">
      <c r="P1576" s="134"/>
      <c r="R1576" s="146"/>
      <c r="T1576" s="146"/>
      <c r="U1576" s="146"/>
      <c r="W1576" s="147"/>
      <c r="AB1576" s="156"/>
    </row>
    <row r="1577" spans="16:28" ht="15" customHeight="1" x14ac:dyDescent="0.45">
      <c r="P1577" s="134"/>
      <c r="R1577" s="146"/>
      <c r="T1577" s="146"/>
      <c r="U1577" s="146"/>
      <c r="W1577" s="147"/>
      <c r="AB1577" s="156"/>
    </row>
    <row r="1578" spans="16:28" ht="15" customHeight="1" x14ac:dyDescent="0.45">
      <c r="P1578" s="134"/>
      <c r="R1578" s="146"/>
      <c r="T1578" s="146"/>
      <c r="U1578" s="146"/>
      <c r="W1578" s="147"/>
      <c r="AB1578" s="156"/>
    </row>
    <row r="1579" spans="16:28" ht="15" customHeight="1" x14ac:dyDescent="0.45">
      <c r="P1579" s="134"/>
      <c r="R1579" s="146"/>
      <c r="T1579" s="146"/>
      <c r="U1579" s="146"/>
      <c r="W1579" s="147"/>
      <c r="AB1579" s="156"/>
    </row>
    <row r="1580" spans="16:28" ht="15" customHeight="1" x14ac:dyDescent="0.45">
      <c r="P1580" s="134"/>
      <c r="R1580" s="146"/>
      <c r="T1580" s="146"/>
      <c r="U1580" s="146"/>
      <c r="W1580" s="147"/>
      <c r="AB1580" s="156"/>
    </row>
    <row r="1581" spans="16:28" ht="15" customHeight="1" x14ac:dyDescent="0.45">
      <c r="P1581" s="134"/>
      <c r="R1581" s="146"/>
      <c r="T1581" s="146"/>
      <c r="U1581" s="146"/>
      <c r="W1581" s="147"/>
      <c r="AB1581" s="156"/>
    </row>
    <row r="1582" spans="16:28" ht="15" customHeight="1" x14ac:dyDescent="0.45">
      <c r="P1582" s="134"/>
      <c r="R1582" s="146"/>
      <c r="T1582" s="146"/>
      <c r="U1582" s="146"/>
      <c r="W1582" s="147"/>
      <c r="AB1582" s="156"/>
    </row>
    <row r="1583" spans="16:28" ht="15" customHeight="1" x14ac:dyDescent="0.45">
      <c r="P1583" s="134"/>
      <c r="R1583" s="146"/>
      <c r="T1583" s="146"/>
      <c r="U1583" s="146"/>
      <c r="W1583" s="147"/>
      <c r="AB1583" s="156"/>
    </row>
    <row r="1584" spans="16:28" ht="15" customHeight="1" x14ac:dyDescent="0.45">
      <c r="P1584" s="134"/>
      <c r="R1584" s="146"/>
      <c r="T1584" s="146"/>
      <c r="U1584" s="146"/>
      <c r="W1584" s="147"/>
      <c r="AB1584" s="156"/>
    </row>
    <row r="1585" spans="16:28" ht="15" customHeight="1" x14ac:dyDescent="0.45">
      <c r="P1585" s="134"/>
      <c r="R1585" s="146"/>
      <c r="T1585" s="146"/>
      <c r="U1585" s="146"/>
      <c r="W1585" s="147"/>
      <c r="AB1585" s="156"/>
    </row>
    <row r="1586" spans="16:28" ht="15" customHeight="1" x14ac:dyDescent="0.45">
      <c r="P1586" s="134"/>
      <c r="R1586" s="146"/>
      <c r="T1586" s="146"/>
      <c r="U1586" s="146"/>
      <c r="W1586" s="147"/>
      <c r="AB1586" s="156"/>
    </row>
    <row r="1587" spans="16:28" ht="15" customHeight="1" x14ac:dyDescent="0.45">
      <c r="P1587" s="134"/>
      <c r="R1587" s="146"/>
      <c r="T1587" s="146"/>
      <c r="U1587" s="146"/>
      <c r="W1587" s="147"/>
      <c r="AB1587" s="156"/>
    </row>
    <row r="1588" spans="16:28" ht="15" customHeight="1" x14ac:dyDescent="0.45">
      <c r="P1588" s="134"/>
      <c r="R1588" s="146"/>
      <c r="T1588" s="146"/>
      <c r="U1588" s="146"/>
      <c r="W1588" s="147"/>
      <c r="AB1588" s="156"/>
    </row>
    <row r="1589" spans="16:28" ht="15" customHeight="1" x14ac:dyDescent="0.45">
      <c r="P1589" s="134"/>
      <c r="R1589" s="146"/>
      <c r="T1589" s="146"/>
      <c r="U1589" s="146"/>
      <c r="W1589" s="147"/>
      <c r="AB1589" s="156"/>
    </row>
    <row r="1590" spans="16:28" ht="15" customHeight="1" x14ac:dyDescent="0.45">
      <c r="P1590" s="134"/>
      <c r="R1590" s="146"/>
      <c r="T1590" s="146"/>
      <c r="U1590" s="146"/>
      <c r="W1590" s="147"/>
      <c r="AB1590" s="156"/>
    </row>
    <row r="1591" spans="16:28" ht="15" customHeight="1" x14ac:dyDescent="0.45">
      <c r="P1591" s="134"/>
      <c r="R1591" s="146"/>
      <c r="T1591" s="146"/>
      <c r="U1591" s="146"/>
      <c r="W1591" s="147"/>
      <c r="AB1591" s="156"/>
    </row>
    <row r="1592" spans="16:28" ht="15" customHeight="1" x14ac:dyDescent="0.45">
      <c r="P1592" s="134"/>
      <c r="R1592" s="146"/>
      <c r="T1592" s="146"/>
      <c r="U1592" s="146"/>
      <c r="W1592" s="147"/>
      <c r="AB1592" s="156"/>
    </row>
    <row r="1593" spans="16:28" ht="15" customHeight="1" x14ac:dyDescent="0.45">
      <c r="P1593" s="134"/>
      <c r="R1593" s="146"/>
      <c r="T1593" s="146"/>
      <c r="U1593" s="146"/>
      <c r="W1593" s="147"/>
      <c r="AB1593" s="156"/>
    </row>
    <row r="1594" spans="16:28" ht="15" customHeight="1" x14ac:dyDescent="0.45">
      <c r="P1594" s="134"/>
      <c r="R1594" s="146"/>
      <c r="T1594" s="146"/>
      <c r="U1594" s="146"/>
      <c r="W1594" s="147"/>
      <c r="AB1594" s="156"/>
    </row>
    <row r="1595" spans="16:28" ht="15" customHeight="1" x14ac:dyDescent="0.45">
      <c r="P1595" s="134"/>
      <c r="R1595" s="146"/>
      <c r="T1595" s="146"/>
      <c r="U1595" s="146"/>
      <c r="W1595" s="147"/>
      <c r="AB1595" s="156"/>
    </row>
    <row r="1596" spans="16:28" ht="15" customHeight="1" x14ac:dyDescent="0.45">
      <c r="P1596" s="134"/>
      <c r="R1596" s="146"/>
      <c r="T1596" s="146"/>
      <c r="U1596" s="146"/>
      <c r="W1596" s="147"/>
      <c r="AB1596" s="156"/>
    </row>
    <row r="1597" spans="16:28" ht="15" customHeight="1" x14ac:dyDescent="0.45">
      <c r="P1597" s="134"/>
      <c r="R1597" s="146"/>
      <c r="T1597" s="146"/>
      <c r="U1597" s="146"/>
      <c r="W1597" s="147"/>
      <c r="AB1597" s="156"/>
    </row>
    <row r="1598" spans="16:28" ht="15" customHeight="1" x14ac:dyDescent="0.45">
      <c r="P1598" s="134"/>
      <c r="R1598" s="146"/>
      <c r="T1598" s="146"/>
      <c r="U1598" s="146"/>
      <c r="W1598" s="147"/>
      <c r="AB1598" s="156"/>
    </row>
    <row r="1599" spans="16:28" ht="15" customHeight="1" x14ac:dyDescent="0.45">
      <c r="P1599" s="134"/>
      <c r="R1599" s="146"/>
      <c r="T1599" s="146"/>
      <c r="U1599" s="146"/>
      <c r="W1599" s="147"/>
      <c r="AB1599" s="156"/>
    </row>
    <row r="1600" spans="16:28" ht="15" customHeight="1" x14ac:dyDescent="0.45">
      <c r="P1600" s="134"/>
      <c r="R1600" s="146"/>
      <c r="T1600" s="146"/>
      <c r="U1600" s="146"/>
      <c r="W1600" s="147"/>
      <c r="AB1600" s="156"/>
    </row>
    <row r="1601" spans="16:28" ht="15" customHeight="1" x14ac:dyDescent="0.45">
      <c r="P1601" s="134"/>
      <c r="R1601" s="146"/>
      <c r="T1601" s="146"/>
      <c r="U1601" s="146"/>
      <c r="W1601" s="147"/>
      <c r="AB1601" s="156"/>
    </row>
    <row r="1602" spans="16:28" ht="15" customHeight="1" x14ac:dyDescent="0.45">
      <c r="P1602" s="134"/>
      <c r="R1602" s="146"/>
      <c r="T1602" s="146"/>
      <c r="U1602" s="146"/>
      <c r="W1602" s="147"/>
      <c r="AB1602" s="156"/>
    </row>
    <row r="1603" spans="16:28" ht="15" customHeight="1" x14ac:dyDescent="0.45">
      <c r="P1603" s="134"/>
      <c r="R1603" s="146"/>
      <c r="T1603" s="146"/>
      <c r="U1603" s="146"/>
      <c r="W1603" s="147"/>
      <c r="AB1603" s="156"/>
    </row>
    <row r="1604" spans="16:28" ht="15" customHeight="1" x14ac:dyDescent="0.45">
      <c r="P1604" s="134"/>
      <c r="R1604" s="146"/>
      <c r="T1604" s="146"/>
      <c r="U1604" s="146"/>
      <c r="W1604" s="147"/>
      <c r="AB1604" s="156"/>
    </row>
    <row r="1605" spans="16:28" ht="15" customHeight="1" x14ac:dyDescent="0.45">
      <c r="P1605" s="134"/>
      <c r="R1605" s="146"/>
      <c r="T1605" s="146"/>
      <c r="U1605" s="146"/>
      <c r="W1605" s="147"/>
      <c r="AB1605" s="156"/>
    </row>
    <row r="1606" spans="16:28" ht="15" customHeight="1" x14ac:dyDescent="0.45">
      <c r="P1606" s="134"/>
      <c r="R1606" s="146"/>
      <c r="T1606" s="146"/>
      <c r="U1606" s="146"/>
      <c r="W1606" s="147"/>
      <c r="AB1606" s="156"/>
    </row>
    <row r="1607" spans="16:28" ht="15" customHeight="1" x14ac:dyDescent="0.45">
      <c r="P1607" s="134"/>
      <c r="R1607" s="146"/>
      <c r="T1607" s="146"/>
      <c r="U1607" s="146"/>
      <c r="W1607" s="147"/>
      <c r="AB1607" s="156"/>
    </row>
    <row r="1608" spans="16:28" ht="15" customHeight="1" x14ac:dyDescent="0.45">
      <c r="P1608" s="134"/>
      <c r="R1608" s="146"/>
      <c r="T1608" s="146"/>
      <c r="U1608" s="146"/>
      <c r="W1608" s="147"/>
      <c r="AB1608" s="156"/>
    </row>
    <row r="1609" spans="16:28" ht="15" customHeight="1" x14ac:dyDescent="0.45">
      <c r="P1609" s="134"/>
      <c r="R1609" s="146"/>
      <c r="T1609" s="146"/>
      <c r="U1609" s="146"/>
      <c r="W1609" s="147"/>
      <c r="AB1609" s="156"/>
    </row>
    <row r="1610" spans="16:28" ht="15" customHeight="1" x14ac:dyDescent="0.45">
      <c r="P1610" s="134"/>
      <c r="R1610" s="146"/>
      <c r="T1610" s="146"/>
      <c r="U1610" s="146"/>
      <c r="W1610" s="147"/>
      <c r="AB1610" s="156"/>
    </row>
    <row r="1611" spans="16:28" ht="15" customHeight="1" x14ac:dyDescent="0.45">
      <c r="P1611" s="134"/>
      <c r="R1611" s="146"/>
      <c r="T1611" s="146"/>
      <c r="U1611" s="146"/>
      <c r="W1611" s="147"/>
      <c r="AB1611" s="156"/>
    </row>
    <row r="1612" spans="16:28" ht="15" customHeight="1" x14ac:dyDescent="0.45">
      <c r="P1612" s="134"/>
      <c r="R1612" s="146"/>
      <c r="T1612" s="146"/>
      <c r="U1612" s="146"/>
      <c r="W1612" s="147"/>
      <c r="AB1612" s="156"/>
    </row>
    <row r="1613" spans="16:28" ht="15" customHeight="1" x14ac:dyDescent="0.45">
      <c r="P1613" s="134"/>
      <c r="R1613" s="146"/>
      <c r="T1613" s="146"/>
      <c r="U1613" s="146"/>
      <c r="W1613" s="147"/>
      <c r="AB1613" s="156"/>
    </row>
    <row r="1614" spans="16:28" ht="15" customHeight="1" x14ac:dyDescent="0.45">
      <c r="P1614" s="134"/>
      <c r="R1614" s="146"/>
      <c r="T1614" s="146"/>
      <c r="U1614" s="146"/>
      <c r="W1614" s="147"/>
      <c r="AB1614" s="156"/>
    </row>
    <row r="1615" spans="16:28" ht="15" customHeight="1" x14ac:dyDescent="0.45">
      <c r="P1615" s="134"/>
      <c r="R1615" s="146"/>
      <c r="T1615" s="146"/>
      <c r="U1615" s="146"/>
      <c r="W1615" s="147"/>
      <c r="AB1615" s="156"/>
    </row>
    <row r="1616" spans="16:28" ht="15" customHeight="1" x14ac:dyDescent="0.45">
      <c r="P1616" s="134"/>
      <c r="R1616" s="146"/>
      <c r="T1616" s="146"/>
      <c r="U1616" s="146"/>
      <c r="W1616" s="147"/>
      <c r="AB1616" s="156"/>
    </row>
    <row r="1617" spans="16:28" ht="15" customHeight="1" x14ac:dyDescent="0.45">
      <c r="P1617" s="134"/>
      <c r="R1617" s="146"/>
      <c r="T1617" s="146"/>
      <c r="U1617" s="146"/>
      <c r="W1617" s="147"/>
      <c r="AB1617" s="156"/>
    </row>
    <row r="1618" spans="16:28" ht="15" customHeight="1" x14ac:dyDescent="0.45">
      <c r="P1618" s="134"/>
      <c r="R1618" s="146"/>
      <c r="T1618" s="146"/>
      <c r="U1618" s="146"/>
      <c r="W1618" s="147"/>
      <c r="AB1618" s="156"/>
    </row>
    <row r="1619" spans="16:28" ht="15" customHeight="1" x14ac:dyDescent="0.45">
      <c r="P1619" s="134"/>
      <c r="R1619" s="146"/>
      <c r="T1619" s="146"/>
      <c r="U1619" s="146"/>
      <c r="W1619" s="147"/>
      <c r="AB1619" s="156"/>
    </row>
    <row r="1620" spans="16:28" ht="15" customHeight="1" x14ac:dyDescent="0.45">
      <c r="P1620" s="134"/>
      <c r="R1620" s="146"/>
      <c r="T1620" s="146"/>
      <c r="U1620" s="146"/>
      <c r="W1620" s="147"/>
      <c r="AB1620" s="156"/>
    </row>
    <row r="1621" spans="16:28" ht="15" customHeight="1" x14ac:dyDescent="0.45">
      <c r="P1621" s="134"/>
      <c r="R1621" s="146"/>
      <c r="T1621" s="146"/>
      <c r="U1621" s="146"/>
      <c r="W1621" s="147"/>
      <c r="AB1621" s="156"/>
    </row>
    <row r="1622" spans="16:28" ht="15" customHeight="1" x14ac:dyDescent="0.45">
      <c r="P1622" s="134"/>
      <c r="R1622" s="146"/>
      <c r="T1622" s="146"/>
      <c r="U1622" s="146"/>
      <c r="W1622" s="147"/>
      <c r="AB1622" s="156"/>
    </row>
    <row r="1623" spans="16:28" ht="15" customHeight="1" x14ac:dyDescent="0.45">
      <c r="P1623" s="134"/>
      <c r="R1623" s="146"/>
      <c r="T1623" s="146"/>
      <c r="U1623" s="146"/>
      <c r="W1623" s="147"/>
      <c r="AB1623" s="156"/>
    </row>
    <row r="1624" spans="16:28" ht="15" customHeight="1" x14ac:dyDescent="0.45">
      <c r="P1624" s="134"/>
      <c r="R1624" s="146"/>
      <c r="T1624" s="146"/>
      <c r="U1624" s="146"/>
      <c r="W1624" s="147"/>
      <c r="AB1624" s="156"/>
    </row>
    <row r="1625" spans="16:28" ht="15" customHeight="1" x14ac:dyDescent="0.45">
      <c r="P1625" s="134"/>
      <c r="R1625" s="146"/>
      <c r="T1625" s="146"/>
      <c r="U1625" s="146"/>
      <c r="W1625" s="147"/>
      <c r="AB1625" s="156"/>
    </row>
    <row r="1626" spans="16:28" ht="15" customHeight="1" x14ac:dyDescent="0.45">
      <c r="P1626" s="134"/>
      <c r="R1626" s="146"/>
      <c r="T1626" s="146"/>
      <c r="U1626" s="146"/>
      <c r="W1626" s="147"/>
      <c r="AB1626" s="156"/>
    </row>
    <row r="1627" spans="16:28" ht="15" customHeight="1" x14ac:dyDescent="0.45">
      <c r="P1627" s="134"/>
      <c r="R1627" s="146"/>
      <c r="T1627" s="146"/>
      <c r="U1627" s="146"/>
      <c r="W1627" s="147"/>
      <c r="AB1627" s="156"/>
    </row>
    <row r="1628" spans="16:28" ht="15" customHeight="1" x14ac:dyDescent="0.45">
      <c r="P1628" s="134"/>
      <c r="R1628" s="146"/>
      <c r="T1628" s="146"/>
      <c r="U1628" s="146"/>
      <c r="W1628" s="147"/>
      <c r="AB1628" s="156"/>
    </row>
    <row r="1629" spans="16:28" ht="15" customHeight="1" x14ac:dyDescent="0.45">
      <c r="P1629" s="134"/>
      <c r="R1629" s="146"/>
      <c r="T1629" s="146"/>
      <c r="U1629" s="146"/>
      <c r="W1629" s="147"/>
      <c r="AB1629" s="156"/>
    </row>
    <row r="1630" spans="16:28" ht="15" customHeight="1" x14ac:dyDescent="0.45">
      <c r="P1630" s="134"/>
      <c r="R1630" s="146"/>
      <c r="T1630" s="146"/>
      <c r="U1630" s="146"/>
      <c r="W1630" s="147"/>
      <c r="AB1630" s="156"/>
    </row>
    <row r="1631" spans="16:28" ht="15" customHeight="1" x14ac:dyDescent="0.45">
      <c r="P1631" s="134"/>
      <c r="R1631" s="146"/>
      <c r="T1631" s="146"/>
      <c r="U1631" s="146"/>
      <c r="W1631" s="147"/>
      <c r="AB1631" s="156"/>
    </row>
    <row r="1632" spans="16:28" ht="15" customHeight="1" x14ac:dyDescent="0.45">
      <c r="P1632" s="134"/>
      <c r="R1632" s="146"/>
      <c r="T1632" s="146"/>
      <c r="U1632" s="146"/>
      <c r="W1632" s="147"/>
      <c r="AB1632" s="156"/>
    </row>
    <row r="1633" spans="16:28" ht="15" customHeight="1" x14ac:dyDescent="0.45">
      <c r="P1633" s="134"/>
      <c r="R1633" s="146"/>
      <c r="T1633" s="146"/>
      <c r="U1633" s="146"/>
      <c r="W1633" s="147"/>
      <c r="AB1633" s="156"/>
    </row>
    <row r="1634" spans="16:28" ht="15" customHeight="1" x14ac:dyDescent="0.45">
      <c r="P1634" s="134"/>
      <c r="R1634" s="146"/>
      <c r="T1634" s="146"/>
      <c r="U1634" s="146"/>
      <c r="W1634" s="147"/>
      <c r="AB1634" s="156"/>
    </row>
    <row r="1635" spans="16:28" ht="15" customHeight="1" x14ac:dyDescent="0.45">
      <c r="P1635" s="134"/>
      <c r="R1635" s="146"/>
      <c r="T1635" s="146"/>
      <c r="U1635" s="146"/>
      <c r="W1635" s="147"/>
      <c r="AB1635" s="156"/>
    </row>
    <row r="1636" spans="16:28" ht="15" customHeight="1" x14ac:dyDescent="0.45">
      <c r="P1636" s="134"/>
      <c r="R1636" s="146"/>
      <c r="T1636" s="146"/>
      <c r="U1636" s="146"/>
      <c r="W1636" s="147"/>
      <c r="AB1636" s="156"/>
    </row>
    <row r="1637" spans="16:28" ht="15" customHeight="1" x14ac:dyDescent="0.45">
      <c r="P1637" s="134"/>
      <c r="R1637" s="146"/>
      <c r="T1637" s="146"/>
      <c r="U1637" s="146"/>
      <c r="W1637" s="147"/>
      <c r="AB1637" s="156"/>
    </row>
    <row r="1638" spans="16:28" ht="15" customHeight="1" x14ac:dyDescent="0.45">
      <c r="P1638" s="134"/>
      <c r="R1638" s="146"/>
      <c r="T1638" s="146"/>
      <c r="U1638" s="146"/>
      <c r="W1638" s="147"/>
      <c r="AB1638" s="156"/>
    </row>
    <row r="1639" spans="16:28" ht="15" customHeight="1" x14ac:dyDescent="0.45">
      <c r="P1639" s="134"/>
      <c r="R1639" s="146"/>
      <c r="T1639" s="146"/>
      <c r="U1639" s="146"/>
      <c r="W1639" s="147"/>
      <c r="AB1639" s="156"/>
    </row>
    <row r="1640" spans="16:28" ht="15" customHeight="1" x14ac:dyDescent="0.45">
      <c r="P1640" s="134"/>
      <c r="R1640" s="146"/>
      <c r="T1640" s="146"/>
      <c r="U1640" s="146"/>
      <c r="W1640" s="147"/>
      <c r="AB1640" s="156"/>
    </row>
    <row r="1641" spans="16:28" ht="15" customHeight="1" x14ac:dyDescent="0.45">
      <c r="P1641" s="134"/>
      <c r="R1641" s="146"/>
      <c r="T1641" s="146"/>
      <c r="U1641" s="146"/>
      <c r="W1641" s="147"/>
      <c r="AB1641" s="156"/>
    </row>
    <row r="1642" spans="16:28" ht="15" customHeight="1" x14ac:dyDescent="0.45">
      <c r="P1642" s="134"/>
      <c r="R1642" s="146"/>
      <c r="T1642" s="146"/>
      <c r="U1642" s="146"/>
      <c r="W1642" s="147"/>
      <c r="AB1642" s="156"/>
    </row>
    <row r="1643" spans="16:28" ht="15" customHeight="1" x14ac:dyDescent="0.45">
      <c r="P1643" s="134"/>
      <c r="R1643" s="146"/>
      <c r="T1643" s="146"/>
      <c r="U1643" s="146"/>
      <c r="W1643" s="147"/>
      <c r="AB1643" s="156"/>
    </row>
    <row r="1644" spans="16:28" ht="15" customHeight="1" x14ac:dyDescent="0.45">
      <c r="P1644" s="134"/>
      <c r="R1644" s="146"/>
      <c r="T1644" s="146"/>
      <c r="U1644" s="146"/>
      <c r="W1644" s="147"/>
      <c r="AB1644" s="156"/>
    </row>
    <row r="1645" spans="16:28" ht="15" customHeight="1" x14ac:dyDescent="0.45">
      <c r="P1645" s="134"/>
      <c r="R1645" s="146"/>
      <c r="T1645" s="146"/>
      <c r="U1645" s="146"/>
      <c r="W1645" s="147"/>
      <c r="AB1645" s="156"/>
    </row>
    <row r="1646" spans="16:28" ht="15" customHeight="1" x14ac:dyDescent="0.45">
      <c r="P1646" s="134"/>
      <c r="R1646" s="146"/>
      <c r="T1646" s="146"/>
      <c r="U1646" s="146"/>
      <c r="W1646" s="147"/>
      <c r="AB1646" s="156"/>
    </row>
    <row r="1647" spans="16:28" ht="15" customHeight="1" x14ac:dyDescent="0.45">
      <c r="P1647" s="134"/>
      <c r="R1647" s="146"/>
      <c r="T1647" s="146"/>
      <c r="U1647" s="146"/>
      <c r="W1647" s="147"/>
      <c r="AB1647" s="156"/>
    </row>
    <row r="1648" spans="16:28" ht="15" customHeight="1" x14ac:dyDescent="0.45">
      <c r="P1648" s="134"/>
      <c r="R1648" s="146"/>
      <c r="T1648" s="146"/>
      <c r="U1648" s="146"/>
      <c r="W1648" s="147"/>
      <c r="AB1648" s="156"/>
    </row>
    <row r="1649" spans="16:28" ht="15" customHeight="1" x14ac:dyDescent="0.45">
      <c r="P1649" s="134"/>
      <c r="R1649" s="146"/>
      <c r="T1649" s="146"/>
      <c r="U1649" s="146"/>
      <c r="W1649" s="147"/>
      <c r="AB1649" s="156"/>
    </row>
    <row r="1650" spans="16:28" ht="15" customHeight="1" x14ac:dyDescent="0.45">
      <c r="P1650" s="134"/>
      <c r="R1650" s="146"/>
      <c r="T1650" s="146"/>
      <c r="U1650" s="146"/>
      <c r="W1650" s="147"/>
      <c r="AB1650" s="156"/>
    </row>
    <row r="1651" spans="16:28" ht="15" customHeight="1" x14ac:dyDescent="0.45">
      <c r="P1651" s="134"/>
      <c r="R1651" s="146"/>
      <c r="T1651" s="146"/>
      <c r="U1651" s="146"/>
      <c r="W1651" s="147"/>
      <c r="AB1651" s="156"/>
    </row>
    <row r="1652" spans="16:28" ht="15" customHeight="1" x14ac:dyDescent="0.45">
      <c r="P1652" s="134"/>
      <c r="R1652" s="146"/>
      <c r="T1652" s="146"/>
      <c r="U1652" s="146"/>
      <c r="W1652" s="147"/>
      <c r="AB1652" s="156"/>
    </row>
    <row r="1653" spans="16:28" ht="15" customHeight="1" x14ac:dyDescent="0.45">
      <c r="P1653" s="134"/>
      <c r="R1653" s="146"/>
      <c r="T1653" s="146"/>
      <c r="U1653" s="146"/>
      <c r="W1653" s="147"/>
      <c r="AB1653" s="156"/>
    </row>
    <row r="1654" spans="16:28" ht="15" customHeight="1" x14ac:dyDescent="0.45">
      <c r="P1654" s="134"/>
      <c r="R1654" s="146"/>
      <c r="T1654" s="146"/>
      <c r="U1654" s="146"/>
      <c r="W1654" s="147"/>
      <c r="AB1654" s="156"/>
    </row>
    <row r="1655" spans="16:28" ht="15" customHeight="1" x14ac:dyDescent="0.45">
      <c r="P1655" s="134"/>
      <c r="R1655" s="146"/>
      <c r="T1655" s="146"/>
      <c r="U1655" s="146"/>
      <c r="W1655" s="147"/>
      <c r="AB1655" s="156"/>
    </row>
    <row r="1656" spans="16:28" ht="15" customHeight="1" x14ac:dyDescent="0.45">
      <c r="P1656" s="134"/>
      <c r="R1656" s="146"/>
      <c r="T1656" s="146"/>
      <c r="U1656" s="146"/>
      <c r="W1656" s="147"/>
      <c r="AB1656" s="156"/>
    </row>
    <row r="1657" spans="16:28" ht="15" customHeight="1" x14ac:dyDescent="0.45">
      <c r="P1657" s="134"/>
      <c r="R1657" s="146"/>
      <c r="T1657" s="146"/>
      <c r="U1657" s="146"/>
      <c r="W1657" s="147"/>
      <c r="AB1657" s="156"/>
    </row>
    <row r="1658" spans="16:28" ht="15" customHeight="1" x14ac:dyDescent="0.45">
      <c r="P1658" s="134"/>
      <c r="R1658" s="146"/>
      <c r="T1658" s="146"/>
      <c r="U1658" s="146"/>
      <c r="W1658" s="147"/>
      <c r="AB1658" s="156"/>
    </row>
    <row r="1659" spans="16:28" ht="15" customHeight="1" x14ac:dyDescent="0.45">
      <c r="P1659" s="134"/>
      <c r="R1659" s="146"/>
      <c r="T1659" s="146"/>
      <c r="U1659" s="146"/>
      <c r="W1659" s="147"/>
      <c r="AB1659" s="156"/>
    </row>
    <row r="1660" spans="16:28" ht="15" customHeight="1" x14ac:dyDescent="0.45">
      <c r="P1660" s="134"/>
      <c r="R1660" s="146"/>
      <c r="T1660" s="146"/>
      <c r="U1660" s="146"/>
      <c r="W1660" s="147"/>
      <c r="AB1660" s="156"/>
    </row>
    <row r="1661" spans="16:28" ht="15" customHeight="1" x14ac:dyDescent="0.45">
      <c r="P1661" s="134"/>
      <c r="R1661" s="146"/>
      <c r="T1661" s="146"/>
      <c r="U1661" s="146"/>
      <c r="W1661" s="147"/>
      <c r="AB1661" s="156"/>
    </row>
    <row r="1662" spans="16:28" ht="15" customHeight="1" x14ac:dyDescent="0.45">
      <c r="P1662" s="134"/>
      <c r="R1662" s="146"/>
      <c r="T1662" s="146"/>
      <c r="U1662" s="146"/>
      <c r="W1662" s="147"/>
      <c r="AB1662" s="156"/>
    </row>
    <row r="1663" spans="16:28" ht="15" customHeight="1" x14ac:dyDescent="0.45">
      <c r="P1663" s="134"/>
      <c r="R1663" s="146"/>
      <c r="T1663" s="146"/>
      <c r="U1663" s="146"/>
      <c r="W1663" s="147"/>
      <c r="AB1663" s="156"/>
    </row>
    <row r="1664" spans="16:28" ht="15" customHeight="1" x14ac:dyDescent="0.45">
      <c r="P1664" s="134"/>
      <c r="R1664" s="146"/>
      <c r="T1664" s="146"/>
      <c r="U1664" s="146"/>
      <c r="W1664" s="147"/>
      <c r="AB1664" s="156"/>
    </row>
    <row r="1665" spans="16:28" ht="15" customHeight="1" x14ac:dyDescent="0.45">
      <c r="P1665" s="134"/>
      <c r="R1665" s="146"/>
      <c r="T1665" s="146"/>
      <c r="U1665" s="146"/>
      <c r="W1665" s="147"/>
      <c r="AB1665" s="156"/>
    </row>
    <row r="1666" spans="16:28" ht="15" customHeight="1" x14ac:dyDescent="0.45">
      <c r="P1666" s="134"/>
      <c r="R1666" s="146"/>
      <c r="T1666" s="146"/>
      <c r="U1666" s="146"/>
      <c r="W1666" s="147"/>
      <c r="AB1666" s="156"/>
    </row>
    <row r="1667" spans="16:28" ht="15" customHeight="1" x14ac:dyDescent="0.45">
      <c r="P1667" s="134"/>
      <c r="R1667" s="146"/>
      <c r="T1667" s="146"/>
      <c r="U1667" s="146"/>
      <c r="W1667" s="147"/>
      <c r="AB1667" s="156"/>
    </row>
    <row r="1668" spans="16:28" ht="15" customHeight="1" x14ac:dyDescent="0.45">
      <c r="P1668" s="134"/>
      <c r="R1668" s="146"/>
      <c r="T1668" s="146"/>
      <c r="U1668" s="146"/>
      <c r="W1668" s="147"/>
      <c r="AB1668" s="156"/>
    </row>
    <row r="1669" spans="16:28" ht="15" customHeight="1" x14ac:dyDescent="0.45">
      <c r="P1669" s="134"/>
      <c r="R1669" s="146"/>
      <c r="T1669" s="146"/>
      <c r="U1669" s="146"/>
      <c r="W1669" s="147"/>
      <c r="AB1669" s="156"/>
    </row>
    <row r="1670" spans="16:28" ht="15" customHeight="1" x14ac:dyDescent="0.45">
      <c r="P1670" s="134"/>
      <c r="R1670" s="146"/>
      <c r="T1670" s="146"/>
      <c r="U1670" s="146"/>
      <c r="W1670" s="147"/>
      <c r="AB1670" s="156"/>
    </row>
    <row r="1671" spans="16:28" ht="15" customHeight="1" x14ac:dyDescent="0.45">
      <c r="P1671" s="134"/>
      <c r="R1671" s="146"/>
      <c r="T1671" s="146"/>
      <c r="U1671" s="146"/>
      <c r="W1671" s="147"/>
      <c r="AB1671" s="156"/>
    </row>
    <row r="1672" spans="16:28" ht="15" customHeight="1" x14ac:dyDescent="0.45">
      <c r="P1672" s="134"/>
      <c r="R1672" s="146"/>
      <c r="T1672" s="146"/>
      <c r="U1672" s="146"/>
      <c r="W1672" s="147"/>
      <c r="AB1672" s="156"/>
    </row>
    <row r="1673" spans="16:28" ht="15" customHeight="1" x14ac:dyDescent="0.45">
      <c r="P1673" s="134"/>
      <c r="R1673" s="146"/>
      <c r="T1673" s="146"/>
      <c r="U1673" s="146"/>
      <c r="W1673" s="147"/>
      <c r="AB1673" s="156"/>
    </row>
    <row r="1674" spans="16:28" ht="15" customHeight="1" x14ac:dyDescent="0.45">
      <c r="P1674" s="134"/>
      <c r="R1674" s="146"/>
      <c r="T1674" s="146"/>
      <c r="U1674" s="146"/>
      <c r="W1674" s="147"/>
      <c r="AB1674" s="156"/>
    </row>
    <row r="1675" spans="16:28" ht="15" customHeight="1" x14ac:dyDescent="0.45">
      <c r="P1675" s="134"/>
      <c r="R1675" s="146"/>
      <c r="T1675" s="146"/>
      <c r="U1675" s="146"/>
      <c r="W1675" s="147"/>
      <c r="AB1675" s="156"/>
    </row>
    <row r="1676" spans="16:28" ht="15" customHeight="1" x14ac:dyDescent="0.45">
      <c r="P1676" s="134"/>
      <c r="R1676" s="146"/>
      <c r="T1676" s="146"/>
      <c r="U1676" s="146"/>
      <c r="W1676" s="147"/>
      <c r="AB1676" s="156"/>
    </row>
    <row r="1677" spans="16:28" ht="15" customHeight="1" x14ac:dyDescent="0.45">
      <c r="P1677" s="134"/>
      <c r="R1677" s="146"/>
      <c r="T1677" s="146"/>
      <c r="U1677" s="146"/>
      <c r="W1677" s="147"/>
      <c r="AB1677" s="156"/>
    </row>
    <row r="1678" spans="16:28" ht="15" customHeight="1" x14ac:dyDescent="0.45">
      <c r="P1678" s="134"/>
      <c r="R1678" s="146"/>
      <c r="T1678" s="146"/>
      <c r="U1678" s="146"/>
      <c r="W1678" s="147"/>
      <c r="AB1678" s="156"/>
    </row>
    <row r="1679" spans="16:28" ht="15" customHeight="1" x14ac:dyDescent="0.45">
      <c r="P1679" s="134"/>
      <c r="R1679" s="146"/>
      <c r="T1679" s="146"/>
      <c r="U1679" s="146"/>
      <c r="W1679" s="147"/>
      <c r="AB1679" s="156"/>
    </row>
    <row r="1680" spans="16:28" ht="15" customHeight="1" x14ac:dyDescent="0.45">
      <c r="P1680" s="134"/>
      <c r="R1680" s="146"/>
      <c r="T1680" s="146"/>
      <c r="U1680" s="146"/>
      <c r="W1680" s="147"/>
      <c r="AB1680" s="156"/>
    </row>
    <row r="1681" spans="16:28" ht="15" customHeight="1" x14ac:dyDescent="0.45">
      <c r="P1681" s="134"/>
      <c r="R1681" s="146"/>
      <c r="T1681" s="146"/>
      <c r="U1681" s="146"/>
      <c r="W1681" s="147"/>
      <c r="AB1681" s="156"/>
    </row>
    <row r="1682" spans="16:28" ht="15" customHeight="1" x14ac:dyDescent="0.45">
      <c r="P1682" s="134"/>
      <c r="R1682" s="146"/>
      <c r="T1682" s="146"/>
      <c r="U1682" s="146"/>
      <c r="W1682" s="147"/>
      <c r="AB1682" s="156"/>
    </row>
    <row r="1683" spans="16:28" ht="15" customHeight="1" x14ac:dyDescent="0.45">
      <c r="P1683" s="134"/>
      <c r="R1683" s="146"/>
      <c r="T1683" s="146"/>
      <c r="U1683" s="146"/>
      <c r="W1683" s="147"/>
      <c r="AB1683" s="156"/>
    </row>
    <row r="1684" spans="16:28" ht="15" customHeight="1" x14ac:dyDescent="0.45">
      <c r="P1684" s="134"/>
      <c r="R1684" s="146"/>
      <c r="T1684" s="146"/>
      <c r="U1684" s="146"/>
      <c r="W1684" s="147"/>
      <c r="AB1684" s="156"/>
    </row>
    <row r="1685" spans="16:28" ht="15" customHeight="1" x14ac:dyDescent="0.45">
      <c r="P1685" s="134"/>
      <c r="R1685" s="146"/>
      <c r="T1685" s="146"/>
      <c r="U1685" s="146"/>
      <c r="W1685" s="147"/>
      <c r="AB1685" s="156"/>
    </row>
    <row r="1686" spans="16:28" ht="15" customHeight="1" x14ac:dyDescent="0.45">
      <c r="P1686" s="134"/>
      <c r="R1686" s="146"/>
      <c r="T1686" s="146"/>
      <c r="U1686" s="146"/>
      <c r="W1686" s="147"/>
      <c r="AB1686" s="156"/>
    </row>
    <row r="1687" spans="16:28" ht="15" customHeight="1" x14ac:dyDescent="0.45">
      <c r="P1687" s="134"/>
      <c r="R1687" s="146"/>
      <c r="T1687" s="146"/>
      <c r="U1687" s="146"/>
      <c r="W1687" s="147"/>
      <c r="AB1687" s="156"/>
    </row>
    <row r="1688" spans="16:28" ht="15" customHeight="1" x14ac:dyDescent="0.45">
      <c r="P1688" s="134"/>
      <c r="R1688" s="146"/>
      <c r="T1688" s="146"/>
      <c r="U1688" s="146"/>
      <c r="W1688" s="147"/>
      <c r="AB1688" s="156"/>
    </row>
    <row r="1689" spans="16:28" ht="15" customHeight="1" x14ac:dyDescent="0.45">
      <c r="P1689" s="134"/>
      <c r="R1689" s="146"/>
      <c r="T1689" s="146"/>
      <c r="U1689" s="146"/>
      <c r="W1689" s="147"/>
      <c r="AB1689" s="156"/>
    </row>
    <row r="1690" spans="16:28" ht="15" customHeight="1" x14ac:dyDescent="0.45">
      <c r="P1690" s="134"/>
      <c r="R1690" s="146"/>
      <c r="T1690" s="146"/>
      <c r="U1690" s="146"/>
      <c r="W1690" s="147"/>
      <c r="AB1690" s="156"/>
    </row>
    <row r="1691" spans="16:28" ht="15" customHeight="1" x14ac:dyDescent="0.45">
      <c r="P1691" s="134"/>
      <c r="R1691" s="146"/>
      <c r="T1691" s="146"/>
      <c r="U1691" s="146"/>
      <c r="W1691" s="147"/>
      <c r="AB1691" s="156"/>
    </row>
    <row r="1692" spans="16:28" ht="15" customHeight="1" x14ac:dyDescent="0.45">
      <c r="P1692" s="134"/>
      <c r="R1692" s="146"/>
      <c r="T1692" s="146"/>
      <c r="U1692" s="146"/>
      <c r="W1692" s="147"/>
      <c r="AB1692" s="156"/>
    </row>
    <row r="1693" spans="16:28" ht="15" customHeight="1" x14ac:dyDescent="0.45">
      <c r="P1693" s="134"/>
      <c r="R1693" s="146"/>
      <c r="T1693" s="146"/>
      <c r="U1693" s="146"/>
      <c r="W1693" s="147"/>
      <c r="AB1693" s="156"/>
    </row>
    <row r="1694" spans="16:28" ht="15" customHeight="1" x14ac:dyDescent="0.45">
      <c r="P1694" s="134"/>
      <c r="R1694" s="146"/>
      <c r="T1694" s="146"/>
      <c r="U1694" s="146"/>
      <c r="W1694" s="147"/>
      <c r="AB1694" s="156"/>
    </row>
    <row r="1695" spans="16:28" ht="15" customHeight="1" x14ac:dyDescent="0.45">
      <c r="P1695" s="134"/>
      <c r="R1695" s="146"/>
      <c r="T1695" s="146"/>
      <c r="U1695" s="146"/>
      <c r="W1695" s="147"/>
      <c r="AB1695" s="156"/>
    </row>
    <row r="1696" spans="16:28" ht="15" customHeight="1" x14ac:dyDescent="0.45">
      <c r="P1696" s="134"/>
      <c r="R1696" s="146"/>
      <c r="T1696" s="146"/>
      <c r="U1696" s="146"/>
      <c r="W1696" s="147"/>
      <c r="AB1696" s="156"/>
    </row>
    <row r="1697" spans="16:28" ht="15" customHeight="1" x14ac:dyDescent="0.45">
      <c r="P1697" s="134"/>
      <c r="R1697" s="146"/>
      <c r="T1697" s="146"/>
      <c r="U1697" s="146"/>
      <c r="W1697" s="147"/>
      <c r="AB1697" s="156"/>
    </row>
    <row r="1698" spans="16:28" ht="15" customHeight="1" x14ac:dyDescent="0.45">
      <c r="P1698" s="134"/>
      <c r="R1698" s="146"/>
      <c r="T1698" s="146"/>
      <c r="U1698" s="146"/>
      <c r="W1698" s="147"/>
      <c r="AB1698" s="156"/>
    </row>
    <row r="1699" spans="16:28" ht="15" customHeight="1" x14ac:dyDescent="0.45">
      <c r="P1699" s="134"/>
      <c r="R1699" s="146"/>
      <c r="T1699" s="146"/>
      <c r="U1699" s="146"/>
      <c r="W1699" s="147"/>
      <c r="AB1699" s="156"/>
    </row>
    <row r="1700" spans="16:28" ht="15" customHeight="1" x14ac:dyDescent="0.45">
      <c r="P1700" s="134"/>
      <c r="R1700" s="146"/>
      <c r="T1700" s="146"/>
      <c r="U1700" s="146"/>
      <c r="W1700" s="147"/>
      <c r="AB1700" s="156"/>
    </row>
    <row r="1701" spans="16:28" ht="15" customHeight="1" x14ac:dyDescent="0.45">
      <c r="P1701" s="134"/>
      <c r="R1701" s="146"/>
      <c r="T1701" s="146"/>
      <c r="U1701" s="146"/>
      <c r="W1701" s="147"/>
      <c r="AB1701" s="156"/>
    </row>
    <row r="1702" spans="16:28" ht="15" customHeight="1" x14ac:dyDescent="0.45">
      <c r="P1702" s="134"/>
      <c r="R1702" s="146"/>
      <c r="T1702" s="146"/>
      <c r="U1702" s="146"/>
      <c r="W1702" s="147"/>
      <c r="AB1702" s="156"/>
    </row>
    <row r="1703" spans="16:28" ht="15" customHeight="1" x14ac:dyDescent="0.45">
      <c r="P1703" s="134"/>
      <c r="R1703" s="146"/>
      <c r="T1703" s="146"/>
      <c r="U1703" s="146"/>
      <c r="W1703" s="147"/>
      <c r="AB1703" s="156"/>
    </row>
    <row r="1704" spans="16:28" ht="15" customHeight="1" x14ac:dyDescent="0.45">
      <c r="P1704" s="134"/>
      <c r="R1704" s="146"/>
      <c r="T1704" s="146"/>
      <c r="U1704" s="146"/>
      <c r="W1704" s="147"/>
      <c r="AB1704" s="156"/>
    </row>
    <row r="1705" spans="16:28" ht="15" customHeight="1" x14ac:dyDescent="0.45">
      <c r="P1705" s="134"/>
      <c r="R1705" s="146"/>
      <c r="T1705" s="146"/>
      <c r="U1705" s="146"/>
      <c r="W1705" s="147"/>
      <c r="AB1705" s="156"/>
    </row>
    <row r="1706" spans="16:28" ht="15" customHeight="1" x14ac:dyDescent="0.45">
      <c r="P1706" s="134"/>
      <c r="R1706" s="146"/>
      <c r="T1706" s="146"/>
      <c r="U1706" s="146"/>
      <c r="W1706" s="147"/>
      <c r="AB1706" s="156"/>
    </row>
    <row r="1707" spans="16:28" ht="15" customHeight="1" x14ac:dyDescent="0.45">
      <c r="P1707" s="134"/>
      <c r="R1707" s="146"/>
      <c r="T1707" s="146"/>
      <c r="U1707" s="146"/>
      <c r="W1707" s="147"/>
      <c r="AB1707" s="156"/>
    </row>
    <row r="1708" spans="16:28" ht="15" customHeight="1" x14ac:dyDescent="0.45">
      <c r="P1708" s="134"/>
      <c r="R1708" s="146"/>
      <c r="T1708" s="146"/>
      <c r="U1708" s="146"/>
      <c r="W1708" s="147"/>
      <c r="AB1708" s="156"/>
    </row>
    <row r="1709" spans="16:28" ht="15" customHeight="1" x14ac:dyDescent="0.45">
      <c r="P1709" s="134"/>
      <c r="R1709" s="146"/>
      <c r="T1709" s="146"/>
      <c r="U1709" s="146"/>
      <c r="W1709" s="147"/>
      <c r="AB1709" s="156"/>
    </row>
    <row r="1710" spans="16:28" ht="15" customHeight="1" x14ac:dyDescent="0.45">
      <c r="P1710" s="134"/>
      <c r="R1710" s="146"/>
      <c r="T1710" s="146"/>
      <c r="U1710" s="146"/>
      <c r="W1710" s="147"/>
      <c r="AB1710" s="156"/>
    </row>
    <row r="1711" spans="16:28" ht="15" customHeight="1" x14ac:dyDescent="0.45">
      <c r="P1711" s="134"/>
      <c r="R1711" s="146"/>
      <c r="T1711" s="146"/>
      <c r="U1711" s="146"/>
      <c r="W1711" s="147"/>
      <c r="AB1711" s="156"/>
    </row>
    <row r="1712" spans="16:28" ht="15" customHeight="1" x14ac:dyDescent="0.45">
      <c r="P1712" s="134"/>
      <c r="R1712" s="146"/>
      <c r="T1712" s="146"/>
      <c r="U1712" s="146"/>
      <c r="W1712" s="147"/>
      <c r="AB1712" s="156"/>
    </row>
    <row r="1713" spans="16:28" ht="15" customHeight="1" x14ac:dyDescent="0.45">
      <c r="P1713" s="134"/>
      <c r="R1713" s="146"/>
      <c r="T1713" s="146"/>
      <c r="U1713" s="146"/>
      <c r="W1713" s="147"/>
      <c r="AB1713" s="156"/>
    </row>
    <row r="1714" spans="16:28" ht="15" customHeight="1" x14ac:dyDescent="0.45">
      <c r="P1714" s="134"/>
      <c r="R1714" s="146"/>
      <c r="T1714" s="146"/>
      <c r="U1714" s="146"/>
      <c r="W1714" s="147"/>
      <c r="AB1714" s="156"/>
    </row>
    <row r="1715" spans="16:28" ht="15" customHeight="1" x14ac:dyDescent="0.45">
      <c r="P1715" s="134"/>
      <c r="R1715" s="146"/>
      <c r="T1715" s="146"/>
      <c r="U1715" s="146"/>
      <c r="W1715" s="147"/>
      <c r="AB1715" s="156"/>
    </row>
    <row r="1716" spans="16:28" ht="15" customHeight="1" x14ac:dyDescent="0.45">
      <c r="P1716" s="134"/>
      <c r="R1716" s="146"/>
      <c r="T1716" s="146"/>
      <c r="U1716" s="146"/>
      <c r="W1716" s="147"/>
      <c r="AB1716" s="156"/>
    </row>
    <row r="1717" spans="16:28" ht="15" customHeight="1" x14ac:dyDescent="0.45">
      <c r="P1717" s="134"/>
      <c r="R1717" s="146"/>
      <c r="T1717" s="146"/>
      <c r="U1717" s="146"/>
      <c r="W1717" s="147"/>
      <c r="AB1717" s="156"/>
    </row>
    <row r="1718" spans="16:28" ht="15" customHeight="1" x14ac:dyDescent="0.45">
      <c r="P1718" s="134"/>
      <c r="R1718" s="146"/>
      <c r="T1718" s="146"/>
      <c r="U1718" s="146"/>
      <c r="W1718" s="147"/>
      <c r="AB1718" s="156"/>
    </row>
    <row r="1719" spans="16:28" ht="15" customHeight="1" x14ac:dyDescent="0.45">
      <c r="P1719" s="134"/>
      <c r="R1719" s="146"/>
      <c r="T1719" s="146"/>
      <c r="U1719" s="146"/>
      <c r="W1719" s="147"/>
      <c r="AB1719" s="156"/>
    </row>
    <row r="1720" spans="16:28" ht="15" customHeight="1" x14ac:dyDescent="0.45">
      <c r="P1720" s="134"/>
      <c r="R1720" s="146"/>
      <c r="T1720" s="146"/>
      <c r="U1720" s="146"/>
      <c r="W1720" s="147"/>
      <c r="AB1720" s="156"/>
    </row>
    <row r="1721" spans="16:28" ht="15" customHeight="1" x14ac:dyDescent="0.45">
      <c r="P1721" s="134"/>
      <c r="R1721" s="146"/>
      <c r="T1721" s="146"/>
      <c r="U1721" s="146"/>
      <c r="W1721" s="147"/>
      <c r="AB1721" s="156"/>
    </row>
    <row r="1722" spans="16:28" ht="15" customHeight="1" x14ac:dyDescent="0.45">
      <c r="P1722" s="134"/>
      <c r="R1722" s="146"/>
      <c r="T1722" s="146"/>
      <c r="U1722" s="146"/>
      <c r="W1722" s="147"/>
      <c r="AB1722" s="156"/>
    </row>
    <row r="1723" spans="16:28" ht="15" customHeight="1" x14ac:dyDescent="0.45">
      <c r="P1723" s="134"/>
      <c r="R1723" s="146"/>
      <c r="T1723" s="146"/>
      <c r="U1723" s="146"/>
      <c r="W1723" s="147"/>
      <c r="AB1723" s="156"/>
    </row>
    <row r="1724" spans="16:28" ht="15" customHeight="1" x14ac:dyDescent="0.45">
      <c r="P1724" s="134"/>
      <c r="R1724" s="146"/>
      <c r="T1724" s="146"/>
      <c r="U1724" s="146"/>
      <c r="W1724" s="147"/>
      <c r="AB1724" s="156"/>
    </row>
    <row r="1725" spans="16:28" ht="15" customHeight="1" x14ac:dyDescent="0.45">
      <c r="P1725" s="134"/>
      <c r="R1725" s="146"/>
      <c r="T1725" s="146"/>
      <c r="U1725" s="146"/>
      <c r="W1725" s="147"/>
      <c r="AB1725" s="156"/>
    </row>
    <row r="1726" spans="16:28" ht="15" customHeight="1" x14ac:dyDescent="0.45">
      <c r="P1726" s="134"/>
      <c r="R1726" s="146"/>
      <c r="T1726" s="146"/>
      <c r="U1726" s="146"/>
      <c r="W1726" s="147"/>
      <c r="AB1726" s="156"/>
    </row>
    <row r="1727" spans="16:28" ht="15" customHeight="1" x14ac:dyDescent="0.45">
      <c r="P1727" s="134"/>
      <c r="R1727" s="146"/>
      <c r="T1727" s="146"/>
      <c r="U1727" s="146"/>
      <c r="W1727" s="147"/>
      <c r="AB1727" s="156"/>
    </row>
    <row r="1728" spans="16:28" ht="15" customHeight="1" x14ac:dyDescent="0.45">
      <c r="P1728" s="134"/>
      <c r="R1728" s="146"/>
      <c r="T1728" s="146"/>
      <c r="U1728" s="146"/>
      <c r="W1728" s="147"/>
      <c r="AB1728" s="156"/>
    </row>
    <row r="1729" spans="16:28" ht="15" customHeight="1" x14ac:dyDescent="0.45">
      <c r="P1729" s="134"/>
      <c r="R1729" s="146"/>
      <c r="T1729" s="146"/>
      <c r="U1729" s="146"/>
      <c r="W1729" s="147"/>
      <c r="AB1729" s="156"/>
    </row>
    <row r="1730" spans="16:28" ht="15" customHeight="1" x14ac:dyDescent="0.45">
      <c r="P1730" s="134"/>
      <c r="R1730" s="146"/>
      <c r="T1730" s="146"/>
      <c r="U1730" s="146"/>
      <c r="W1730" s="147"/>
      <c r="AB1730" s="156"/>
    </row>
    <row r="1731" spans="16:28" ht="15" customHeight="1" x14ac:dyDescent="0.45">
      <c r="P1731" s="134"/>
      <c r="R1731" s="146"/>
      <c r="T1731" s="146"/>
      <c r="U1731" s="146"/>
      <c r="W1731" s="147"/>
      <c r="AB1731" s="156"/>
    </row>
    <row r="1732" spans="16:28" ht="15" customHeight="1" x14ac:dyDescent="0.45">
      <c r="P1732" s="134"/>
      <c r="R1732" s="146"/>
      <c r="T1732" s="146"/>
      <c r="U1732" s="146"/>
      <c r="W1732" s="147"/>
      <c r="AB1732" s="156"/>
    </row>
    <row r="1733" spans="16:28" ht="15" customHeight="1" x14ac:dyDescent="0.45">
      <c r="P1733" s="134"/>
      <c r="R1733" s="146"/>
      <c r="T1733" s="146"/>
      <c r="U1733" s="146"/>
      <c r="W1733" s="147"/>
      <c r="AB1733" s="156"/>
    </row>
    <row r="1734" spans="16:28" ht="15" customHeight="1" x14ac:dyDescent="0.45">
      <c r="P1734" s="134"/>
      <c r="R1734" s="146"/>
      <c r="T1734" s="146"/>
      <c r="U1734" s="146"/>
      <c r="W1734" s="147"/>
      <c r="AB1734" s="156"/>
    </row>
    <row r="1735" spans="16:28" ht="15" customHeight="1" x14ac:dyDescent="0.45">
      <c r="P1735" s="134"/>
      <c r="R1735" s="146"/>
      <c r="T1735" s="146"/>
      <c r="U1735" s="146"/>
      <c r="W1735" s="147"/>
      <c r="AB1735" s="156"/>
    </row>
    <row r="1736" spans="16:28" ht="15" customHeight="1" x14ac:dyDescent="0.45">
      <c r="P1736" s="134"/>
      <c r="R1736" s="146"/>
      <c r="T1736" s="146"/>
      <c r="U1736" s="146"/>
      <c r="W1736" s="147"/>
      <c r="AB1736" s="156"/>
    </row>
    <row r="1737" spans="16:28" ht="15" customHeight="1" x14ac:dyDescent="0.45">
      <c r="P1737" s="134"/>
      <c r="R1737" s="146"/>
      <c r="T1737" s="146"/>
      <c r="U1737" s="146"/>
      <c r="W1737" s="147"/>
      <c r="AB1737" s="156"/>
    </row>
    <row r="1738" spans="16:28" ht="15" customHeight="1" x14ac:dyDescent="0.45">
      <c r="P1738" s="134"/>
      <c r="R1738" s="146"/>
      <c r="T1738" s="146"/>
      <c r="U1738" s="146"/>
      <c r="W1738" s="147"/>
      <c r="AB1738" s="156"/>
    </row>
    <row r="1739" spans="16:28" ht="15" customHeight="1" x14ac:dyDescent="0.45">
      <c r="P1739" s="134"/>
      <c r="R1739" s="146"/>
      <c r="T1739" s="146"/>
      <c r="U1739" s="146"/>
      <c r="W1739" s="147"/>
      <c r="AB1739" s="156"/>
    </row>
    <row r="1740" spans="16:28" ht="15" customHeight="1" x14ac:dyDescent="0.45">
      <c r="P1740" s="134"/>
      <c r="R1740" s="146"/>
      <c r="T1740" s="146"/>
      <c r="U1740" s="146"/>
      <c r="W1740" s="147"/>
      <c r="AB1740" s="156"/>
    </row>
    <row r="1741" spans="16:28" ht="15" customHeight="1" x14ac:dyDescent="0.45">
      <c r="P1741" s="134"/>
      <c r="R1741" s="146"/>
      <c r="T1741" s="146"/>
      <c r="U1741" s="146"/>
      <c r="W1741" s="147"/>
      <c r="AB1741" s="156"/>
    </row>
    <row r="1742" spans="16:28" ht="15" customHeight="1" x14ac:dyDescent="0.45">
      <c r="P1742" s="134"/>
      <c r="R1742" s="146"/>
      <c r="T1742" s="146"/>
      <c r="U1742" s="146"/>
      <c r="W1742" s="147"/>
      <c r="AB1742" s="156"/>
    </row>
    <row r="1743" spans="16:28" ht="15" customHeight="1" x14ac:dyDescent="0.45">
      <c r="P1743" s="134"/>
      <c r="R1743" s="146"/>
      <c r="T1743" s="146"/>
      <c r="U1743" s="146"/>
      <c r="W1743" s="147"/>
      <c r="AB1743" s="156"/>
    </row>
    <row r="1744" spans="16:28" ht="15" customHeight="1" x14ac:dyDescent="0.45">
      <c r="P1744" s="134"/>
      <c r="R1744" s="146"/>
      <c r="T1744" s="146"/>
      <c r="U1744" s="146"/>
      <c r="W1744" s="147"/>
      <c r="AB1744" s="156"/>
    </row>
    <row r="1745" spans="16:28" ht="15" customHeight="1" x14ac:dyDescent="0.45">
      <c r="P1745" s="134"/>
      <c r="R1745" s="146"/>
      <c r="T1745" s="146"/>
      <c r="U1745" s="146"/>
      <c r="W1745" s="147"/>
      <c r="AB1745" s="156"/>
    </row>
    <row r="1746" spans="16:28" ht="15" customHeight="1" x14ac:dyDescent="0.45">
      <c r="P1746" s="134"/>
      <c r="R1746" s="146"/>
      <c r="T1746" s="146"/>
      <c r="U1746" s="146"/>
      <c r="W1746" s="147"/>
      <c r="AB1746" s="156"/>
    </row>
    <row r="1747" spans="16:28" ht="15" customHeight="1" x14ac:dyDescent="0.45">
      <c r="P1747" s="134"/>
      <c r="R1747" s="146"/>
      <c r="T1747" s="146"/>
      <c r="U1747" s="146"/>
      <c r="W1747" s="147"/>
      <c r="AB1747" s="156"/>
    </row>
    <row r="1748" spans="16:28" ht="15" customHeight="1" x14ac:dyDescent="0.45">
      <c r="P1748" s="134"/>
      <c r="R1748" s="146"/>
      <c r="T1748" s="146"/>
      <c r="U1748" s="146"/>
      <c r="W1748" s="147"/>
      <c r="AB1748" s="156"/>
    </row>
    <row r="1749" spans="16:28" ht="15" customHeight="1" x14ac:dyDescent="0.45">
      <c r="P1749" s="134"/>
      <c r="R1749" s="146"/>
      <c r="T1749" s="146"/>
      <c r="U1749" s="146"/>
      <c r="W1749" s="147"/>
      <c r="AB1749" s="156"/>
    </row>
    <row r="1750" spans="16:28" ht="15" customHeight="1" x14ac:dyDescent="0.45">
      <c r="P1750" s="134"/>
      <c r="R1750" s="146"/>
      <c r="T1750" s="146"/>
      <c r="U1750" s="146"/>
      <c r="W1750" s="147"/>
      <c r="AB1750" s="156"/>
    </row>
    <row r="1751" spans="16:28" ht="15" customHeight="1" x14ac:dyDescent="0.45">
      <c r="P1751" s="134"/>
      <c r="R1751" s="146"/>
      <c r="T1751" s="146"/>
      <c r="U1751" s="146"/>
      <c r="W1751" s="147"/>
      <c r="AB1751" s="156"/>
    </row>
    <row r="1752" spans="16:28" ht="15" customHeight="1" x14ac:dyDescent="0.45">
      <c r="P1752" s="134"/>
      <c r="R1752" s="146"/>
      <c r="T1752" s="146"/>
      <c r="U1752" s="146"/>
      <c r="W1752" s="147"/>
      <c r="AB1752" s="156"/>
    </row>
    <row r="1753" spans="16:28" ht="15" customHeight="1" x14ac:dyDescent="0.45">
      <c r="P1753" s="134"/>
      <c r="R1753" s="146"/>
      <c r="T1753" s="146"/>
      <c r="U1753" s="146"/>
      <c r="W1753" s="147"/>
      <c r="AB1753" s="156"/>
    </row>
    <row r="1754" spans="16:28" ht="15" customHeight="1" x14ac:dyDescent="0.45">
      <c r="P1754" s="134"/>
      <c r="R1754" s="146"/>
      <c r="T1754" s="146"/>
      <c r="U1754" s="146"/>
      <c r="W1754" s="147"/>
      <c r="AB1754" s="156"/>
    </row>
    <row r="1755" spans="16:28" ht="15" customHeight="1" x14ac:dyDescent="0.45">
      <c r="P1755" s="134"/>
      <c r="R1755" s="146"/>
      <c r="T1755" s="146"/>
      <c r="U1755" s="146"/>
      <c r="W1755" s="147"/>
      <c r="AB1755" s="156"/>
    </row>
    <row r="1756" spans="16:28" ht="15" customHeight="1" x14ac:dyDescent="0.45">
      <c r="P1756" s="134"/>
      <c r="R1756" s="146"/>
      <c r="T1756" s="146"/>
      <c r="U1756" s="146"/>
      <c r="W1756" s="147"/>
      <c r="AB1756" s="156"/>
    </row>
    <row r="1757" spans="16:28" ht="15" customHeight="1" x14ac:dyDescent="0.45">
      <c r="P1757" s="134"/>
      <c r="R1757" s="146"/>
      <c r="T1757" s="146"/>
      <c r="U1757" s="146"/>
      <c r="W1757" s="147"/>
      <c r="AB1757" s="156"/>
    </row>
    <row r="1758" spans="16:28" ht="15" customHeight="1" x14ac:dyDescent="0.45">
      <c r="P1758" s="134"/>
      <c r="R1758" s="146"/>
      <c r="T1758" s="146"/>
      <c r="U1758" s="146"/>
      <c r="W1758" s="147"/>
      <c r="AB1758" s="156"/>
    </row>
    <row r="1759" spans="16:28" ht="15" customHeight="1" x14ac:dyDescent="0.45">
      <c r="P1759" s="134"/>
      <c r="R1759" s="146"/>
      <c r="T1759" s="146"/>
      <c r="U1759" s="146"/>
      <c r="W1759" s="147"/>
      <c r="AB1759" s="156"/>
    </row>
    <row r="1760" spans="16:28" ht="15" customHeight="1" x14ac:dyDescent="0.45">
      <c r="P1760" s="134"/>
      <c r="R1760" s="146"/>
      <c r="T1760" s="146"/>
      <c r="U1760" s="146"/>
      <c r="W1760" s="147"/>
      <c r="AB1760" s="156"/>
    </row>
    <row r="1761" spans="16:28" ht="15" customHeight="1" x14ac:dyDescent="0.45">
      <c r="P1761" s="134"/>
      <c r="R1761" s="146"/>
      <c r="T1761" s="146"/>
      <c r="U1761" s="146"/>
      <c r="W1761" s="147"/>
      <c r="AB1761" s="156"/>
    </row>
    <row r="1762" spans="16:28" ht="15" customHeight="1" x14ac:dyDescent="0.45">
      <c r="P1762" s="134"/>
      <c r="R1762" s="146"/>
      <c r="T1762" s="146"/>
      <c r="U1762" s="146"/>
      <c r="W1762" s="147"/>
      <c r="AB1762" s="156"/>
    </row>
    <row r="1763" spans="16:28" ht="15" customHeight="1" x14ac:dyDescent="0.45">
      <c r="P1763" s="134"/>
      <c r="R1763" s="146"/>
      <c r="T1763" s="146"/>
      <c r="U1763" s="146"/>
      <c r="W1763" s="147"/>
      <c r="AB1763" s="156"/>
    </row>
    <row r="1764" spans="16:28" ht="15" customHeight="1" x14ac:dyDescent="0.45">
      <c r="P1764" s="134"/>
      <c r="R1764" s="146"/>
      <c r="T1764" s="146"/>
      <c r="U1764" s="146"/>
      <c r="W1764" s="147"/>
      <c r="AB1764" s="156"/>
    </row>
    <row r="1765" spans="16:28" ht="15" customHeight="1" x14ac:dyDescent="0.45">
      <c r="P1765" s="134"/>
      <c r="R1765" s="146"/>
      <c r="T1765" s="146"/>
      <c r="U1765" s="146"/>
      <c r="W1765" s="147"/>
      <c r="AB1765" s="156"/>
    </row>
    <row r="1766" spans="16:28" ht="15" customHeight="1" x14ac:dyDescent="0.45">
      <c r="P1766" s="134"/>
      <c r="R1766" s="146"/>
      <c r="T1766" s="146"/>
      <c r="U1766" s="146"/>
      <c r="W1766" s="147"/>
      <c r="AB1766" s="156"/>
    </row>
    <row r="1767" spans="16:28" ht="15" customHeight="1" x14ac:dyDescent="0.45">
      <c r="P1767" s="134"/>
      <c r="R1767" s="146"/>
      <c r="T1767" s="146"/>
      <c r="U1767" s="146"/>
      <c r="W1767" s="147"/>
      <c r="AB1767" s="156"/>
    </row>
    <row r="1768" spans="16:28" ht="15" customHeight="1" x14ac:dyDescent="0.45">
      <c r="P1768" s="134"/>
      <c r="R1768" s="146"/>
      <c r="T1768" s="146"/>
      <c r="U1768" s="146"/>
      <c r="W1768" s="147"/>
      <c r="AB1768" s="156"/>
    </row>
    <row r="1769" spans="16:28" ht="15" customHeight="1" x14ac:dyDescent="0.45">
      <c r="P1769" s="134"/>
      <c r="R1769" s="146"/>
      <c r="T1769" s="146"/>
      <c r="U1769" s="146"/>
      <c r="W1769" s="147"/>
      <c r="AB1769" s="156"/>
    </row>
    <row r="1770" spans="16:28" ht="15" customHeight="1" x14ac:dyDescent="0.45">
      <c r="P1770" s="134"/>
      <c r="R1770" s="146"/>
      <c r="T1770" s="146"/>
      <c r="U1770" s="146"/>
      <c r="W1770" s="147"/>
      <c r="AB1770" s="156"/>
    </row>
    <row r="1771" spans="16:28" ht="15" customHeight="1" x14ac:dyDescent="0.45">
      <c r="P1771" s="134"/>
      <c r="R1771" s="146"/>
      <c r="T1771" s="146"/>
      <c r="U1771" s="146"/>
      <c r="W1771" s="147"/>
      <c r="AB1771" s="156"/>
    </row>
    <row r="1772" spans="16:28" ht="15" customHeight="1" x14ac:dyDescent="0.45">
      <c r="P1772" s="134"/>
      <c r="R1772" s="146"/>
      <c r="T1772" s="146"/>
      <c r="U1772" s="146"/>
      <c r="W1772" s="147"/>
      <c r="AB1772" s="156"/>
    </row>
    <row r="1773" spans="16:28" ht="15" customHeight="1" x14ac:dyDescent="0.45">
      <c r="P1773" s="134"/>
      <c r="R1773" s="146"/>
      <c r="T1773" s="146"/>
      <c r="U1773" s="146"/>
      <c r="W1773" s="147"/>
      <c r="AB1773" s="156"/>
    </row>
    <row r="1774" spans="16:28" ht="15" customHeight="1" x14ac:dyDescent="0.45">
      <c r="P1774" s="134"/>
      <c r="R1774" s="146"/>
      <c r="T1774" s="146"/>
      <c r="U1774" s="146"/>
      <c r="W1774" s="147"/>
      <c r="AB1774" s="156"/>
    </row>
    <row r="1775" spans="16:28" ht="15" customHeight="1" x14ac:dyDescent="0.45">
      <c r="P1775" s="134"/>
      <c r="R1775" s="146"/>
      <c r="T1775" s="146"/>
      <c r="U1775" s="146"/>
      <c r="W1775" s="147"/>
      <c r="AB1775" s="156"/>
    </row>
    <row r="1776" spans="16:28" ht="15" customHeight="1" x14ac:dyDescent="0.45">
      <c r="P1776" s="134"/>
      <c r="R1776" s="146"/>
      <c r="T1776" s="146"/>
      <c r="U1776" s="146"/>
      <c r="W1776" s="147"/>
      <c r="AB1776" s="156"/>
    </row>
    <row r="1777" spans="16:28" ht="15" customHeight="1" x14ac:dyDescent="0.45">
      <c r="P1777" s="134"/>
      <c r="R1777" s="146"/>
      <c r="T1777" s="146"/>
      <c r="U1777" s="146"/>
      <c r="W1777" s="147"/>
      <c r="AB1777" s="156"/>
    </row>
    <row r="1778" spans="16:28" ht="15" customHeight="1" x14ac:dyDescent="0.45">
      <c r="P1778" s="134"/>
      <c r="R1778" s="146"/>
      <c r="T1778" s="146"/>
      <c r="U1778" s="146"/>
      <c r="W1778" s="147"/>
      <c r="AB1778" s="156"/>
    </row>
    <row r="1779" spans="16:28" ht="15" customHeight="1" x14ac:dyDescent="0.45">
      <c r="P1779" s="134"/>
      <c r="R1779" s="146"/>
      <c r="T1779" s="146"/>
      <c r="U1779" s="146"/>
      <c r="W1779" s="147"/>
      <c r="AB1779" s="156"/>
    </row>
    <row r="1780" spans="16:28" ht="15" customHeight="1" x14ac:dyDescent="0.45">
      <c r="P1780" s="134"/>
      <c r="R1780" s="146"/>
      <c r="T1780" s="146"/>
      <c r="U1780" s="146"/>
      <c r="W1780" s="147"/>
      <c r="AB1780" s="156"/>
    </row>
    <row r="1781" spans="16:28" ht="15" customHeight="1" x14ac:dyDescent="0.45">
      <c r="P1781" s="134"/>
      <c r="R1781" s="146"/>
      <c r="T1781" s="146"/>
      <c r="U1781" s="146"/>
      <c r="W1781" s="147"/>
      <c r="AB1781" s="156"/>
    </row>
    <row r="1782" spans="16:28" ht="15" customHeight="1" x14ac:dyDescent="0.45">
      <c r="P1782" s="134"/>
      <c r="R1782" s="146"/>
      <c r="T1782" s="146"/>
      <c r="U1782" s="146"/>
      <c r="W1782" s="147"/>
      <c r="AB1782" s="156"/>
    </row>
    <row r="1783" spans="16:28" ht="15" customHeight="1" x14ac:dyDescent="0.45">
      <c r="P1783" s="134"/>
      <c r="R1783" s="146"/>
      <c r="T1783" s="146"/>
      <c r="U1783" s="146"/>
      <c r="W1783" s="147"/>
      <c r="AB1783" s="156"/>
    </row>
    <row r="1784" spans="16:28" ht="15" customHeight="1" x14ac:dyDescent="0.45">
      <c r="P1784" s="134"/>
      <c r="R1784" s="146"/>
      <c r="T1784" s="146"/>
      <c r="U1784" s="146"/>
      <c r="W1784" s="147"/>
      <c r="AB1784" s="156"/>
    </row>
    <row r="1785" spans="16:28" ht="15" customHeight="1" x14ac:dyDescent="0.45">
      <c r="P1785" s="134"/>
      <c r="R1785" s="146"/>
      <c r="T1785" s="146"/>
      <c r="U1785" s="146"/>
      <c r="W1785" s="147"/>
      <c r="AB1785" s="156"/>
    </row>
    <row r="1786" spans="16:28" ht="15" customHeight="1" x14ac:dyDescent="0.45">
      <c r="P1786" s="134"/>
      <c r="R1786" s="146"/>
      <c r="T1786" s="146"/>
      <c r="U1786" s="146"/>
      <c r="W1786" s="147"/>
      <c r="AB1786" s="156"/>
    </row>
    <row r="1787" spans="16:28" ht="15" customHeight="1" x14ac:dyDescent="0.45">
      <c r="P1787" s="134"/>
      <c r="R1787" s="146"/>
      <c r="T1787" s="146"/>
      <c r="U1787" s="146"/>
      <c r="W1787" s="147"/>
      <c r="AB1787" s="156"/>
    </row>
    <row r="1788" spans="16:28" ht="15" customHeight="1" x14ac:dyDescent="0.45">
      <c r="P1788" s="134"/>
      <c r="R1788" s="146"/>
      <c r="T1788" s="146"/>
      <c r="U1788" s="146"/>
      <c r="W1788" s="147"/>
      <c r="AB1788" s="156"/>
    </row>
    <row r="1789" spans="16:28" ht="15" customHeight="1" x14ac:dyDescent="0.45">
      <c r="P1789" s="134"/>
      <c r="R1789" s="146"/>
      <c r="T1789" s="146"/>
      <c r="U1789" s="146"/>
      <c r="W1789" s="147"/>
      <c r="AB1789" s="156"/>
    </row>
    <row r="1790" spans="16:28" ht="15" customHeight="1" x14ac:dyDescent="0.45">
      <c r="P1790" s="134"/>
      <c r="R1790" s="146"/>
      <c r="T1790" s="146"/>
      <c r="U1790" s="146"/>
      <c r="W1790" s="147"/>
      <c r="AB1790" s="156"/>
    </row>
    <row r="1791" spans="16:28" ht="15" customHeight="1" x14ac:dyDescent="0.45">
      <c r="P1791" s="134"/>
      <c r="R1791" s="146"/>
      <c r="T1791" s="146"/>
      <c r="U1791" s="146"/>
      <c r="W1791" s="147"/>
      <c r="AB1791" s="156"/>
    </row>
    <row r="1792" spans="16:28" ht="15" customHeight="1" x14ac:dyDescent="0.45">
      <c r="P1792" s="134"/>
      <c r="R1792" s="146"/>
      <c r="T1792" s="146"/>
      <c r="U1792" s="146"/>
      <c r="W1792" s="147"/>
      <c r="AB1792" s="156"/>
    </row>
    <row r="1793" spans="16:28" ht="15" customHeight="1" x14ac:dyDescent="0.45">
      <c r="P1793" s="134"/>
      <c r="R1793" s="146"/>
      <c r="T1793" s="146"/>
      <c r="U1793" s="146"/>
      <c r="W1793" s="147"/>
      <c r="AB1793" s="156"/>
    </row>
    <row r="1794" spans="16:28" ht="15" customHeight="1" x14ac:dyDescent="0.45">
      <c r="P1794" s="134"/>
      <c r="R1794" s="146"/>
      <c r="T1794" s="146"/>
      <c r="U1794" s="146"/>
      <c r="W1794" s="147"/>
      <c r="AB1794" s="156"/>
    </row>
    <row r="1795" spans="16:28" ht="15" customHeight="1" x14ac:dyDescent="0.45">
      <c r="P1795" s="134"/>
      <c r="R1795" s="146"/>
      <c r="T1795" s="146"/>
      <c r="U1795" s="146"/>
      <c r="W1795" s="147"/>
      <c r="AB1795" s="156"/>
    </row>
    <row r="1796" spans="16:28" ht="15" customHeight="1" x14ac:dyDescent="0.45">
      <c r="P1796" s="134"/>
      <c r="R1796" s="146"/>
      <c r="T1796" s="146"/>
      <c r="U1796" s="146"/>
      <c r="W1796" s="147"/>
      <c r="AB1796" s="156"/>
    </row>
    <row r="1797" spans="16:28" ht="15" customHeight="1" x14ac:dyDescent="0.45">
      <c r="P1797" s="134"/>
      <c r="R1797" s="146"/>
      <c r="T1797" s="146"/>
      <c r="U1797" s="146"/>
      <c r="W1797" s="147"/>
      <c r="AB1797" s="156"/>
    </row>
    <row r="1798" spans="16:28" ht="15" customHeight="1" x14ac:dyDescent="0.45">
      <c r="P1798" s="134"/>
      <c r="R1798" s="146"/>
      <c r="T1798" s="146"/>
      <c r="U1798" s="146"/>
      <c r="W1798" s="147"/>
      <c r="AB1798" s="156"/>
    </row>
    <row r="1799" spans="16:28" ht="15" customHeight="1" x14ac:dyDescent="0.45">
      <c r="P1799" s="134"/>
      <c r="R1799" s="146"/>
      <c r="T1799" s="146"/>
      <c r="U1799" s="146"/>
      <c r="W1799" s="147"/>
      <c r="AB1799" s="156"/>
    </row>
    <row r="1800" spans="16:28" ht="15" customHeight="1" x14ac:dyDescent="0.45">
      <c r="P1800" s="134"/>
      <c r="R1800" s="146"/>
      <c r="T1800" s="146"/>
      <c r="U1800" s="146"/>
      <c r="W1800" s="147"/>
      <c r="AB1800" s="156"/>
    </row>
    <row r="1801" spans="16:28" ht="15" customHeight="1" x14ac:dyDescent="0.45">
      <c r="P1801" s="134"/>
      <c r="R1801" s="146"/>
      <c r="T1801" s="146"/>
      <c r="U1801" s="146"/>
      <c r="W1801" s="147"/>
      <c r="AB1801" s="156"/>
    </row>
    <row r="1802" spans="16:28" ht="15" customHeight="1" x14ac:dyDescent="0.45">
      <c r="P1802" s="134"/>
      <c r="R1802" s="146"/>
      <c r="T1802" s="146"/>
      <c r="U1802" s="146"/>
      <c r="W1802" s="147"/>
      <c r="AB1802" s="156"/>
    </row>
    <row r="1803" spans="16:28" ht="15" customHeight="1" x14ac:dyDescent="0.45">
      <c r="P1803" s="134"/>
      <c r="R1803" s="146"/>
      <c r="T1803" s="146"/>
      <c r="U1803" s="146"/>
      <c r="W1803" s="147"/>
      <c r="AB1803" s="156"/>
    </row>
    <row r="1804" spans="16:28" ht="15" customHeight="1" x14ac:dyDescent="0.45">
      <c r="P1804" s="134"/>
      <c r="R1804" s="146"/>
      <c r="T1804" s="146"/>
      <c r="U1804" s="146"/>
      <c r="W1804" s="147"/>
      <c r="AB1804" s="156"/>
    </row>
    <row r="1805" spans="16:28" ht="15" customHeight="1" x14ac:dyDescent="0.45">
      <c r="P1805" s="134"/>
      <c r="R1805" s="146"/>
      <c r="T1805" s="146"/>
      <c r="U1805" s="146"/>
      <c r="W1805" s="147"/>
      <c r="AB1805" s="156"/>
    </row>
    <row r="1806" spans="16:28" ht="15" customHeight="1" x14ac:dyDescent="0.45">
      <c r="P1806" s="134"/>
      <c r="R1806" s="146"/>
      <c r="T1806" s="146"/>
      <c r="U1806" s="146"/>
      <c r="W1806" s="147"/>
      <c r="AB1806" s="156"/>
    </row>
    <row r="1807" spans="16:28" ht="15" customHeight="1" x14ac:dyDescent="0.45">
      <c r="P1807" s="134"/>
      <c r="R1807" s="146"/>
      <c r="T1807" s="146"/>
      <c r="U1807" s="146"/>
      <c r="W1807" s="147"/>
      <c r="AB1807" s="156"/>
    </row>
    <row r="1808" spans="16:28" ht="15" customHeight="1" x14ac:dyDescent="0.45">
      <c r="P1808" s="134"/>
      <c r="R1808" s="146"/>
      <c r="T1808" s="146"/>
      <c r="U1808" s="146"/>
      <c r="W1808" s="147"/>
      <c r="AB1808" s="156"/>
    </row>
    <row r="1809" spans="16:28" ht="15" customHeight="1" x14ac:dyDescent="0.45">
      <c r="P1809" s="134"/>
      <c r="R1809" s="146"/>
      <c r="T1809" s="146"/>
      <c r="U1809" s="146"/>
      <c r="W1809" s="147"/>
      <c r="AB1809" s="156"/>
    </row>
    <row r="1810" spans="16:28" ht="15" customHeight="1" x14ac:dyDescent="0.45">
      <c r="P1810" s="134"/>
      <c r="R1810" s="146"/>
      <c r="T1810" s="146"/>
      <c r="U1810" s="146"/>
      <c r="W1810" s="147"/>
      <c r="AB1810" s="156"/>
    </row>
    <row r="1811" spans="16:28" ht="15" customHeight="1" x14ac:dyDescent="0.45">
      <c r="P1811" s="134"/>
      <c r="R1811" s="146"/>
      <c r="T1811" s="146"/>
      <c r="U1811" s="146"/>
      <c r="W1811" s="147"/>
      <c r="AB1811" s="156"/>
    </row>
    <row r="1812" spans="16:28" ht="15" customHeight="1" x14ac:dyDescent="0.45">
      <c r="P1812" s="134"/>
      <c r="R1812" s="146"/>
      <c r="T1812" s="146"/>
      <c r="U1812" s="146"/>
      <c r="W1812" s="147"/>
      <c r="AB1812" s="156"/>
    </row>
    <row r="1813" spans="16:28" ht="15" customHeight="1" x14ac:dyDescent="0.45">
      <c r="P1813" s="134"/>
      <c r="R1813" s="146"/>
      <c r="T1813" s="146"/>
      <c r="U1813" s="146"/>
      <c r="W1813" s="147"/>
      <c r="AB1813" s="156"/>
    </row>
    <row r="1814" spans="16:28" ht="15" customHeight="1" x14ac:dyDescent="0.45">
      <c r="P1814" s="134"/>
      <c r="R1814" s="146"/>
      <c r="T1814" s="146"/>
      <c r="U1814" s="146"/>
      <c r="W1814" s="147"/>
      <c r="AB1814" s="156"/>
    </row>
    <row r="1815" spans="16:28" ht="15" customHeight="1" x14ac:dyDescent="0.45">
      <c r="P1815" s="134"/>
      <c r="R1815" s="146"/>
      <c r="T1815" s="146"/>
      <c r="U1815" s="146"/>
      <c r="W1815" s="147"/>
      <c r="AB1815" s="156"/>
    </row>
    <row r="1816" spans="16:28" ht="15" customHeight="1" x14ac:dyDescent="0.45">
      <c r="P1816" s="134"/>
      <c r="R1816" s="146"/>
      <c r="T1816" s="146"/>
      <c r="U1816" s="146"/>
      <c r="W1816" s="147"/>
      <c r="AB1816" s="156"/>
    </row>
    <row r="1817" spans="16:28" ht="15" customHeight="1" x14ac:dyDescent="0.45">
      <c r="P1817" s="134"/>
      <c r="R1817" s="146"/>
      <c r="T1817" s="146"/>
      <c r="U1817" s="146"/>
      <c r="W1817" s="147"/>
      <c r="AB1817" s="156"/>
    </row>
    <row r="1818" spans="16:28" ht="15" customHeight="1" x14ac:dyDescent="0.45">
      <c r="P1818" s="134"/>
      <c r="R1818" s="146"/>
      <c r="T1818" s="146"/>
      <c r="U1818" s="146"/>
      <c r="W1818" s="147"/>
      <c r="AB1818" s="156"/>
    </row>
    <row r="1819" spans="16:28" ht="15" customHeight="1" x14ac:dyDescent="0.45">
      <c r="P1819" s="134"/>
      <c r="R1819" s="146"/>
      <c r="T1819" s="146"/>
      <c r="U1819" s="146"/>
      <c r="W1819" s="147"/>
      <c r="AB1819" s="156"/>
    </row>
    <row r="1820" spans="16:28" ht="15" customHeight="1" x14ac:dyDescent="0.45">
      <c r="P1820" s="134"/>
      <c r="R1820" s="146"/>
      <c r="T1820" s="146"/>
      <c r="U1820" s="146"/>
      <c r="W1820" s="147"/>
      <c r="AB1820" s="156"/>
    </row>
    <row r="1821" spans="16:28" ht="15" customHeight="1" x14ac:dyDescent="0.45">
      <c r="P1821" s="134"/>
      <c r="R1821" s="146"/>
      <c r="T1821" s="146"/>
      <c r="U1821" s="146"/>
      <c r="W1821" s="147"/>
      <c r="AB1821" s="156"/>
    </row>
    <row r="1822" spans="16:28" ht="15" customHeight="1" x14ac:dyDescent="0.45">
      <c r="P1822" s="134"/>
      <c r="R1822" s="146"/>
      <c r="T1822" s="146"/>
      <c r="U1822" s="146"/>
      <c r="W1822" s="147"/>
      <c r="AB1822" s="156"/>
    </row>
    <row r="1823" spans="16:28" ht="15" customHeight="1" x14ac:dyDescent="0.45">
      <c r="P1823" s="134"/>
      <c r="R1823" s="146"/>
      <c r="T1823" s="146"/>
      <c r="U1823" s="146"/>
      <c r="W1823" s="147"/>
      <c r="AB1823" s="156"/>
    </row>
    <row r="1824" spans="16:28" ht="15" customHeight="1" x14ac:dyDescent="0.45">
      <c r="P1824" s="134"/>
      <c r="R1824" s="146"/>
      <c r="T1824" s="146"/>
      <c r="U1824" s="146"/>
      <c r="W1824" s="147"/>
      <c r="AB1824" s="156"/>
    </row>
    <row r="1825" spans="16:28" ht="15" customHeight="1" x14ac:dyDescent="0.45">
      <c r="P1825" s="134"/>
      <c r="R1825" s="146"/>
      <c r="T1825" s="146"/>
      <c r="U1825" s="146"/>
      <c r="W1825" s="147"/>
      <c r="AB1825" s="156"/>
    </row>
    <row r="1826" spans="16:28" ht="15" customHeight="1" x14ac:dyDescent="0.45">
      <c r="P1826" s="134"/>
      <c r="R1826" s="146"/>
      <c r="T1826" s="146"/>
      <c r="U1826" s="146"/>
      <c r="W1826" s="147"/>
      <c r="AB1826" s="156"/>
    </row>
    <row r="1827" spans="16:28" ht="15" customHeight="1" x14ac:dyDescent="0.45">
      <c r="P1827" s="134"/>
      <c r="R1827" s="146"/>
      <c r="T1827" s="146"/>
      <c r="U1827" s="146"/>
      <c r="W1827" s="147"/>
      <c r="AB1827" s="156"/>
    </row>
    <row r="1828" spans="16:28" ht="15" customHeight="1" x14ac:dyDescent="0.45">
      <c r="P1828" s="134"/>
      <c r="R1828" s="146"/>
      <c r="T1828" s="146"/>
      <c r="U1828" s="146"/>
      <c r="W1828" s="147"/>
      <c r="AB1828" s="156"/>
    </row>
    <row r="1829" spans="16:28" ht="15" customHeight="1" x14ac:dyDescent="0.45">
      <c r="P1829" s="134"/>
      <c r="R1829" s="146"/>
      <c r="T1829" s="146"/>
      <c r="U1829" s="146"/>
      <c r="W1829" s="147"/>
      <c r="AB1829" s="156"/>
    </row>
    <row r="1830" spans="16:28" ht="15" customHeight="1" x14ac:dyDescent="0.45">
      <c r="P1830" s="134"/>
      <c r="R1830" s="146"/>
      <c r="T1830" s="146"/>
      <c r="U1830" s="146"/>
      <c r="W1830" s="147"/>
      <c r="AB1830" s="156"/>
    </row>
    <row r="1831" spans="16:28" ht="15" customHeight="1" x14ac:dyDescent="0.45">
      <c r="P1831" s="134"/>
      <c r="R1831" s="146"/>
      <c r="T1831" s="146"/>
      <c r="U1831" s="146"/>
      <c r="W1831" s="147"/>
      <c r="AB1831" s="156"/>
    </row>
    <row r="1832" spans="16:28" ht="15" customHeight="1" x14ac:dyDescent="0.45">
      <c r="P1832" s="134"/>
      <c r="R1832" s="146"/>
      <c r="T1832" s="146"/>
      <c r="U1832" s="146"/>
      <c r="W1832" s="147"/>
      <c r="AB1832" s="156"/>
    </row>
    <row r="1833" spans="16:28" ht="15" customHeight="1" x14ac:dyDescent="0.45">
      <c r="P1833" s="134"/>
      <c r="R1833" s="146"/>
      <c r="T1833" s="146"/>
      <c r="U1833" s="146"/>
      <c r="W1833" s="147"/>
      <c r="AB1833" s="156"/>
    </row>
    <row r="1834" spans="16:28" ht="15" customHeight="1" x14ac:dyDescent="0.45">
      <c r="P1834" s="134"/>
      <c r="R1834" s="146"/>
      <c r="T1834" s="146"/>
      <c r="U1834" s="146"/>
      <c r="W1834" s="147"/>
      <c r="AB1834" s="156"/>
    </row>
    <row r="1835" spans="16:28" ht="15" customHeight="1" x14ac:dyDescent="0.45">
      <c r="P1835" s="134"/>
      <c r="R1835" s="146"/>
      <c r="T1835" s="146"/>
      <c r="U1835" s="146"/>
      <c r="W1835" s="147"/>
      <c r="AB1835" s="156"/>
    </row>
    <row r="1836" spans="16:28" ht="15" customHeight="1" x14ac:dyDescent="0.45">
      <c r="P1836" s="134"/>
      <c r="R1836" s="146"/>
      <c r="T1836" s="146"/>
      <c r="U1836" s="146"/>
      <c r="W1836" s="147"/>
      <c r="AB1836" s="156"/>
    </row>
    <row r="1837" spans="16:28" ht="15" customHeight="1" x14ac:dyDescent="0.45">
      <c r="P1837" s="134"/>
      <c r="R1837" s="146"/>
      <c r="T1837" s="146"/>
      <c r="U1837" s="146"/>
      <c r="W1837" s="147"/>
      <c r="AB1837" s="156"/>
    </row>
    <row r="1838" spans="16:28" ht="15" customHeight="1" x14ac:dyDescent="0.45">
      <c r="P1838" s="134"/>
      <c r="R1838" s="146"/>
      <c r="T1838" s="146"/>
      <c r="U1838" s="146"/>
      <c r="W1838" s="147"/>
      <c r="AB1838" s="156"/>
    </row>
    <row r="1839" spans="16:28" ht="15" customHeight="1" x14ac:dyDescent="0.45">
      <c r="P1839" s="134"/>
      <c r="R1839" s="146"/>
      <c r="T1839" s="146"/>
      <c r="U1839" s="146"/>
      <c r="W1839" s="147"/>
      <c r="AB1839" s="156"/>
    </row>
    <row r="1840" spans="16:28" ht="15" customHeight="1" x14ac:dyDescent="0.45">
      <c r="P1840" s="134"/>
      <c r="R1840" s="146"/>
      <c r="T1840" s="146"/>
      <c r="U1840" s="146"/>
      <c r="W1840" s="147"/>
      <c r="AB1840" s="156"/>
    </row>
    <row r="1841" spans="16:28" ht="15" customHeight="1" x14ac:dyDescent="0.45">
      <c r="P1841" s="134"/>
      <c r="R1841" s="146"/>
      <c r="T1841" s="146"/>
      <c r="U1841" s="146"/>
      <c r="W1841" s="147"/>
      <c r="AB1841" s="156"/>
    </row>
    <row r="1842" spans="16:28" ht="15" customHeight="1" x14ac:dyDescent="0.45">
      <c r="P1842" s="134"/>
      <c r="R1842" s="146"/>
      <c r="T1842" s="146"/>
      <c r="U1842" s="146"/>
      <c r="W1842" s="147"/>
      <c r="AB1842" s="156"/>
    </row>
    <row r="1843" spans="16:28" ht="15" customHeight="1" x14ac:dyDescent="0.45">
      <c r="P1843" s="134"/>
      <c r="R1843" s="146"/>
      <c r="T1843" s="146"/>
      <c r="U1843" s="146"/>
      <c r="W1843" s="147"/>
      <c r="AB1843" s="156"/>
    </row>
    <row r="1844" spans="16:28" ht="15" customHeight="1" x14ac:dyDescent="0.45">
      <c r="P1844" s="134"/>
      <c r="R1844" s="146"/>
      <c r="T1844" s="146"/>
      <c r="U1844" s="146"/>
      <c r="W1844" s="147"/>
      <c r="AB1844" s="156"/>
    </row>
    <row r="1845" spans="16:28" ht="15" customHeight="1" x14ac:dyDescent="0.45">
      <c r="P1845" s="134"/>
      <c r="R1845" s="146"/>
      <c r="T1845" s="146"/>
      <c r="U1845" s="146"/>
      <c r="W1845" s="147"/>
      <c r="AB1845" s="156"/>
    </row>
    <row r="1846" spans="16:28" ht="15" customHeight="1" x14ac:dyDescent="0.45">
      <c r="P1846" s="134"/>
      <c r="R1846" s="146"/>
      <c r="T1846" s="146"/>
      <c r="U1846" s="146"/>
      <c r="W1846" s="147"/>
      <c r="AB1846" s="156"/>
    </row>
    <row r="1847" spans="16:28" ht="15" customHeight="1" x14ac:dyDescent="0.45">
      <c r="P1847" s="134"/>
      <c r="R1847" s="146"/>
      <c r="T1847" s="146"/>
      <c r="U1847" s="146"/>
      <c r="W1847" s="147"/>
      <c r="AB1847" s="156"/>
    </row>
    <row r="1848" spans="16:28" ht="15" customHeight="1" x14ac:dyDescent="0.45">
      <c r="P1848" s="134"/>
      <c r="R1848" s="146"/>
      <c r="T1848" s="146"/>
      <c r="U1848" s="146"/>
      <c r="W1848" s="147"/>
      <c r="AB1848" s="156"/>
    </row>
    <row r="1849" spans="16:28" ht="15" customHeight="1" x14ac:dyDescent="0.45">
      <c r="P1849" s="134"/>
      <c r="R1849" s="146"/>
      <c r="T1849" s="146"/>
      <c r="U1849" s="146"/>
      <c r="W1849" s="147"/>
      <c r="AB1849" s="156"/>
    </row>
    <row r="1850" spans="16:28" ht="15" customHeight="1" x14ac:dyDescent="0.45">
      <c r="P1850" s="134"/>
      <c r="R1850" s="146"/>
      <c r="T1850" s="146"/>
      <c r="U1850" s="146"/>
      <c r="W1850" s="147"/>
      <c r="AB1850" s="156"/>
    </row>
    <row r="1851" spans="16:28" ht="15" customHeight="1" x14ac:dyDescent="0.45">
      <c r="P1851" s="134"/>
      <c r="R1851" s="146"/>
      <c r="T1851" s="146"/>
      <c r="U1851" s="146"/>
      <c r="W1851" s="147"/>
      <c r="AB1851" s="156"/>
    </row>
    <row r="1852" spans="16:28" ht="15" customHeight="1" x14ac:dyDescent="0.45">
      <c r="P1852" s="134"/>
      <c r="R1852" s="146"/>
      <c r="T1852" s="146"/>
      <c r="U1852" s="146"/>
      <c r="W1852" s="147"/>
      <c r="AB1852" s="156"/>
    </row>
    <row r="1853" spans="16:28" ht="15" customHeight="1" x14ac:dyDescent="0.45">
      <c r="P1853" s="134"/>
      <c r="R1853" s="146"/>
      <c r="T1853" s="146"/>
      <c r="U1853" s="146"/>
      <c r="W1853" s="147"/>
      <c r="AB1853" s="156"/>
    </row>
    <row r="1854" spans="16:28" ht="15" customHeight="1" x14ac:dyDescent="0.45">
      <c r="P1854" s="134"/>
      <c r="R1854" s="146"/>
      <c r="T1854" s="146"/>
      <c r="U1854" s="146"/>
      <c r="W1854" s="147"/>
      <c r="AB1854" s="156"/>
    </row>
    <row r="1855" spans="16:28" ht="15" customHeight="1" x14ac:dyDescent="0.45">
      <c r="P1855" s="134"/>
      <c r="R1855" s="146"/>
      <c r="T1855" s="146"/>
      <c r="U1855" s="146"/>
      <c r="W1855" s="147"/>
      <c r="AB1855" s="156"/>
    </row>
    <row r="1856" spans="16:28" ht="15" customHeight="1" x14ac:dyDescent="0.45">
      <c r="P1856" s="134"/>
      <c r="R1856" s="146"/>
      <c r="T1856" s="146"/>
      <c r="U1856" s="146"/>
      <c r="W1856" s="147"/>
      <c r="AB1856" s="156"/>
    </row>
    <row r="1857" spans="16:28" ht="15" customHeight="1" x14ac:dyDescent="0.45">
      <c r="P1857" s="134"/>
      <c r="R1857" s="146"/>
      <c r="T1857" s="146"/>
      <c r="U1857" s="146"/>
      <c r="W1857" s="147"/>
      <c r="AB1857" s="156"/>
    </row>
    <row r="1858" spans="16:28" ht="15" customHeight="1" x14ac:dyDescent="0.45">
      <c r="P1858" s="134"/>
      <c r="R1858" s="146"/>
      <c r="T1858" s="146"/>
      <c r="U1858" s="146"/>
      <c r="W1858" s="147"/>
      <c r="AB1858" s="156"/>
    </row>
    <row r="1859" spans="16:28" ht="15" customHeight="1" x14ac:dyDescent="0.45">
      <c r="P1859" s="134"/>
      <c r="R1859" s="146"/>
      <c r="T1859" s="146"/>
      <c r="U1859" s="146"/>
      <c r="W1859" s="147"/>
      <c r="AB1859" s="156"/>
    </row>
    <row r="1860" spans="16:28" ht="15" customHeight="1" x14ac:dyDescent="0.45">
      <c r="P1860" s="134"/>
      <c r="R1860" s="146"/>
      <c r="T1860" s="146"/>
      <c r="U1860" s="146"/>
      <c r="W1860" s="147"/>
      <c r="AB1860" s="156"/>
    </row>
    <row r="1861" spans="16:28" ht="15" customHeight="1" x14ac:dyDescent="0.45">
      <c r="P1861" s="134"/>
      <c r="R1861" s="146"/>
      <c r="T1861" s="146"/>
      <c r="U1861" s="146"/>
      <c r="W1861" s="147"/>
      <c r="AB1861" s="156"/>
    </row>
    <row r="1862" spans="16:28" ht="15" customHeight="1" x14ac:dyDescent="0.45">
      <c r="P1862" s="134"/>
      <c r="R1862" s="146"/>
      <c r="T1862" s="146"/>
      <c r="U1862" s="146"/>
      <c r="W1862" s="147"/>
      <c r="AB1862" s="156"/>
    </row>
    <row r="1863" spans="16:28" ht="15" customHeight="1" x14ac:dyDescent="0.45">
      <c r="P1863" s="134"/>
      <c r="R1863" s="146"/>
      <c r="T1863" s="146"/>
      <c r="U1863" s="146"/>
      <c r="W1863" s="147"/>
      <c r="AB1863" s="156"/>
    </row>
    <row r="1864" spans="16:28" ht="15" customHeight="1" x14ac:dyDescent="0.45">
      <c r="P1864" s="134"/>
      <c r="R1864" s="146"/>
      <c r="T1864" s="146"/>
      <c r="U1864" s="146"/>
      <c r="W1864" s="147"/>
      <c r="AB1864" s="156"/>
    </row>
    <row r="1865" spans="16:28" ht="15" customHeight="1" x14ac:dyDescent="0.45">
      <c r="P1865" s="134"/>
      <c r="R1865" s="146"/>
      <c r="T1865" s="146"/>
      <c r="U1865" s="146"/>
      <c r="W1865" s="147"/>
      <c r="AB1865" s="156"/>
    </row>
    <row r="1866" spans="16:28" ht="15" customHeight="1" x14ac:dyDescent="0.45">
      <c r="P1866" s="134"/>
      <c r="R1866" s="146"/>
      <c r="T1866" s="146"/>
      <c r="U1866" s="146"/>
      <c r="W1866" s="147"/>
      <c r="AB1866" s="156"/>
    </row>
    <row r="1867" spans="16:28" ht="15" customHeight="1" x14ac:dyDescent="0.45">
      <c r="P1867" s="134"/>
      <c r="R1867" s="146"/>
      <c r="T1867" s="146"/>
      <c r="U1867" s="146"/>
      <c r="W1867" s="147"/>
      <c r="AB1867" s="156"/>
    </row>
    <row r="1868" spans="16:28" ht="15" customHeight="1" x14ac:dyDescent="0.45">
      <c r="P1868" s="134"/>
      <c r="R1868" s="146"/>
      <c r="T1868" s="146"/>
      <c r="U1868" s="146"/>
      <c r="W1868" s="147"/>
      <c r="AB1868" s="156"/>
    </row>
    <row r="1869" spans="16:28" ht="15" customHeight="1" x14ac:dyDescent="0.45">
      <c r="P1869" s="134"/>
      <c r="R1869" s="146"/>
      <c r="T1869" s="146"/>
      <c r="U1869" s="146"/>
      <c r="W1869" s="147"/>
      <c r="AB1869" s="156"/>
    </row>
    <row r="1870" spans="16:28" ht="15" customHeight="1" x14ac:dyDescent="0.45">
      <c r="P1870" s="134"/>
      <c r="R1870" s="146"/>
      <c r="T1870" s="146"/>
      <c r="U1870" s="146"/>
      <c r="W1870" s="147"/>
      <c r="AB1870" s="156"/>
    </row>
    <row r="1871" spans="16:28" ht="15" customHeight="1" x14ac:dyDescent="0.45">
      <c r="P1871" s="134"/>
      <c r="R1871" s="146"/>
      <c r="T1871" s="146"/>
      <c r="U1871" s="146"/>
      <c r="W1871" s="147"/>
      <c r="AB1871" s="156"/>
    </row>
    <row r="1872" spans="16:28" ht="15" customHeight="1" x14ac:dyDescent="0.45">
      <c r="P1872" s="134"/>
      <c r="R1872" s="146"/>
      <c r="T1872" s="146"/>
      <c r="U1872" s="146"/>
      <c r="W1872" s="147"/>
      <c r="AB1872" s="156"/>
    </row>
    <row r="1873" spans="16:28" ht="15" customHeight="1" x14ac:dyDescent="0.45">
      <c r="P1873" s="134"/>
      <c r="R1873" s="146"/>
      <c r="T1873" s="146"/>
      <c r="U1873" s="146"/>
      <c r="W1873" s="147"/>
      <c r="AB1873" s="156"/>
    </row>
    <row r="1874" spans="16:28" ht="15" customHeight="1" x14ac:dyDescent="0.45">
      <c r="P1874" s="134"/>
      <c r="R1874" s="146"/>
      <c r="T1874" s="146"/>
      <c r="U1874" s="146"/>
      <c r="W1874" s="147"/>
      <c r="AB1874" s="156"/>
    </row>
    <row r="1875" spans="16:28" ht="15" customHeight="1" x14ac:dyDescent="0.45">
      <c r="P1875" s="134"/>
      <c r="R1875" s="146"/>
      <c r="T1875" s="146"/>
      <c r="U1875" s="146"/>
      <c r="W1875" s="147"/>
      <c r="AB1875" s="156"/>
    </row>
    <row r="1876" spans="16:28" ht="15" customHeight="1" x14ac:dyDescent="0.45">
      <c r="P1876" s="134"/>
      <c r="R1876" s="146"/>
      <c r="T1876" s="146"/>
      <c r="U1876" s="146"/>
      <c r="W1876" s="147"/>
      <c r="AB1876" s="156"/>
    </row>
    <row r="1877" spans="16:28" ht="15" customHeight="1" x14ac:dyDescent="0.45">
      <c r="P1877" s="134"/>
      <c r="R1877" s="146"/>
      <c r="T1877" s="146"/>
      <c r="U1877" s="146"/>
      <c r="W1877" s="147"/>
      <c r="AB1877" s="156"/>
    </row>
    <row r="1878" spans="16:28" ht="15" customHeight="1" x14ac:dyDescent="0.45">
      <c r="P1878" s="134"/>
      <c r="R1878" s="146"/>
      <c r="T1878" s="146"/>
      <c r="U1878" s="146"/>
      <c r="W1878" s="147"/>
      <c r="AB1878" s="156"/>
    </row>
    <row r="1879" spans="16:28" ht="15" customHeight="1" x14ac:dyDescent="0.45">
      <c r="P1879" s="134"/>
      <c r="R1879" s="146"/>
      <c r="T1879" s="146"/>
      <c r="U1879" s="146"/>
      <c r="W1879" s="147"/>
      <c r="AB1879" s="156"/>
    </row>
    <row r="1880" spans="16:28" ht="15" customHeight="1" x14ac:dyDescent="0.45">
      <c r="P1880" s="134"/>
      <c r="R1880" s="146"/>
      <c r="T1880" s="146"/>
      <c r="U1880" s="146"/>
      <c r="W1880" s="147"/>
      <c r="AB1880" s="156"/>
    </row>
    <row r="1881" spans="16:28" ht="15" customHeight="1" x14ac:dyDescent="0.45">
      <c r="P1881" s="134"/>
      <c r="R1881" s="146"/>
      <c r="T1881" s="146"/>
      <c r="U1881" s="146"/>
      <c r="W1881" s="147"/>
      <c r="AB1881" s="156"/>
    </row>
    <row r="1882" spans="16:28" ht="15" customHeight="1" x14ac:dyDescent="0.45">
      <c r="P1882" s="134"/>
      <c r="R1882" s="146"/>
      <c r="T1882" s="146"/>
      <c r="U1882" s="146"/>
      <c r="W1882" s="147"/>
      <c r="AB1882" s="156"/>
    </row>
    <row r="1883" spans="16:28" ht="15" customHeight="1" x14ac:dyDescent="0.45">
      <c r="P1883" s="134"/>
      <c r="R1883" s="146"/>
      <c r="T1883" s="146"/>
      <c r="U1883" s="146"/>
      <c r="W1883" s="147"/>
      <c r="AB1883" s="156"/>
    </row>
    <row r="1884" spans="16:28" ht="15" customHeight="1" x14ac:dyDescent="0.45">
      <c r="P1884" s="134"/>
      <c r="R1884" s="146"/>
      <c r="T1884" s="146"/>
      <c r="U1884" s="146"/>
      <c r="W1884" s="147"/>
      <c r="AB1884" s="156"/>
    </row>
    <row r="1885" spans="16:28" ht="15" customHeight="1" x14ac:dyDescent="0.45">
      <c r="P1885" s="134"/>
      <c r="R1885" s="146"/>
      <c r="T1885" s="146"/>
      <c r="U1885" s="146"/>
      <c r="W1885" s="147"/>
      <c r="AB1885" s="156"/>
    </row>
    <row r="1886" spans="16:28" ht="15" customHeight="1" x14ac:dyDescent="0.45">
      <c r="P1886" s="134"/>
      <c r="R1886" s="146"/>
      <c r="T1886" s="146"/>
      <c r="U1886" s="146"/>
      <c r="W1886" s="147"/>
      <c r="AB1886" s="156"/>
    </row>
    <row r="1887" spans="16:28" ht="15" customHeight="1" x14ac:dyDescent="0.45">
      <c r="P1887" s="134"/>
      <c r="R1887" s="146"/>
      <c r="T1887" s="146"/>
      <c r="U1887" s="146"/>
      <c r="W1887" s="147"/>
      <c r="AB1887" s="156"/>
    </row>
    <row r="1888" spans="16:28" ht="15" customHeight="1" x14ac:dyDescent="0.45">
      <c r="P1888" s="134"/>
      <c r="R1888" s="146"/>
      <c r="T1888" s="146"/>
      <c r="U1888" s="146"/>
      <c r="W1888" s="147"/>
      <c r="AB1888" s="156"/>
    </row>
    <row r="1889" spans="16:28" ht="15" customHeight="1" x14ac:dyDescent="0.45">
      <c r="P1889" s="134"/>
      <c r="R1889" s="146"/>
      <c r="T1889" s="146"/>
      <c r="U1889" s="146"/>
      <c r="W1889" s="147"/>
      <c r="AB1889" s="156"/>
    </row>
    <row r="1890" spans="16:28" ht="15" customHeight="1" x14ac:dyDescent="0.45">
      <c r="P1890" s="134"/>
      <c r="R1890" s="146"/>
      <c r="T1890" s="146"/>
      <c r="U1890" s="146"/>
      <c r="W1890" s="147"/>
      <c r="AB1890" s="156"/>
    </row>
    <row r="1891" spans="16:28" ht="15" customHeight="1" x14ac:dyDescent="0.45">
      <c r="P1891" s="134"/>
      <c r="R1891" s="146"/>
      <c r="T1891" s="146"/>
      <c r="U1891" s="146"/>
      <c r="W1891" s="147"/>
      <c r="AB1891" s="156"/>
    </row>
    <row r="1892" spans="16:28" ht="15" customHeight="1" x14ac:dyDescent="0.45">
      <c r="P1892" s="134"/>
      <c r="R1892" s="146"/>
      <c r="T1892" s="146"/>
      <c r="U1892" s="146"/>
      <c r="W1892" s="147"/>
      <c r="AB1892" s="156"/>
    </row>
    <row r="1893" spans="16:28" ht="15" customHeight="1" x14ac:dyDescent="0.45">
      <c r="P1893" s="134"/>
      <c r="R1893" s="146"/>
      <c r="T1893" s="146"/>
      <c r="U1893" s="146"/>
      <c r="W1893" s="147"/>
      <c r="AB1893" s="156"/>
    </row>
    <row r="1894" spans="16:28" ht="15" customHeight="1" x14ac:dyDescent="0.45">
      <c r="P1894" s="134"/>
      <c r="R1894" s="146"/>
      <c r="T1894" s="146"/>
      <c r="U1894" s="146"/>
      <c r="W1894" s="147"/>
      <c r="AB1894" s="156"/>
    </row>
    <row r="1895" spans="16:28" ht="15" customHeight="1" x14ac:dyDescent="0.45">
      <c r="P1895" s="134"/>
      <c r="R1895" s="146"/>
      <c r="T1895" s="146"/>
      <c r="U1895" s="146"/>
      <c r="W1895" s="147"/>
      <c r="AB1895" s="156"/>
    </row>
    <row r="1896" spans="16:28" ht="15" customHeight="1" x14ac:dyDescent="0.45">
      <c r="P1896" s="134"/>
      <c r="R1896" s="146"/>
      <c r="T1896" s="146"/>
      <c r="U1896" s="146"/>
      <c r="W1896" s="147"/>
      <c r="AB1896" s="156"/>
    </row>
    <row r="1897" spans="16:28" ht="15" customHeight="1" x14ac:dyDescent="0.45">
      <c r="P1897" s="134"/>
      <c r="R1897" s="146"/>
      <c r="T1897" s="146"/>
      <c r="U1897" s="146"/>
      <c r="W1897" s="147"/>
      <c r="AB1897" s="156"/>
    </row>
    <row r="1898" spans="16:28" ht="15" customHeight="1" x14ac:dyDescent="0.45">
      <c r="P1898" s="134"/>
      <c r="R1898" s="146"/>
      <c r="T1898" s="146"/>
      <c r="U1898" s="146"/>
      <c r="W1898" s="147"/>
      <c r="AB1898" s="156"/>
    </row>
    <row r="1899" spans="16:28" ht="15" customHeight="1" x14ac:dyDescent="0.45">
      <c r="P1899" s="134"/>
      <c r="R1899" s="146"/>
      <c r="T1899" s="146"/>
      <c r="U1899" s="146"/>
      <c r="W1899" s="147"/>
      <c r="AB1899" s="156"/>
    </row>
    <row r="1900" spans="16:28" ht="15" customHeight="1" x14ac:dyDescent="0.45">
      <c r="P1900" s="134"/>
      <c r="R1900" s="146"/>
      <c r="T1900" s="146"/>
      <c r="U1900" s="146"/>
      <c r="W1900" s="147"/>
      <c r="AB1900" s="156"/>
    </row>
    <row r="1901" spans="16:28" ht="15" customHeight="1" x14ac:dyDescent="0.45">
      <c r="P1901" s="134"/>
      <c r="R1901" s="146"/>
      <c r="T1901" s="146"/>
      <c r="U1901" s="146"/>
      <c r="W1901" s="147"/>
      <c r="AB1901" s="156"/>
    </row>
    <row r="1902" spans="16:28" ht="15" customHeight="1" x14ac:dyDescent="0.45">
      <c r="P1902" s="134"/>
      <c r="R1902" s="146"/>
      <c r="T1902" s="146"/>
      <c r="U1902" s="146"/>
      <c r="W1902" s="147"/>
      <c r="AB1902" s="156"/>
    </row>
    <row r="1903" spans="16:28" ht="15" customHeight="1" x14ac:dyDescent="0.45">
      <c r="P1903" s="134"/>
      <c r="R1903" s="146"/>
      <c r="T1903" s="146"/>
      <c r="U1903" s="146"/>
      <c r="W1903" s="147"/>
      <c r="AB1903" s="156"/>
    </row>
    <row r="1904" spans="16:28" ht="15" customHeight="1" x14ac:dyDescent="0.45">
      <c r="P1904" s="134"/>
      <c r="R1904" s="146"/>
      <c r="T1904" s="146"/>
      <c r="U1904" s="146"/>
      <c r="W1904" s="147"/>
      <c r="AB1904" s="156"/>
    </row>
    <row r="1905" spans="16:28" ht="15" customHeight="1" x14ac:dyDescent="0.45">
      <c r="P1905" s="134"/>
      <c r="R1905" s="146"/>
      <c r="T1905" s="146"/>
      <c r="U1905" s="146"/>
      <c r="W1905" s="147"/>
      <c r="AB1905" s="156"/>
    </row>
    <row r="1906" spans="16:28" ht="15" customHeight="1" x14ac:dyDescent="0.45">
      <c r="P1906" s="134"/>
      <c r="R1906" s="146"/>
      <c r="T1906" s="146"/>
      <c r="U1906" s="146"/>
      <c r="W1906" s="147"/>
      <c r="AB1906" s="156"/>
    </row>
    <row r="1907" spans="16:28" ht="15" customHeight="1" x14ac:dyDescent="0.45">
      <c r="P1907" s="134"/>
      <c r="R1907" s="146"/>
      <c r="T1907" s="146"/>
      <c r="U1907" s="146"/>
      <c r="W1907" s="147"/>
      <c r="AB1907" s="156"/>
    </row>
    <row r="1908" spans="16:28" ht="15" customHeight="1" x14ac:dyDescent="0.45">
      <c r="P1908" s="134"/>
      <c r="R1908" s="146"/>
      <c r="T1908" s="146"/>
      <c r="U1908" s="146"/>
      <c r="W1908" s="147"/>
      <c r="AB1908" s="156"/>
    </row>
    <row r="1909" spans="16:28" ht="15" customHeight="1" x14ac:dyDescent="0.45">
      <c r="P1909" s="134"/>
      <c r="R1909" s="146"/>
      <c r="T1909" s="146"/>
      <c r="U1909" s="146"/>
      <c r="W1909" s="147"/>
      <c r="AB1909" s="156"/>
    </row>
    <row r="1910" spans="16:28" ht="15" customHeight="1" x14ac:dyDescent="0.45">
      <c r="P1910" s="134"/>
      <c r="R1910" s="146"/>
      <c r="T1910" s="146"/>
      <c r="U1910" s="146"/>
      <c r="W1910" s="147"/>
      <c r="AB1910" s="156"/>
    </row>
    <row r="1911" spans="16:28" ht="15" customHeight="1" x14ac:dyDescent="0.45">
      <c r="P1911" s="134"/>
      <c r="R1911" s="146"/>
      <c r="T1911" s="146"/>
      <c r="U1911" s="146"/>
      <c r="W1911" s="147"/>
      <c r="AB1911" s="156"/>
    </row>
    <row r="1912" spans="16:28" ht="15" customHeight="1" x14ac:dyDescent="0.45">
      <c r="P1912" s="134"/>
      <c r="R1912" s="146"/>
      <c r="T1912" s="146"/>
      <c r="U1912" s="146"/>
      <c r="W1912" s="147"/>
      <c r="AB1912" s="156"/>
    </row>
    <row r="1913" spans="16:28" ht="15" customHeight="1" x14ac:dyDescent="0.45">
      <c r="P1913" s="134"/>
      <c r="R1913" s="146"/>
      <c r="T1913" s="146"/>
      <c r="U1913" s="146"/>
      <c r="W1913" s="147"/>
      <c r="AB1913" s="156"/>
    </row>
    <row r="1914" spans="16:28" ht="15" customHeight="1" x14ac:dyDescent="0.45">
      <c r="P1914" s="134"/>
      <c r="R1914" s="146"/>
      <c r="T1914" s="146"/>
      <c r="U1914" s="146"/>
      <c r="W1914" s="147"/>
      <c r="AB1914" s="156"/>
    </row>
    <row r="1915" spans="16:28" ht="15" customHeight="1" x14ac:dyDescent="0.45">
      <c r="P1915" s="134"/>
      <c r="R1915" s="146"/>
      <c r="T1915" s="146"/>
      <c r="U1915" s="146"/>
      <c r="W1915" s="147"/>
      <c r="AB1915" s="156"/>
    </row>
    <row r="1916" spans="16:28" ht="15" customHeight="1" x14ac:dyDescent="0.45">
      <c r="P1916" s="134"/>
      <c r="R1916" s="146"/>
      <c r="T1916" s="146"/>
      <c r="U1916" s="146"/>
      <c r="W1916" s="147"/>
      <c r="AB1916" s="156"/>
    </row>
    <row r="1917" spans="16:28" ht="15" customHeight="1" x14ac:dyDescent="0.45">
      <c r="P1917" s="134"/>
      <c r="R1917" s="146"/>
      <c r="T1917" s="146"/>
      <c r="U1917" s="146"/>
      <c r="W1917" s="147"/>
      <c r="AB1917" s="156"/>
    </row>
    <row r="1918" spans="16:28" ht="15" customHeight="1" x14ac:dyDescent="0.45">
      <c r="P1918" s="134"/>
      <c r="R1918" s="146"/>
      <c r="T1918" s="146"/>
      <c r="U1918" s="146"/>
      <c r="W1918" s="147"/>
      <c r="AB1918" s="156"/>
    </row>
    <row r="1919" spans="16:28" ht="15" customHeight="1" x14ac:dyDescent="0.45">
      <c r="P1919" s="134"/>
      <c r="R1919" s="146"/>
      <c r="T1919" s="146"/>
      <c r="U1919" s="146"/>
      <c r="W1919" s="147"/>
      <c r="AB1919" s="156"/>
    </row>
    <row r="1920" spans="16:28" ht="15" customHeight="1" x14ac:dyDescent="0.45">
      <c r="P1920" s="134"/>
      <c r="R1920" s="146"/>
      <c r="T1920" s="146"/>
      <c r="U1920" s="146"/>
      <c r="W1920" s="147"/>
      <c r="AB1920" s="156"/>
    </row>
    <row r="1921" spans="16:28" ht="15" customHeight="1" x14ac:dyDescent="0.45">
      <c r="P1921" s="134"/>
      <c r="R1921" s="146"/>
      <c r="T1921" s="146"/>
      <c r="U1921" s="146"/>
      <c r="W1921" s="147"/>
      <c r="AB1921" s="156"/>
    </row>
    <row r="1922" spans="16:28" ht="15" customHeight="1" x14ac:dyDescent="0.45">
      <c r="P1922" s="134"/>
      <c r="R1922" s="146"/>
      <c r="T1922" s="146"/>
      <c r="U1922" s="146"/>
      <c r="W1922" s="147"/>
      <c r="AB1922" s="156"/>
    </row>
    <row r="1923" spans="16:28" ht="15" customHeight="1" x14ac:dyDescent="0.45">
      <c r="P1923" s="134"/>
      <c r="R1923" s="146"/>
      <c r="T1923" s="146"/>
      <c r="U1923" s="146"/>
      <c r="W1923" s="147"/>
      <c r="AB1923" s="156"/>
    </row>
    <row r="1924" spans="16:28" ht="15" customHeight="1" x14ac:dyDescent="0.45">
      <c r="P1924" s="134"/>
      <c r="R1924" s="146"/>
      <c r="T1924" s="146"/>
      <c r="U1924" s="146"/>
      <c r="W1924" s="147"/>
      <c r="AB1924" s="156"/>
    </row>
    <row r="1925" spans="16:28" ht="15" customHeight="1" x14ac:dyDescent="0.45">
      <c r="P1925" s="134"/>
      <c r="R1925" s="146"/>
      <c r="T1925" s="146"/>
      <c r="U1925" s="146"/>
      <c r="W1925" s="147"/>
      <c r="AB1925" s="156"/>
    </row>
    <row r="1926" spans="16:28" ht="15" customHeight="1" x14ac:dyDescent="0.45">
      <c r="P1926" s="134"/>
      <c r="R1926" s="146"/>
      <c r="T1926" s="146"/>
      <c r="U1926" s="146"/>
      <c r="W1926" s="147"/>
      <c r="AB1926" s="156"/>
    </row>
    <row r="1927" spans="16:28" ht="15" customHeight="1" x14ac:dyDescent="0.45">
      <c r="P1927" s="134"/>
      <c r="R1927" s="146"/>
      <c r="T1927" s="146"/>
      <c r="U1927" s="146"/>
      <c r="W1927" s="147"/>
      <c r="AB1927" s="156"/>
    </row>
    <row r="1928" spans="16:28" ht="15" customHeight="1" x14ac:dyDescent="0.45">
      <c r="P1928" s="134"/>
      <c r="R1928" s="146"/>
      <c r="T1928" s="146"/>
      <c r="U1928" s="146"/>
      <c r="W1928" s="147"/>
      <c r="AB1928" s="156"/>
    </row>
    <row r="1929" spans="16:28" ht="15" customHeight="1" x14ac:dyDescent="0.45">
      <c r="P1929" s="134"/>
      <c r="R1929" s="146"/>
      <c r="T1929" s="146"/>
      <c r="U1929" s="146"/>
      <c r="W1929" s="147"/>
      <c r="AB1929" s="156"/>
    </row>
    <row r="1930" spans="16:28" ht="15" customHeight="1" x14ac:dyDescent="0.45">
      <c r="P1930" s="134"/>
      <c r="R1930" s="146"/>
      <c r="T1930" s="146"/>
      <c r="U1930" s="146"/>
      <c r="W1930" s="147"/>
      <c r="AB1930" s="156"/>
    </row>
    <row r="1931" spans="16:28" ht="15" customHeight="1" x14ac:dyDescent="0.45">
      <c r="P1931" s="134"/>
      <c r="R1931" s="146"/>
      <c r="T1931" s="146"/>
      <c r="U1931" s="146"/>
      <c r="W1931" s="147"/>
      <c r="AB1931" s="156"/>
    </row>
    <row r="1932" spans="16:28" ht="15" customHeight="1" x14ac:dyDescent="0.45">
      <c r="P1932" s="134"/>
      <c r="R1932" s="146"/>
      <c r="T1932" s="146"/>
      <c r="U1932" s="146"/>
      <c r="W1932" s="147"/>
      <c r="AB1932" s="156"/>
    </row>
    <row r="1933" spans="16:28" ht="15" customHeight="1" x14ac:dyDescent="0.45">
      <c r="P1933" s="134"/>
      <c r="R1933" s="146"/>
      <c r="T1933" s="146"/>
      <c r="U1933" s="146"/>
      <c r="W1933" s="147"/>
      <c r="AB1933" s="156"/>
    </row>
    <row r="1934" spans="16:28" ht="15" customHeight="1" x14ac:dyDescent="0.45">
      <c r="P1934" s="134"/>
      <c r="R1934" s="146"/>
      <c r="T1934" s="146"/>
      <c r="U1934" s="146"/>
      <c r="W1934" s="147"/>
      <c r="AB1934" s="156"/>
    </row>
    <row r="1935" spans="16:28" ht="15" customHeight="1" x14ac:dyDescent="0.45">
      <c r="P1935" s="134"/>
      <c r="R1935" s="146"/>
      <c r="T1935" s="146"/>
      <c r="U1935" s="146"/>
      <c r="W1935" s="147"/>
      <c r="AB1935" s="156"/>
    </row>
    <row r="1936" spans="16:28" ht="15" customHeight="1" x14ac:dyDescent="0.45">
      <c r="P1936" s="134"/>
      <c r="R1936" s="146"/>
      <c r="T1936" s="146"/>
      <c r="U1936" s="146"/>
      <c r="W1936" s="147"/>
      <c r="AB1936" s="156"/>
    </row>
    <row r="1937" spans="16:28" ht="15" customHeight="1" x14ac:dyDescent="0.45">
      <c r="P1937" s="134"/>
      <c r="R1937" s="146"/>
      <c r="T1937" s="146"/>
      <c r="U1937" s="146"/>
      <c r="W1937" s="147"/>
      <c r="AB1937" s="156"/>
    </row>
    <row r="1938" spans="16:28" ht="15" customHeight="1" x14ac:dyDescent="0.45">
      <c r="P1938" s="134"/>
      <c r="R1938" s="146"/>
      <c r="T1938" s="146"/>
      <c r="U1938" s="146"/>
      <c r="W1938" s="147"/>
      <c r="AB1938" s="156"/>
    </row>
    <row r="1939" spans="16:28" ht="15" customHeight="1" x14ac:dyDescent="0.45">
      <c r="P1939" s="134"/>
      <c r="R1939" s="146"/>
      <c r="T1939" s="146"/>
      <c r="U1939" s="146"/>
      <c r="W1939" s="147"/>
      <c r="AB1939" s="156"/>
    </row>
    <row r="1940" spans="16:28" ht="15" customHeight="1" x14ac:dyDescent="0.45">
      <c r="P1940" s="134"/>
      <c r="R1940" s="146"/>
      <c r="T1940" s="146"/>
      <c r="U1940" s="146"/>
      <c r="W1940" s="147"/>
      <c r="AB1940" s="156"/>
    </row>
    <row r="1941" spans="16:28" ht="15" customHeight="1" x14ac:dyDescent="0.45">
      <c r="P1941" s="134"/>
      <c r="R1941" s="146"/>
      <c r="T1941" s="146"/>
      <c r="U1941" s="146"/>
      <c r="W1941" s="147"/>
      <c r="AB1941" s="156"/>
    </row>
    <row r="1942" spans="16:28" ht="15" customHeight="1" x14ac:dyDescent="0.45">
      <c r="P1942" s="134"/>
      <c r="R1942" s="146"/>
      <c r="T1942" s="146"/>
      <c r="U1942" s="146"/>
      <c r="W1942" s="147"/>
      <c r="AB1942" s="156"/>
    </row>
    <row r="1943" spans="16:28" ht="15" customHeight="1" x14ac:dyDescent="0.45">
      <c r="P1943" s="134"/>
      <c r="R1943" s="146"/>
      <c r="T1943" s="146"/>
      <c r="U1943" s="146"/>
      <c r="W1943" s="147"/>
      <c r="AB1943" s="156"/>
    </row>
    <row r="1944" spans="16:28" ht="15" customHeight="1" x14ac:dyDescent="0.45">
      <c r="P1944" s="134"/>
      <c r="R1944" s="146"/>
      <c r="T1944" s="146"/>
      <c r="U1944" s="146"/>
      <c r="W1944" s="147"/>
      <c r="AB1944" s="156"/>
    </row>
    <row r="1945" spans="16:28" ht="15" customHeight="1" x14ac:dyDescent="0.45">
      <c r="P1945" s="134"/>
      <c r="R1945" s="146"/>
      <c r="T1945" s="146"/>
      <c r="U1945" s="146"/>
      <c r="W1945" s="147"/>
      <c r="AB1945" s="156"/>
    </row>
    <row r="1946" spans="16:28" ht="15" customHeight="1" x14ac:dyDescent="0.45">
      <c r="P1946" s="134"/>
      <c r="R1946" s="146"/>
      <c r="T1946" s="146"/>
      <c r="U1946" s="146"/>
      <c r="W1946" s="147"/>
      <c r="AB1946" s="156"/>
    </row>
    <row r="1947" spans="16:28" ht="15" customHeight="1" x14ac:dyDescent="0.45">
      <c r="P1947" s="134"/>
      <c r="R1947" s="146"/>
      <c r="T1947" s="146"/>
      <c r="U1947" s="146"/>
      <c r="W1947" s="147"/>
      <c r="AB1947" s="156"/>
    </row>
    <row r="1948" spans="16:28" ht="15" customHeight="1" x14ac:dyDescent="0.45">
      <c r="P1948" s="134"/>
      <c r="R1948" s="146"/>
      <c r="T1948" s="146"/>
      <c r="U1948" s="146"/>
      <c r="W1948" s="147"/>
      <c r="AB1948" s="156"/>
    </row>
    <row r="1949" spans="16:28" ht="15" customHeight="1" x14ac:dyDescent="0.45">
      <c r="P1949" s="134"/>
      <c r="R1949" s="146"/>
      <c r="T1949" s="146"/>
      <c r="U1949" s="146"/>
      <c r="W1949" s="147"/>
      <c r="AB1949" s="156"/>
    </row>
    <row r="1950" spans="16:28" ht="15" customHeight="1" x14ac:dyDescent="0.45">
      <c r="P1950" s="134"/>
      <c r="R1950" s="146"/>
      <c r="T1950" s="146"/>
      <c r="U1950" s="146"/>
      <c r="W1950" s="147"/>
      <c r="AB1950" s="156"/>
    </row>
    <row r="1951" spans="16:28" ht="15" customHeight="1" x14ac:dyDescent="0.45">
      <c r="P1951" s="134"/>
      <c r="R1951" s="146"/>
      <c r="T1951" s="146"/>
      <c r="U1951" s="146"/>
      <c r="W1951" s="147"/>
      <c r="AB1951" s="156"/>
    </row>
    <row r="1952" spans="16:28" ht="15" customHeight="1" x14ac:dyDescent="0.45">
      <c r="P1952" s="134"/>
      <c r="R1952" s="146"/>
      <c r="T1952" s="146"/>
      <c r="U1952" s="146"/>
      <c r="W1952" s="147"/>
      <c r="AB1952" s="156"/>
    </row>
    <row r="1953" spans="16:28" ht="15" customHeight="1" x14ac:dyDescent="0.45">
      <c r="P1953" s="134"/>
      <c r="R1953" s="146"/>
      <c r="T1953" s="146"/>
      <c r="U1953" s="146"/>
      <c r="W1953" s="147"/>
      <c r="AB1953" s="156"/>
    </row>
    <row r="1954" spans="16:28" ht="15" customHeight="1" x14ac:dyDescent="0.45">
      <c r="P1954" s="134"/>
      <c r="R1954" s="146"/>
      <c r="T1954" s="146"/>
      <c r="U1954" s="146"/>
      <c r="W1954" s="147"/>
      <c r="AB1954" s="156"/>
    </row>
    <row r="1955" spans="16:28" ht="15" customHeight="1" x14ac:dyDescent="0.45">
      <c r="P1955" s="134"/>
      <c r="R1955" s="146"/>
      <c r="T1955" s="146"/>
      <c r="U1955" s="146"/>
      <c r="W1955" s="147"/>
      <c r="AB1955" s="156"/>
    </row>
    <row r="1956" spans="16:28" ht="15" customHeight="1" x14ac:dyDescent="0.45">
      <c r="P1956" s="134"/>
      <c r="R1956" s="146"/>
      <c r="T1956" s="146"/>
      <c r="U1956" s="146"/>
      <c r="W1956" s="147"/>
      <c r="AB1956" s="156"/>
    </row>
    <row r="1957" spans="16:28" ht="15" customHeight="1" x14ac:dyDescent="0.45">
      <c r="P1957" s="134"/>
      <c r="R1957" s="146"/>
      <c r="T1957" s="146"/>
      <c r="U1957" s="146"/>
      <c r="W1957" s="147"/>
      <c r="AB1957" s="156"/>
    </row>
    <row r="1958" spans="16:28" ht="15" customHeight="1" x14ac:dyDescent="0.45">
      <c r="P1958" s="134"/>
      <c r="R1958" s="146"/>
      <c r="T1958" s="146"/>
      <c r="U1958" s="146"/>
      <c r="W1958" s="147"/>
      <c r="AB1958" s="156"/>
    </row>
    <row r="1959" spans="16:28" ht="15" customHeight="1" x14ac:dyDescent="0.45">
      <c r="P1959" s="134"/>
      <c r="R1959" s="146"/>
      <c r="T1959" s="146"/>
      <c r="U1959" s="146"/>
      <c r="W1959" s="147"/>
      <c r="AB1959" s="156"/>
    </row>
    <row r="1960" spans="16:28" ht="15" customHeight="1" x14ac:dyDescent="0.45">
      <c r="P1960" s="134"/>
      <c r="R1960" s="146"/>
      <c r="T1960" s="146"/>
      <c r="U1960" s="146"/>
      <c r="W1960" s="147"/>
      <c r="AB1960" s="156"/>
    </row>
    <row r="1961" spans="16:28" ht="15" customHeight="1" x14ac:dyDescent="0.45">
      <c r="P1961" s="134"/>
      <c r="R1961" s="146"/>
      <c r="T1961" s="146"/>
      <c r="U1961" s="146"/>
      <c r="W1961" s="147"/>
      <c r="AB1961" s="156"/>
    </row>
    <row r="1962" spans="16:28" ht="15" customHeight="1" x14ac:dyDescent="0.45">
      <c r="P1962" s="134"/>
      <c r="R1962" s="146"/>
      <c r="T1962" s="146"/>
      <c r="U1962" s="146"/>
      <c r="W1962" s="147"/>
      <c r="AB1962" s="156"/>
    </row>
    <row r="1963" spans="16:28" ht="15" customHeight="1" x14ac:dyDescent="0.45">
      <c r="P1963" s="134"/>
      <c r="R1963" s="146"/>
      <c r="T1963" s="146"/>
      <c r="U1963" s="146"/>
      <c r="W1963" s="147"/>
      <c r="AB1963" s="156"/>
    </row>
    <row r="1964" spans="16:28" ht="15" customHeight="1" x14ac:dyDescent="0.45">
      <c r="P1964" s="134"/>
      <c r="R1964" s="146"/>
      <c r="T1964" s="146"/>
      <c r="U1964" s="146"/>
      <c r="W1964" s="147"/>
      <c r="AB1964" s="156"/>
    </row>
    <row r="1965" spans="16:28" ht="15" customHeight="1" x14ac:dyDescent="0.45">
      <c r="P1965" s="134"/>
      <c r="R1965" s="146"/>
      <c r="T1965" s="146"/>
      <c r="U1965" s="146"/>
      <c r="W1965" s="147"/>
      <c r="AB1965" s="156"/>
    </row>
    <row r="1966" spans="16:28" ht="15" customHeight="1" x14ac:dyDescent="0.45">
      <c r="P1966" s="134"/>
      <c r="R1966" s="146"/>
      <c r="T1966" s="146"/>
      <c r="U1966" s="146"/>
      <c r="W1966" s="147"/>
      <c r="AB1966" s="156"/>
    </row>
    <row r="1967" spans="16:28" ht="15" customHeight="1" x14ac:dyDescent="0.45">
      <c r="P1967" s="134"/>
      <c r="R1967" s="146"/>
      <c r="T1967" s="146"/>
      <c r="U1967" s="146"/>
      <c r="W1967" s="147"/>
      <c r="AB1967" s="156"/>
    </row>
    <row r="1968" spans="16:28" ht="15" customHeight="1" x14ac:dyDescent="0.45">
      <c r="P1968" s="134"/>
      <c r="R1968" s="146"/>
      <c r="T1968" s="146"/>
      <c r="U1968" s="146"/>
      <c r="W1968" s="147"/>
      <c r="AB1968" s="156"/>
    </row>
    <row r="1969" spans="16:28" ht="15" customHeight="1" x14ac:dyDescent="0.45">
      <c r="P1969" s="134"/>
      <c r="R1969" s="146"/>
      <c r="T1969" s="146"/>
      <c r="U1969" s="146"/>
      <c r="W1969" s="147"/>
      <c r="AB1969" s="156"/>
    </row>
    <row r="1970" spans="16:28" ht="15" customHeight="1" x14ac:dyDescent="0.45">
      <c r="P1970" s="134"/>
      <c r="R1970" s="146"/>
      <c r="T1970" s="146"/>
      <c r="U1970" s="146"/>
      <c r="W1970" s="147"/>
      <c r="AB1970" s="156"/>
    </row>
    <row r="1971" spans="16:28" ht="15" customHeight="1" x14ac:dyDescent="0.45">
      <c r="P1971" s="134"/>
      <c r="R1971" s="146"/>
      <c r="T1971" s="146"/>
      <c r="U1971" s="146"/>
      <c r="W1971" s="147"/>
      <c r="AB1971" s="156"/>
    </row>
    <row r="1972" spans="16:28" ht="15" customHeight="1" x14ac:dyDescent="0.45">
      <c r="P1972" s="134"/>
      <c r="R1972" s="146"/>
      <c r="T1972" s="146"/>
      <c r="U1972" s="146"/>
      <c r="W1972" s="147"/>
      <c r="AB1972" s="156"/>
    </row>
    <row r="1973" spans="16:28" ht="15" customHeight="1" x14ac:dyDescent="0.45">
      <c r="P1973" s="134"/>
      <c r="R1973" s="146"/>
      <c r="T1973" s="146"/>
      <c r="U1973" s="146"/>
      <c r="W1973" s="147"/>
      <c r="AB1973" s="156"/>
    </row>
    <row r="1974" spans="16:28" ht="15" customHeight="1" x14ac:dyDescent="0.45">
      <c r="P1974" s="134"/>
      <c r="R1974" s="146"/>
      <c r="T1974" s="146"/>
      <c r="U1974" s="146"/>
      <c r="W1974" s="147"/>
      <c r="AB1974" s="156"/>
    </row>
    <row r="1975" spans="16:28" ht="15" customHeight="1" x14ac:dyDescent="0.45">
      <c r="P1975" s="134"/>
      <c r="R1975" s="146"/>
      <c r="T1975" s="146"/>
      <c r="U1975" s="146"/>
      <c r="W1975" s="147"/>
      <c r="AB1975" s="156"/>
    </row>
    <row r="1976" spans="16:28" ht="15" customHeight="1" x14ac:dyDescent="0.45">
      <c r="P1976" s="134"/>
      <c r="R1976" s="146"/>
      <c r="T1976" s="146"/>
      <c r="U1976" s="146"/>
      <c r="W1976" s="147"/>
      <c r="AB1976" s="156"/>
    </row>
    <row r="1977" spans="16:28" ht="15" customHeight="1" x14ac:dyDescent="0.45">
      <c r="P1977" s="134"/>
      <c r="R1977" s="146"/>
      <c r="T1977" s="146"/>
      <c r="U1977" s="146"/>
      <c r="W1977" s="147"/>
      <c r="AB1977" s="156"/>
    </row>
    <row r="1978" spans="16:28" ht="15" customHeight="1" x14ac:dyDescent="0.45">
      <c r="P1978" s="134"/>
      <c r="R1978" s="146"/>
      <c r="T1978" s="146"/>
      <c r="U1978" s="146"/>
      <c r="W1978" s="147"/>
      <c r="AB1978" s="156"/>
    </row>
    <row r="1979" spans="16:28" ht="15" customHeight="1" x14ac:dyDescent="0.45">
      <c r="P1979" s="134"/>
      <c r="R1979" s="146"/>
      <c r="T1979" s="146"/>
      <c r="U1979" s="146"/>
      <c r="W1979" s="147"/>
      <c r="AB1979" s="156"/>
    </row>
    <row r="1980" spans="16:28" ht="15" customHeight="1" x14ac:dyDescent="0.45">
      <c r="P1980" s="134"/>
      <c r="R1980" s="146"/>
      <c r="T1980" s="146"/>
      <c r="U1980" s="146"/>
      <c r="W1980" s="147"/>
      <c r="AB1980" s="156"/>
    </row>
    <row r="1981" spans="16:28" ht="15" customHeight="1" x14ac:dyDescent="0.45">
      <c r="P1981" s="134"/>
      <c r="R1981" s="146"/>
      <c r="T1981" s="146"/>
      <c r="U1981" s="146"/>
      <c r="W1981" s="147"/>
      <c r="AB1981" s="156"/>
    </row>
    <row r="1982" spans="16:28" ht="15" customHeight="1" x14ac:dyDescent="0.45">
      <c r="P1982" s="134"/>
      <c r="R1982" s="146"/>
      <c r="T1982" s="146"/>
      <c r="U1982" s="146"/>
      <c r="W1982" s="147"/>
      <c r="AB1982" s="156"/>
    </row>
    <row r="1983" spans="16:28" ht="15" customHeight="1" x14ac:dyDescent="0.45">
      <c r="P1983" s="134"/>
      <c r="R1983" s="146"/>
      <c r="T1983" s="146"/>
      <c r="U1983" s="146"/>
      <c r="W1983" s="147"/>
      <c r="AB1983" s="156"/>
    </row>
    <row r="1984" spans="16:28" ht="15" customHeight="1" x14ac:dyDescent="0.45">
      <c r="P1984" s="134"/>
      <c r="R1984" s="146"/>
      <c r="T1984" s="146"/>
      <c r="U1984" s="146"/>
      <c r="W1984" s="147"/>
      <c r="AB1984" s="156"/>
    </row>
    <row r="1985" spans="16:28" ht="15" customHeight="1" x14ac:dyDescent="0.45">
      <c r="P1985" s="134"/>
      <c r="R1985" s="146"/>
      <c r="T1985" s="146"/>
      <c r="U1985" s="146"/>
      <c r="W1985" s="147"/>
      <c r="AB1985" s="156"/>
    </row>
    <row r="1986" spans="16:28" ht="15" customHeight="1" x14ac:dyDescent="0.45">
      <c r="P1986" s="134"/>
      <c r="R1986" s="146"/>
      <c r="T1986" s="146"/>
      <c r="U1986" s="146"/>
      <c r="W1986" s="147"/>
      <c r="AB1986" s="156"/>
    </row>
    <row r="1987" spans="16:28" ht="15" customHeight="1" x14ac:dyDescent="0.45">
      <c r="P1987" s="134"/>
      <c r="R1987" s="146"/>
      <c r="T1987" s="146"/>
      <c r="U1987" s="146"/>
      <c r="W1987" s="147"/>
      <c r="AB1987" s="156"/>
    </row>
    <row r="1988" spans="16:28" ht="15" customHeight="1" x14ac:dyDescent="0.45">
      <c r="P1988" s="134"/>
      <c r="R1988" s="146"/>
      <c r="T1988" s="146"/>
      <c r="U1988" s="146"/>
      <c r="W1988" s="147"/>
      <c r="AB1988" s="156"/>
    </row>
    <row r="1989" spans="16:28" ht="15" customHeight="1" x14ac:dyDescent="0.45">
      <c r="P1989" s="134"/>
      <c r="R1989" s="146"/>
      <c r="T1989" s="146"/>
      <c r="U1989" s="146"/>
      <c r="W1989" s="147"/>
      <c r="AB1989" s="156"/>
    </row>
    <row r="1990" spans="16:28" ht="15" customHeight="1" x14ac:dyDescent="0.45">
      <c r="P1990" s="134"/>
      <c r="R1990" s="146"/>
      <c r="T1990" s="146"/>
      <c r="U1990" s="146"/>
      <c r="W1990" s="147"/>
      <c r="AB1990" s="156"/>
    </row>
    <row r="1991" spans="16:28" ht="15" customHeight="1" x14ac:dyDescent="0.45">
      <c r="P1991" s="134"/>
      <c r="R1991" s="146"/>
      <c r="T1991" s="146"/>
      <c r="U1991" s="146"/>
      <c r="W1991" s="147"/>
      <c r="AB1991" s="156"/>
    </row>
    <row r="1992" spans="16:28" ht="15" customHeight="1" x14ac:dyDescent="0.45">
      <c r="P1992" s="134"/>
      <c r="R1992" s="146"/>
      <c r="T1992" s="146"/>
      <c r="U1992" s="146"/>
      <c r="W1992" s="147"/>
      <c r="AB1992" s="156"/>
    </row>
    <row r="1993" spans="16:28" ht="15" customHeight="1" x14ac:dyDescent="0.45">
      <c r="P1993" s="134"/>
      <c r="R1993" s="146"/>
      <c r="T1993" s="146"/>
      <c r="U1993" s="146"/>
      <c r="W1993" s="147"/>
      <c r="AB1993" s="156"/>
    </row>
    <row r="1994" spans="16:28" ht="15" customHeight="1" x14ac:dyDescent="0.45">
      <c r="P1994" s="134"/>
      <c r="R1994" s="146"/>
      <c r="T1994" s="146"/>
      <c r="U1994" s="146"/>
      <c r="W1994" s="147"/>
      <c r="AB1994" s="156"/>
    </row>
    <row r="1995" spans="16:28" ht="15" customHeight="1" x14ac:dyDescent="0.45">
      <c r="P1995" s="134"/>
      <c r="R1995" s="146"/>
      <c r="T1995" s="146"/>
      <c r="U1995" s="146"/>
      <c r="W1995" s="147"/>
      <c r="AB1995" s="156"/>
    </row>
    <row r="1996" spans="16:28" ht="15" customHeight="1" x14ac:dyDescent="0.45">
      <c r="P1996" s="134"/>
      <c r="R1996" s="146"/>
      <c r="T1996" s="146"/>
      <c r="U1996" s="146"/>
      <c r="W1996" s="147"/>
      <c r="AB1996" s="156"/>
    </row>
    <row r="1997" spans="16:28" ht="15" customHeight="1" x14ac:dyDescent="0.45">
      <c r="P1997" s="134"/>
      <c r="R1997" s="146"/>
      <c r="T1997" s="146"/>
      <c r="U1997" s="146"/>
      <c r="W1997" s="147"/>
      <c r="AB1997" s="156"/>
    </row>
    <row r="1998" spans="16:28" ht="15" customHeight="1" x14ac:dyDescent="0.45">
      <c r="P1998" s="134"/>
      <c r="R1998" s="146"/>
      <c r="T1998" s="146"/>
      <c r="U1998" s="146"/>
      <c r="W1998" s="147"/>
      <c r="AB1998" s="156"/>
    </row>
    <row r="1999" spans="16:28" ht="15" customHeight="1" x14ac:dyDescent="0.45">
      <c r="P1999" s="134"/>
      <c r="R1999" s="146"/>
      <c r="T1999" s="146"/>
      <c r="U1999" s="146"/>
      <c r="W1999" s="147"/>
      <c r="AB1999" s="156"/>
    </row>
    <row r="2000" spans="16:28" ht="15" customHeight="1" x14ac:dyDescent="0.45">
      <c r="P2000" s="134"/>
      <c r="R2000" s="146"/>
      <c r="T2000" s="146"/>
      <c r="U2000" s="146"/>
      <c r="W2000" s="147"/>
      <c r="AB2000" s="156"/>
    </row>
    <row r="2001" spans="16:28" ht="15" customHeight="1" x14ac:dyDescent="0.45">
      <c r="P2001" s="134"/>
      <c r="R2001" s="146"/>
      <c r="T2001" s="146"/>
      <c r="U2001" s="146"/>
      <c r="W2001" s="147"/>
      <c r="AB2001" s="156"/>
    </row>
    <row r="2002" spans="16:28" ht="15" customHeight="1" x14ac:dyDescent="0.45">
      <c r="P2002" s="134"/>
      <c r="R2002" s="146"/>
      <c r="T2002" s="146"/>
      <c r="U2002" s="146"/>
      <c r="W2002" s="147"/>
      <c r="AB2002" s="156"/>
    </row>
    <row r="2003" spans="16:28" ht="15" customHeight="1" x14ac:dyDescent="0.45">
      <c r="P2003" s="134"/>
      <c r="R2003" s="146"/>
      <c r="T2003" s="146"/>
      <c r="U2003" s="146"/>
      <c r="W2003" s="147"/>
      <c r="AB2003" s="156"/>
    </row>
    <row r="2004" spans="16:28" ht="15" customHeight="1" x14ac:dyDescent="0.45">
      <c r="P2004" s="134"/>
      <c r="R2004" s="146"/>
      <c r="T2004" s="146"/>
      <c r="U2004" s="146"/>
      <c r="W2004" s="147"/>
      <c r="AB2004" s="156"/>
    </row>
    <row r="2005" spans="16:28" ht="15" customHeight="1" x14ac:dyDescent="0.45">
      <c r="P2005" s="134"/>
      <c r="R2005" s="146"/>
      <c r="T2005" s="146"/>
      <c r="U2005" s="146"/>
      <c r="W2005" s="147"/>
      <c r="AB2005" s="156"/>
    </row>
    <row r="2006" spans="16:28" ht="15" customHeight="1" x14ac:dyDescent="0.45">
      <c r="P2006" s="134"/>
      <c r="R2006" s="146"/>
      <c r="T2006" s="146"/>
      <c r="U2006" s="146"/>
      <c r="W2006" s="147"/>
      <c r="AB2006" s="156"/>
    </row>
    <row r="2007" spans="16:28" ht="15" customHeight="1" x14ac:dyDescent="0.45">
      <c r="P2007" s="134"/>
      <c r="R2007" s="146"/>
      <c r="T2007" s="146"/>
      <c r="U2007" s="146"/>
      <c r="W2007" s="147"/>
      <c r="AB2007" s="156"/>
    </row>
    <row r="2008" spans="16:28" ht="15" customHeight="1" x14ac:dyDescent="0.45">
      <c r="P2008" s="134"/>
      <c r="R2008" s="146"/>
      <c r="T2008" s="146"/>
      <c r="U2008" s="146"/>
      <c r="W2008" s="147"/>
      <c r="AB2008" s="156"/>
    </row>
    <row r="2009" spans="16:28" ht="15" customHeight="1" x14ac:dyDescent="0.45">
      <c r="P2009" s="134"/>
      <c r="R2009" s="146"/>
      <c r="T2009" s="146"/>
      <c r="U2009" s="146"/>
      <c r="W2009" s="147"/>
      <c r="AB2009" s="156"/>
    </row>
    <row r="2010" spans="16:28" ht="15" customHeight="1" x14ac:dyDescent="0.45">
      <c r="P2010" s="134"/>
      <c r="R2010" s="146"/>
      <c r="T2010" s="146"/>
      <c r="U2010" s="146"/>
      <c r="W2010" s="147"/>
      <c r="AB2010" s="156"/>
    </row>
    <row r="2011" spans="16:28" ht="15" customHeight="1" x14ac:dyDescent="0.45">
      <c r="P2011" s="134"/>
      <c r="R2011" s="146"/>
      <c r="T2011" s="146"/>
      <c r="U2011" s="146"/>
      <c r="W2011" s="147"/>
      <c r="AB2011" s="156"/>
    </row>
    <row r="2012" spans="16:28" ht="15" customHeight="1" x14ac:dyDescent="0.45">
      <c r="P2012" s="134"/>
      <c r="R2012" s="146"/>
      <c r="T2012" s="146"/>
      <c r="U2012" s="146"/>
      <c r="W2012" s="147"/>
      <c r="AB2012" s="156"/>
    </row>
    <row r="2013" spans="16:28" ht="15" customHeight="1" x14ac:dyDescent="0.45">
      <c r="P2013" s="134"/>
      <c r="R2013" s="146"/>
      <c r="T2013" s="146"/>
      <c r="U2013" s="146"/>
      <c r="W2013" s="147"/>
      <c r="AB2013" s="156"/>
    </row>
    <row r="2014" spans="16:28" ht="15" customHeight="1" x14ac:dyDescent="0.45">
      <c r="P2014" s="134"/>
      <c r="R2014" s="146"/>
      <c r="T2014" s="146"/>
      <c r="U2014" s="146"/>
      <c r="W2014" s="147"/>
      <c r="AB2014" s="156"/>
    </row>
    <row r="2015" spans="16:28" ht="15" customHeight="1" x14ac:dyDescent="0.45">
      <c r="P2015" s="134"/>
      <c r="R2015" s="146"/>
      <c r="T2015" s="146"/>
      <c r="U2015" s="146"/>
      <c r="W2015" s="147"/>
      <c r="AB2015" s="156"/>
    </row>
    <row r="2016" spans="16:28" ht="15" customHeight="1" x14ac:dyDescent="0.45">
      <c r="P2016" s="134"/>
      <c r="R2016" s="146"/>
      <c r="T2016" s="146"/>
      <c r="U2016" s="146"/>
      <c r="W2016" s="147"/>
      <c r="AB2016" s="156"/>
    </row>
    <row r="2017" spans="16:28" ht="15" customHeight="1" x14ac:dyDescent="0.45">
      <c r="P2017" s="134"/>
      <c r="R2017" s="146"/>
      <c r="T2017" s="146"/>
      <c r="U2017" s="146"/>
      <c r="W2017" s="147"/>
      <c r="AB2017" s="156"/>
    </row>
    <row r="2018" spans="16:28" ht="15" customHeight="1" x14ac:dyDescent="0.45">
      <c r="P2018" s="134"/>
      <c r="R2018" s="146"/>
      <c r="T2018" s="146"/>
      <c r="U2018" s="146"/>
      <c r="W2018" s="147"/>
      <c r="AB2018" s="156"/>
    </row>
    <row r="2019" spans="16:28" ht="15" customHeight="1" x14ac:dyDescent="0.45">
      <c r="P2019" s="134"/>
      <c r="R2019" s="146"/>
      <c r="T2019" s="146"/>
      <c r="U2019" s="146"/>
      <c r="W2019" s="147"/>
      <c r="AB2019" s="156"/>
    </row>
    <row r="2020" spans="16:28" ht="15" customHeight="1" x14ac:dyDescent="0.45">
      <c r="P2020" s="134"/>
      <c r="R2020" s="146"/>
      <c r="T2020" s="146"/>
      <c r="U2020" s="146"/>
      <c r="W2020" s="147"/>
      <c r="AB2020" s="156"/>
    </row>
    <row r="2021" spans="16:28" ht="15" customHeight="1" x14ac:dyDescent="0.45">
      <c r="P2021" s="134"/>
      <c r="R2021" s="146"/>
      <c r="T2021" s="146"/>
      <c r="U2021" s="146"/>
      <c r="W2021" s="147"/>
      <c r="AB2021" s="156"/>
    </row>
    <row r="2022" spans="16:28" ht="15" customHeight="1" x14ac:dyDescent="0.45">
      <c r="P2022" s="134"/>
      <c r="R2022" s="146"/>
      <c r="T2022" s="146"/>
      <c r="U2022" s="146"/>
      <c r="W2022" s="147"/>
      <c r="AB2022" s="156"/>
    </row>
    <row r="2023" spans="16:28" ht="15" customHeight="1" x14ac:dyDescent="0.45">
      <c r="P2023" s="134"/>
      <c r="R2023" s="146"/>
      <c r="T2023" s="146"/>
      <c r="U2023" s="146"/>
      <c r="W2023" s="147"/>
      <c r="AB2023" s="156"/>
    </row>
    <row r="2024" spans="16:28" ht="15" customHeight="1" x14ac:dyDescent="0.45">
      <c r="P2024" s="134"/>
      <c r="R2024" s="146"/>
      <c r="T2024" s="146"/>
      <c r="U2024" s="146"/>
      <c r="W2024" s="147"/>
      <c r="AB2024" s="156"/>
    </row>
    <row r="2025" spans="16:28" ht="15" customHeight="1" x14ac:dyDescent="0.45">
      <c r="P2025" s="134"/>
      <c r="R2025" s="146"/>
      <c r="T2025" s="146"/>
      <c r="U2025" s="146"/>
      <c r="W2025" s="147"/>
      <c r="AB2025" s="156"/>
    </row>
    <row r="2026" spans="16:28" ht="15" customHeight="1" x14ac:dyDescent="0.45">
      <c r="P2026" s="134"/>
      <c r="R2026" s="146"/>
      <c r="T2026" s="146"/>
      <c r="U2026" s="146"/>
      <c r="W2026" s="147"/>
      <c r="AB2026" s="156"/>
    </row>
    <row r="2027" spans="16:28" ht="15" customHeight="1" x14ac:dyDescent="0.45">
      <c r="P2027" s="134"/>
      <c r="R2027" s="146"/>
      <c r="T2027" s="146"/>
      <c r="U2027" s="146"/>
      <c r="W2027" s="147"/>
      <c r="AB2027" s="156"/>
    </row>
    <row r="2028" spans="16:28" ht="15" customHeight="1" x14ac:dyDescent="0.45">
      <c r="P2028" s="134"/>
      <c r="R2028" s="146"/>
      <c r="T2028" s="146"/>
      <c r="U2028" s="146"/>
      <c r="W2028" s="147"/>
      <c r="AB2028" s="156"/>
    </row>
    <row r="2029" spans="16:28" ht="15" customHeight="1" x14ac:dyDescent="0.45">
      <c r="P2029" s="134"/>
      <c r="R2029" s="146"/>
      <c r="T2029" s="146"/>
      <c r="U2029" s="146"/>
      <c r="W2029" s="147"/>
      <c r="AB2029" s="156"/>
    </row>
    <row r="2030" spans="16:28" ht="15" customHeight="1" x14ac:dyDescent="0.45">
      <c r="P2030" s="134"/>
      <c r="R2030" s="146"/>
      <c r="T2030" s="146"/>
      <c r="U2030" s="146"/>
      <c r="W2030" s="147"/>
      <c r="AB2030" s="156"/>
    </row>
    <row r="2031" spans="16:28" ht="15" customHeight="1" x14ac:dyDescent="0.45">
      <c r="P2031" s="134"/>
      <c r="R2031" s="146"/>
      <c r="T2031" s="146"/>
      <c r="U2031" s="146"/>
      <c r="W2031" s="147"/>
      <c r="AB2031" s="156"/>
    </row>
    <row r="2032" spans="16:28" ht="15" customHeight="1" x14ac:dyDescent="0.45">
      <c r="P2032" s="134"/>
      <c r="R2032" s="146"/>
      <c r="T2032" s="146"/>
      <c r="U2032" s="146"/>
      <c r="W2032" s="147"/>
      <c r="AB2032" s="156"/>
    </row>
    <row r="2033" spans="16:28" ht="15" customHeight="1" x14ac:dyDescent="0.45">
      <c r="P2033" s="134"/>
      <c r="R2033" s="146"/>
      <c r="T2033" s="146"/>
      <c r="U2033" s="146"/>
      <c r="W2033" s="147"/>
      <c r="AB2033" s="156"/>
    </row>
    <row r="2034" spans="16:28" ht="15" customHeight="1" x14ac:dyDescent="0.45">
      <c r="P2034" s="134"/>
      <c r="R2034" s="146"/>
      <c r="T2034" s="146"/>
      <c r="U2034" s="146"/>
      <c r="W2034" s="147"/>
      <c r="AB2034" s="156"/>
    </row>
    <row r="2035" spans="16:28" ht="15" customHeight="1" x14ac:dyDescent="0.45">
      <c r="P2035" s="134"/>
      <c r="R2035" s="146"/>
      <c r="T2035" s="146"/>
      <c r="U2035" s="146"/>
      <c r="W2035" s="147"/>
      <c r="AB2035" s="156"/>
    </row>
    <row r="2036" spans="16:28" ht="15" customHeight="1" x14ac:dyDescent="0.45">
      <c r="P2036" s="134"/>
      <c r="R2036" s="146"/>
      <c r="T2036" s="146"/>
      <c r="U2036" s="146"/>
      <c r="W2036" s="147"/>
      <c r="AB2036" s="156"/>
    </row>
    <row r="2037" spans="16:28" ht="15" customHeight="1" x14ac:dyDescent="0.45">
      <c r="P2037" s="134"/>
      <c r="R2037" s="146"/>
      <c r="T2037" s="146"/>
      <c r="U2037" s="146"/>
      <c r="W2037" s="147"/>
      <c r="AB2037" s="156"/>
    </row>
    <row r="2038" spans="16:28" ht="15" customHeight="1" x14ac:dyDescent="0.45">
      <c r="P2038" s="134"/>
      <c r="R2038" s="146"/>
      <c r="T2038" s="146"/>
      <c r="U2038" s="146"/>
      <c r="W2038" s="147"/>
      <c r="AB2038" s="156"/>
    </row>
    <row r="2039" spans="16:28" ht="15" customHeight="1" x14ac:dyDescent="0.45">
      <c r="P2039" s="134"/>
      <c r="R2039" s="146"/>
      <c r="T2039" s="146"/>
      <c r="U2039" s="146"/>
      <c r="W2039" s="147"/>
      <c r="AB2039" s="156"/>
    </row>
    <row r="2040" spans="16:28" ht="15" customHeight="1" x14ac:dyDescent="0.45">
      <c r="P2040" s="134"/>
      <c r="R2040" s="146"/>
      <c r="T2040" s="146"/>
      <c r="U2040" s="146"/>
      <c r="W2040" s="147"/>
      <c r="AB2040" s="156"/>
    </row>
    <row r="2041" spans="16:28" ht="15" customHeight="1" x14ac:dyDescent="0.45">
      <c r="P2041" s="134"/>
      <c r="R2041" s="146"/>
      <c r="T2041" s="146"/>
      <c r="U2041" s="146"/>
      <c r="W2041" s="147"/>
      <c r="AB2041" s="156"/>
    </row>
    <row r="2042" spans="16:28" ht="15" customHeight="1" x14ac:dyDescent="0.45">
      <c r="P2042" s="134"/>
      <c r="R2042" s="146"/>
      <c r="T2042" s="146"/>
      <c r="U2042" s="146"/>
      <c r="W2042" s="147"/>
      <c r="AB2042" s="156"/>
    </row>
    <row r="2043" spans="16:28" ht="15" customHeight="1" x14ac:dyDescent="0.45">
      <c r="P2043" s="134"/>
      <c r="R2043" s="146"/>
      <c r="T2043" s="146"/>
      <c r="U2043" s="146"/>
      <c r="W2043" s="147"/>
      <c r="AB2043" s="156"/>
    </row>
    <row r="2044" spans="16:28" ht="15" customHeight="1" x14ac:dyDescent="0.45">
      <c r="P2044" s="134"/>
      <c r="R2044" s="146"/>
      <c r="T2044" s="146"/>
      <c r="U2044" s="146"/>
      <c r="W2044" s="147"/>
      <c r="AB2044" s="156"/>
    </row>
    <row r="2045" spans="16:28" ht="15" customHeight="1" x14ac:dyDescent="0.45">
      <c r="P2045" s="134"/>
      <c r="R2045" s="146"/>
      <c r="T2045" s="146"/>
      <c r="U2045" s="146"/>
      <c r="W2045" s="147"/>
      <c r="AB2045" s="156"/>
    </row>
    <row r="2046" spans="16:28" ht="15" customHeight="1" x14ac:dyDescent="0.45">
      <c r="P2046" s="134"/>
      <c r="R2046" s="146"/>
      <c r="T2046" s="146"/>
      <c r="U2046" s="146"/>
      <c r="W2046" s="147"/>
      <c r="AB2046" s="156"/>
    </row>
    <row r="2047" spans="16:28" ht="15" customHeight="1" x14ac:dyDescent="0.45">
      <c r="P2047" s="134"/>
      <c r="R2047" s="146"/>
      <c r="T2047" s="146"/>
      <c r="U2047" s="146"/>
      <c r="W2047" s="147"/>
      <c r="AB2047" s="156"/>
    </row>
    <row r="2048" spans="16:28" ht="15" customHeight="1" x14ac:dyDescent="0.45">
      <c r="P2048" s="134"/>
      <c r="R2048" s="146"/>
      <c r="T2048" s="146"/>
      <c r="U2048" s="146"/>
      <c r="W2048" s="147"/>
      <c r="AB2048" s="156"/>
    </row>
    <row r="2049" spans="16:28" ht="15" customHeight="1" x14ac:dyDescent="0.45">
      <c r="P2049" s="134"/>
      <c r="R2049" s="146"/>
      <c r="T2049" s="146"/>
      <c r="U2049" s="146"/>
      <c r="W2049" s="147"/>
      <c r="AB2049" s="156"/>
    </row>
    <row r="2050" spans="16:28" ht="15" customHeight="1" x14ac:dyDescent="0.45">
      <c r="P2050" s="134"/>
      <c r="R2050" s="146"/>
      <c r="T2050" s="146"/>
      <c r="U2050" s="146"/>
      <c r="W2050" s="147"/>
      <c r="AB2050" s="156"/>
    </row>
    <row r="2051" spans="16:28" ht="15" customHeight="1" x14ac:dyDescent="0.45">
      <c r="P2051" s="134"/>
      <c r="R2051" s="146"/>
      <c r="T2051" s="146"/>
      <c r="U2051" s="146"/>
      <c r="W2051" s="147"/>
      <c r="AB2051" s="156"/>
    </row>
    <row r="2052" spans="16:28" ht="15" customHeight="1" x14ac:dyDescent="0.45">
      <c r="P2052" s="134"/>
      <c r="R2052" s="146"/>
      <c r="T2052" s="146"/>
      <c r="U2052" s="146"/>
      <c r="W2052" s="147"/>
      <c r="AB2052" s="156"/>
    </row>
    <row r="2053" spans="16:28" ht="15" customHeight="1" x14ac:dyDescent="0.45">
      <c r="P2053" s="134"/>
      <c r="R2053" s="146"/>
      <c r="T2053" s="146"/>
      <c r="U2053" s="146"/>
      <c r="W2053" s="147"/>
      <c r="AB2053" s="156"/>
    </row>
    <row r="2054" spans="16:28" ht="15" customHeight="1" x14ac:dyDescent="0.45">
      <c r="P2054" s="134"/>
      <c r="R2054" s="146"/>
      <c r="T2054" s="146"/>
      <c r="U2054" s="146"/>
      <c r="W2054" s="147"/>
      <c r="AB2054" s="156"/>
    </row>
    <row r="2055" spans="16:28" ht="15" customHeight="1" x14ac:dyDescent="0.45">
      <c r="P2055" s="134"/>
      <c r="R2055" s="146"/>
      <c r="T2055" s="146"/>
      <c r="U2055" s="146"/>
      <c r="W2055" s="147"/>
      <c r="AB2055" s="156"/>
    </row>
    <row r="2056" spans="16:28" ht="15" customHeight="1" x14ac:dyDescent="0.45">
      <c r="P2056" s="134"/>
      <c r="R2056" s="146"/>
      <c r="T2056" s="146"/>
      <c r="U2056" s="146"/>
      <c r="W2056" s="147"/>
      <c r="AB2056" s="156"/>
    </row>
    <row r="2057" spans="16:28" ht="15" customHeight="1" x14ac:dyDescent="0.45">
      <c r="P2057" s="134"/>
      <c r="R2057" s="146"/>
      <c r="T2057" s="146"/>
      <c r="U2057" s="146"/>
      <c r="W2057" s="147"/>
      <c r="AB2057" s="156"/>
    </row>
    <row r="2058" spans="16:28" ht="15" customHeight="1" x14ac:dyDescent="0.45">
      <c r="P2058" s="134"/>
      <c r="R2058" s="146"/>
      <c r="T2058" s="146"/>
      <c r="U2058" s="146"/>
      <c r="W2058" s="147"/>
      <c r="AB2058" s="156"/>
    </row>
    <row r="2059" spans="16:28" ht="15" customHeight="1" x14ac:dyDescent="0.45">
      <c r="P2059" s="134"/>
      <c r="R2059" s="146"/>
      <c r="T2059" s="146"/>
      <c r="U2059" s="146"/>
      <c r="W2059" s="147"/>
      <c r="AB2059" s="156"/>
    </row>
    <row r="2060" spans="16:28" ht="15" customHeight="1" x14ac:dyDescent="0.45">
      <c r="P2060" s="134"/>
      <c r="R2060" s="146"/>
      <c r="T2060" s="146"/>
      <c r="U2060" s="146"/>
      <c r="W2060" s="147"/>
      <c r="AB2060" s="156"/>
    </row>
    <row r="2061" spans="16:28" ht="15" customHeight="1" x14ac:dyDescent="0.45">
      <c r="P2061" s="134"/>
      <c r="R2061" s="146"/>
      <c r="T2061" s="146"/>
      <c r="U2061" s="146"/>
      <c r="W2061" s="147"/>
      <c r="AB2061" s="156"/>
    </row>
    <row r="2062" spans="16:28" ht="15" customHeight="1" x14ac:dyDescent="0.45">
      <c r="P2062" s="134"/>
      <c r="R2062" s="146"/>
      <c r="T2062" s="146"/>
      <c r="U2062" s="146"/>
      <c r="W2062" s="147"/>
      <c r="AB2062" s="156"/>
    </row>
    <row r="2063" spans="16:28" ht="15" customHeight="1" x14ac:dyDescent="0.45">
      <c r="P2063" s="134"/>
      <c r="R2063" s="146"/>
      <c r="T2063" s="146"/>
      <c r="U2063" s="146"/>
      <c r="W2063" s="147"/>
      <c r="AB2063" s="156"/>
    </row>
    <row r="2064" spans="16:28" ht="15" customHeight="1" x14ac:dyDescent="0.45">
      <c r="P2064" s="134"/>
      <c r="R2064" s="146"/>
      <c r="T2064" s="146"/>
      <c r="U2064" s="146"/>
      <c r="W2064" s="147"/>
      <c r="AB2064" s="156"/>
    </row>
    <row r="2065" spans="1:29" ht="15" customHeight="1" x14ac:dyDescent="0.45">
      <c r="P2065" s="134"/>
      <c r="R2065" s="146"/>
      <c r="T2065" s="146"/>
      <c r="U2065" s="146"/>
      <c r="W2065" s="147"/>
      <c r="AB2065" s="156"/>
    </row>
    <row r="2066" spans="1:29" ht="15" customHeight="1" x14ac:dyDescent="0.45">
      <c r="P2066" s="134"/>
      <c r="R2066" s="146"/>
      <c r="T2066" s="146"/>
      <c r="U2066" s="146"/>
      <c r="W2066" s="147"/>
      <c r="AB2066" s="156"/>
    </row>
    <row r="2067" spans="1:29" ht="15" customHeight="1" x14ac:dyDescent="0.45">
      <c r="P2067" s="134"/>
      <c r="R2067" s="146"/>
      <c r="T2067" s="146"/>
      <c r="U2067" s="146"/>
      <c r="W2067" s="147"/>
      <c r="AB2067" s="156"/>
    </row>
    <row r="2068" spans="1:29" ht="15" customHeight="1" x14ac:dyDescent="0.45">
      <c r="P2068" s="134"/>
      <c r="R2068" s="146"/>
      <c r="T2068" s="146"/>
      <c r="U2068" s="146"/>
      <c r="W2068" s="147"/>
      <c r="AB2068" s="156"/>
    </row>
    <row r="2069" spans="1:29" ht="15" customHeight="1" x14ac:dyDescent="0.45">
      <c r="P2069" s="134"/>
      <c r="R2069" s="146"/>
      <c r="T2069" s="146"/>
      <c r="U2069" s="146"/>
      <c r="W2069" s="147"/>
      <c r="AB2069" s="156"/>
    </row>
    <row r="2070" spans="1:29" ht="15" customHeight="1" x14ac:dyDescent="0.45">
      <c r="A2070" s="134" t="s">
        <v>781</v>
      </c>
      <c r="B2070" s="134" t="s">
        <v>781</v>
      </c>
      <c r="C2070" s="134" t="s">
        <v>781</v>
      </c>
      <c r="D2070" s="134" t="s">
        <v>781</v>
      </c>
      <c r="E2070" s="134" t="s">
        <v>781</v>
      </c>
      <c r="F2070" s="134" t="s">
        <v>781</v>
      </c>
      <c r="G2070" s="134" t="s">
        <v>781</v>
      </c>
      <c r="H2070" s="134" t="s">
        <v>781</v>
      </c>
      <c r="I2070" s="134" t="s">
        <v>781</v>
      </c>
      <c r="J2070" s="134" t="s">
        <v>781</v>
      </c>
      <c r="K2070" s="134" t="s">
        <v>781</v>
      </c>
      <c r="L2070" s="134" t="s">
        <v>781</v>
      </c>
      <c r="M2070" s="134" t="s">
        <v>781</v>
      </c>
      <c r="N2070" s="134" t="s">
        <v>781</v>
      </c>
      <c r="O2070" s="134" t="s">
        <v>781</v>
      </c>
      <c r="P2070" s="134" t="s">
        <v>781</v>
      </c>
      <c r="Q2070" s="134" t="s">
        <v>781</v>
      </c>
      <c r="R2070" s="134" t="s">
        <v>781</v>
      </c>
      <c r="S2070" s="134" t="s">
        <v>781</v>
      </c>
      <c r="T2070" s="134" t="s">
        <v>781</v>
      </c>
      <c r="U2070" s="134" t="s">
        <v>781</v>
      </c>
      <c r="V2070" s="134" t="s">
        <v>781</v>
      </c>
      <c r="W2070" s="134" t="s">
        <v>781</v>
      </c>
      <c r="X2070" s="134" t="s">
        <v>781</v>
      </c>
      <c r="Y2070" s="134" t="s">
        <v>781</v>
      </c>
      <c r="Z2070" s="134" t="s">
        <v>781</v>
      </c>
      <c r="AA2070" s="134" t="s">
        <v>781</v>
      </c>
      <c r="AB2070" s="134" t="s">
        <v>781</v>
      </c>
      <c r="AC2070" s="134" t="s">
        <v>781</v>
      </c>
    </row>
  </sheetData>
  <sheetProtection selectLockedCells="1" selectUnlockedCells="1"/>
  <autoFilter ref="A2:AC258" xr:uid="{00000000-0001-0000-0000-000000000000}"/>
  <mergeCells count="4">
    <mergeCell ref="A1:F1"/>
    <mergeCell ref="G1:L1"/>
    <mergeCell ref="M1:X1"/>
    <mergeCell ref="Y1:AB1"/>
  </mergeCells>
  <phoneticPr fontId="8" type="noConversion"/>
  <dataValidations count="7">
    <dataValidation type="list" allowBlank="1" showInputMessage="1" showErrorMessage="1" sqref="I683:I2069 I3:I681" xr:uid="{7993D164-27B3-4AF5-9722-DB6CD5767F44}">
      <formula1>INDIRECT("SystemTypeSpecific["&amp;H3&amp;"]")</formula1>
    </dataValidation>
    <dataValidation type="list" allowBlank="1" showInputMessage="1" showErrorMessage="1" sqref="A994:A2069 A940:A992 A683:A938 A3:A191 A201 A203:A681" xr:uid="{76778A9C-85DD-41AE-A2F4-17944E93FACE}">
      <formula1>INDIRECT("regions[regions]")</formula1>
    </dataValidation>
    <dataValidation type="list" allowBlank="1" showInputMessage="1" showErrorMessage="1" sqref="D940:D992 D683:D937 D994:D2069 D3:D681" xr:uid="{F327BA22-8A68-4F28-8B71-5DBEEA8F0833}">
      <formula1>INDIRECT("Regions[Regions]")</formula1>
    </dataValidation>
    <dataValidation type="list" allowBlank="1" showInputMessage="1" showErrorMessage="1" sqref="C940:C992 C683:C938 C994:C2069 C3:C681" xr:uid="{FFFB02C2-89FD-4D71-928F-D875A5E2936F}">
      <formula1>INDIRECT("service[service]")</formula1>
    </dataValidation>
    <dataValidation type="list" allowBlank="1" showInputMessage="1" showErrorMessage="1" sqref="G940:G992 G683:G938 G994:G2069 G3:G681" xr:uid="{6AEB2DBB-8735-4F27-97CC-7D6A87274515}">
      <formula1>INDIRECT("marketsegment[market segment]")</formula1>
    </dataValidation>
    <dataValidation type="list" allowBlank="1" showInputMessage="1" showErrorMessage="1" sqref="B940:B992 E940:E992 B683:B938 E683:E938 B994:B2069 E994:E2069 E3:E681 B3:B681" xr:uid="{EFD52E0B-EEAF-4DDF-8AE0-5FF06ECE1530}">
      <formula1>INDIRECT("countries["&amp;A3&amp;"]")</formula1>
    </dataValidation>
    <dataValidation type="list" allowBlank="1" showInputMessage="1" showErrorMessage="1" sqref="H940:H992 H683:H938 H994:H2069 H3:H681" xr:uid="{8CF8E544-A974-4851-93B6-0F98388221D6}">
      <formula1>INDIRECT("SystemTypeGeneral["&amp;G3&amp;"]")</formula1>
    </dataValidation>
  </dataValidations>
  <hyperlinks>
    <hyperlink ref="AA223" r:id="rId1" xr:uid="{E9C82F03-797B-4248-93E7-BAE13B9F6D23}"/>
  </hyperlinks>
  <pageMargins left="0.70000000000000007" right="0.70000000000000007" top="0.75" bottom="0.75" header="0.30000000000000004" footer="0.30000000000000004"/>
  <pageSetup fitToWidth="0" fitToHeight="0" orientation="portrait" r:id="rId2"/>
  <headerFooter alignWithMargins="0">
    <oddFooter>&amp;L_x000D_&amp;1#&amp;"Calibri"&amp;9&amp;K0078D7 Information Classification: General</oddFooter>
  </headerFooter>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r:uid="{7B460BE6-81D2-4DD7-93A6-614BCDCEBAF4}">
          <x14:formula1>
            <xm:f>DDFields_Contract_Details!$G$8:$G$31</xm:f>
          </x14:formula1>
          <xm:sqref>X827:X992 X683:X820 X994:X2069 X3:X681</xm:sqref>
        </x14:dataValidation>
        <x14:dataValidation type="list" allowBlank="1" showInputMessage="1" showErrorMessage="1" xr:uid="{E13EC45F-61D9-4AD0-9100-69E74B5391C9}">
          <x14:formula1>
            <xm:f>DDFields_Contract_Details!$G$3:$G$31</xm:f>
          </x14:formula1>
          <xm:sqref>X496 X809 X356:X358</xm:sqref>
        </x14:dataValidation>
        <x14:dataValidation type="list" allowBlank="1" showInputMessage="1" showErrorMessage="1" xr:uid="{6B3014AB-CAA4-45FF-A7BE-F48DE4FC295B}">
          <x14:formula1>
            <xm:f>DDFields_Contract_Details!$C$3:$C$4</xm:f>
          </x14:formula1>
          <xm:sqref>V994:V2069 V827:V992 V683:V820 V448:V681 V3:V446</xm:sqref>
        </x14:dataValidation>
        <x14:dataValidation type="list" allowBlank="1" showInputMessage="1" showErrorMessage="1" xr:uid="{469FF4CC-B603-4377-9EEF-2D725154ADF5}">
          <x14:formula1>
            <xm:f>DDFields_Contract_Details!$E$3:$E$14</xm:f>
          </x14:formula1>
          <xm:sqref>W994:W2069 W827:W992 W683:W820 W3:W681</xm:sqref>
        </x14:dataValidation>
        <x14:dataValidation type="list" allowBlank="1" showInputMessage="1" showErrorMessage="1" xr:uid="{2518E8DF-CF00-478A-83DD-B37586AC6176}">
          <x14:formula1>
            <xm:f>DDFields_Market_Structure!$A$14:$A$17</xm:f>
          </x14:formula1>
          <xm:sqref>L827:L992 L683:L820 L499:L681 L994:L2069 L3:L497</xm:sqref>
        </x14:dataValidation>
        <x14:dataValidation type="list" allowBlank="1" showInputMessage="1" showErrorMessage="1" xr:uid="{01DA381C-431A-476C-9694-CA89F4E3EB6A}">
          <x14:formula1>
            <xm:f>DDFields_Supplier_Customer!$A$13:$A$16</xm:f>
          </x14:formula1>
          <xm:sqref>F827:F938 F940:F992 F683:F820 F994:F2069 F3:F224 F259:F681</xm:sqref>
        </x14:dataValidation>
        <x14:dataValidation type="list" allowBlank="1" showInputMessage="1" showErrorMessage="1" xr:uid="{31F02734-4780-44E8-867E-31A0BF4CD646}">
          <x14:formula1>
            <xm:f>DDFields_Contract_Details!$I$3:$I$4</xm:f>
          </x14:formula1>
          <xm:sqref>Q237:Q238 Q224:Q226 Q253 Q285 Q299:Q302 Q319 Q328 Q332 Q356:Q358 Q362 Q377 Q395:Q398 Q447 Q416 Q430 Q433 Q648 Q464 Q484 Q491 Q496 Q501 Q504:Q505 Q515:Q521 Q558 Q639 Q627:Q637 Q645:Q646 Q656 Q661:Q662 Q669 Q679 Q688 Q691 Q706:Q707 Q709:Q710 Q723 Q718 Q732:Q733 Q743 Q746 Q748:Q749 Q767:Q769 Q772 Q792 Q790 Q422:Q423 Q817:Q818 Q854 Q849 Q758 Q886 Q888 Q976 Q950 Q953 Q981 Q989:Q991 Q974 Q968 Q993 Q941:Q944 Q998 Q808:Q810 Q964:Q965 Q1009 Q1020 Q1023 Q3:Q213</xm:sqref>
        </x14:dataValidation>
        <x14:dataValidation type="list" allowBlank="1" showInputMessage="1" showErrorMessage="1" xr:uid="{663C7EDF-76D9-4E5E-85A7-F9786ACACAFA}">
          <x14:formula1>
            <xm:f>DDFields_Supplier_Names!$A$2:$A$1687</xm:f>
          </x14:formula1>
          <xm:sqref>M827:M2069 M3:M820</xm:sqref>
        </x14:dataValidation>
        <x14:dataValidation type="list" allowBlank="1" showInputMessage="1" showErrorMessage="1" xr:uid="{003CC2E0-05F5-4103-828E-0A59C46E80F0}">
          <x14:formula1>
            <xm:f>DDFields_Contract_Details!$A$3:$A$9</xm:f>
          </x14:formula1>
          <xm:sqref>N3:N2069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8A4FD-02B9-49CF-BFC4-0052E5C04A9B}">
  <dimension ref="C2:AB561"/>
  <sheetViews>
    <sheetView showGridLines="0" topLeftCell="L1" zoomScale="77" zoomScaleNormal="77" workbookViewId="0">
      <selection activeCell="G18" sqref="G18"/>
    </sheetView>
  </sheetViews>
  <sheetFormatPr defaultColWidth="8.765625" defaultRowHeight="16.5" x14ac:dyDescent="0.45"/>
  <cols>
    <col min="1" max="1" width="11.765625" style="79" customWidth="1"/>
    <col min="2" max="2" width="12.3046875" style="79" customWidth="1"/>
    <col min="3" max="3" width="16.07421875" style="79" bestFit="1" customWidth="1"/>
    <col min="4" max="4" width="11.07421875" style="79" bestFit="1" customWidth="1"/>
    <col min="5" max="5" width="11.4609375" style="79" customWidth="1"/>
    <col min="6" max="6" width="12.23046875" style="79" customWidth="1"/>
    <col min="7" max="7" width="11.4609375" style="79" customWidth="1"/>
    <col min="8" max="8" width="14.765625" style="79" bestFit="1" customWidth="1"/>
    <col min="9" max="10" width="9" style="79" customWidth="1"/>
    <col min="11" max="11" width="9.07421875" style="79" customWidth="1"/>
    <col min="12" max="12" width="10.765625" style="79" bestFit="1" customWidth="1"/>
    <col min="13" max="13" width="10.4609375" style="79" customWidth="1"/>
    <col min="14" max="14" width="16.3046875" style="79" bestFit="1" customWidth="1"/>
    <col min="15" max="15" width="3.4609375" style="79" bestFit="1" customWidth="1"/>
    <col min="16" max="16" width="10.4609375" style="79" customWidth="1"/>
    <col min="17" max="17" width="26.765625" style="79" bestFit="1" customWidth="1"/>
    <col min="18" max="18" width="3.69140625" style="79" bestFit="1" customWidth="1"/>
    <col min="19" max="19" width="12.07421875" style="79" customWidth="1"/>
    <col min="20" max="20" width="22" style="79" bestFit="1" customWidth="1"/>
    <col min="21" max="21" width="13.23046875" style="79" bestFit="1" customWidth="1"/>
    <col min="22" max="22" width="3.23046875" style="79" customWidth="1"/>
    <col min="23" max="23" width="18.765625" style="79" bestFit="1" customWidth="1"/>
    <col min="24" max="24" width="23.23046875" style="79" bestFit="1" customWidth="1"/>
    <col min="25" max="25" width="9.765625" style="79" customWidth="1"/>
    <col min="26" max="26" width="14.4609375" style="79" customWidth="1"/>
    <col min="27" max="27" width="12.07421875" style="79" customWidth="1"/>
    <col min="28" max="16384" width="8.765625" style="79"/>
  </cols>
  <sheetData>
    <row r="2" spans="3:27" x14ac:dyDescent="0.45">
      <c r="L2" s="79" t="s">
        <v>767</v>
      </c>
    </row>
    <row r="3" spans="3:27" x14ac:dyDescent="0.45">
      <c r="Q3" s="79" t="s">
        <v>768</v>
      </c>
      <c r="T3" s="79" t="s">
        <v>769</v>
      </c>
      <c r="X3" s="79" t="s">
        <v>770</v>
      </c>
      <c r="Z3" s="79" t="s">
        <v>771</v>
      </c>
    </row>
    <row r="4" spans="3:27" ht="37.5" customHeight="1" x14ac:dyDescent="0.65">
      <c r="Q4" s="80">
        <f>COUNTA(Contracts!D3:D1048576)</f>
        <v>223</v>
      </c>
      <c r="R4" s="81"/>
      <c r="T4" s="95">
        <f>SUM(Contracts!T3:T1048576)/1000</f>
        <v>30.022013999999988</v>
      </c>
      <c r="U4" s="79" t="s">
        <v>772</v>
      </c>
      <c r="X4" s="96">
        <f>((SUMIFS(Contracts!T3:T1048576,Contracts!X3:X1048576,"2023",Contracts!W3:W1048576,"July",Contracts!N3:N1048576,"Procurement"))+(SUMIFS(Contracts!T3:T1048576,Contracts!X3:X1048576,"2023",Contracts!W3:W1048576,"August",Contracts!N3:N1048576,"Procurement"))+(SUMIFS(Contracts!T3:T1048576,Contracts!X3:X1048576,"2023",Contracts!W3:W1048576,"September",Contracts!N3:N1048576,"Procurement")))/1000</f>
        <v>0</v>
      </c>
      <c r="Z4" s="96">
        <f>((SUMIFS(Contracts!T3:T1048576,Contracts!X3:X1048576,"2023",Contracts!W3:W1048576,"October",Contracts!N3:N1048576,"Procurement"))+(SUMIFS(Contracts!T3:T1048576,Contracts!X3:X1048576,"2023",Contracts!W3:W1048576,"November",Contracts!N3:N1048576,"Procurement"))+(SUMIFS(Contracts!T3:T1048576,Contracts!X3:X1048576,"2023",Contracts!W3:W1048576,"December",Contracts!N3:N1048576,"Procurement")))/1000</f>
        <v>0</v>
      </c>
    </row>
    <row r="9" spans="3:27" ht="72" customHeight="1" x14ac:dyDescent="0.5">
      <c r="C9" s="173" t="s">
        <v>773</v>
      </c>
      <c r="D9" s="173"/>
      <c r="F9" s="173" t="s">
        <v>774</v>
      </c>
      <c r="G9" s="173"/>
      <c r="H9" s="173"/>
      <c r="J9" s="173" t="s">
        <v>775</v>
      </c>
      <c r="K9" s="173"/>
      <c r="L9" s="173"/>
      <c r="N9" s="173" t="s">
        <v>776</v>
      </c>
      <c r="O9" s="173"/>
      <c r="Q9" s="173" t="s">
        <v>777</v>
      </c>
      <c r="R9" s="173"/>
    </row>
    <row r="10" spans="3:27" ht="19.5" customHeight="1" x14ac:dyDescent="0.5">
      <c r="C10" s="88"/>
      <c r="D10" s="88"/>
      <c r="F10" s="88"/>
      <c r="G10" s="88"/>
      <c r="H10" s="88"/>
      <c r="J10" s="88"/>
      <c r="K10" s="88"/>
      <c r="L10" s="88"/>
      <c r="N10" s="88"/>
      <c r="O10" s="88"/>
      <c r="Q10" s="88"/>
      <c r="R10" s="88"/>
    </row>
    <row r="11" spans="3:27" ht="32.5" x14ac:dyDescent="0.65">
      <c r="C11" s="92">
        <f>(SUMIF(Contracts!X3:X1048576,"2023",Contracts!T3:T1048576))/1000</f>
        <v>0</v>
      </c>
      <c r="D11" s="81" t="s">
        <v>772</v>
      </c>
      <c r="F11" s="174">
        <f>((SUMIFS(Contracts!T3:T1048576,Contracts!X3:X1048576,"2023",Contracts!W3:W1048576,"April"))+(SUMIFS(Contracts!T3:T1048576,Contracts!X3:X1048576,"2023",Contracts!W3:W1048576,"May"))+(SUMIFS(Contracts!T3:T1048576,Contracts!X3:X1048576,"2023",Contracts!W3:W1048576,"June")))/1000</f>
        <v>0</v>
      </c>
      <c r="G11" s="174"/>
      <c r="H11" s="81" t="s">
        <v>772</v>
      </c>
      <c r="J11" s="174">
        <f>(SUMIFS(Contracts!T3:T1048576,Contracts!X3:X1048576,"2023",Contracts!B3:B1048576,"USA",Contracts!E3:E1048576,"USA"))/1000</f>
        <v>0</v>
      </c>
      <c r="K11" s="174"/>
      <c r="L11" s="81" t="s">
        <v>772</v>
      </c>
      <c r="N11" s="82">
        <f>(SUMIFS(Contracts!T3:T1048576, Contracts!X3:X1048576, "2023", Contracts!E3:E1048576, "USA", Contracts!B3:B1048576, "&lt;&gt;USA"))/1000</f>
        <v>0</v>
      </c>
      <c r="O11" s="81" t="s">
        <v>772</v>
      </c>
      <c r="Q11" s="82">
        <f>(SUMIFS(Contracts!T3:T1048576, Contracts!X3:X1048576, "2023", Contracts!E3:E1048576, "&lt;&gt;USA", Contracts!B3:B1048576, "&lt;&gt;USA"))/1000</f>
        <v>0</v>
      </c>
      <c r="R11" s="81" t="s">
        <v>772</v>
      </c>
    </row>
    <row r="15" spans="3:27" ht="9" customHeight="1" x14ac:dyDescent="0.45"/>
    <row r="16" spans="3:27" x14ac:dyDescent="0.45">
      <c r="T16" s="87" t="s">
        <v>778</v>
      </c>
      <c r="U16"/>
      <c r="W16" s="87" t="s">
        <v>778</v>
      </c>
      <c r="X16"/>
      <c r="Z16" s="87" t="s">
        <v>779</v>
      </c>
      <c r="AA16"/>
    </row>
    <row r="17" spans="20:28" x14ac:dyDescent="0.45">
      <c r="T17" s="86" t="s">
        <v>287</v>
      </c>
      <c r="U17"/>
      <c r="W17" s="86" t="s">
        <v>406</v>
      </c>
      <c r="X17"/>
      <c r="Z17" s="86" t="s">
        <v>304</v>
      </c>
      <c r="AA17"/>
      <c r="AB17" s="90"/>
    </row>
    <row r="18" spans="20:28" x14ac:dyDescent="0.45">
      <c r="T18" s="121" t="s">
        <v>143</v>
      </c>
      <c r="U18"/>
      <c r="W18" s="86" t="s">
        <v>405</v>
      </c>
      <c r="X18"/>
      <c r="Z18" s="94" t="s">
        <v>442</v>
      </c>
      <c r="AA18"/>
      <c r="AB18" s="90"/>
    </row>
    <row r="19" spans="20:28" x14ac:dyDescent="0.45">
      <c r="T19" s="86" t="s">
        <v>780</v>
      </c>
      <c r="U19"/>
      <c r="W19" s="86" t="s">
        <v>390</v>
      </c>
      <c r="X19"/>
      <c r="Z19" s="86" t="s">
        <v>455</v>
      </c>
      <c r="AA19"/>
      <c r="AB19" s="90"/>
    </row>
    <row r="20" spans="20:28" x14ac:dyDescent="0.45">
      <c r="T20" s="122" t="s">
        <v>158</v>
      </c>
      <c r="U20"/>
      <c r="W20" s="86" t="s">
        <v>394</v>
      </c>
      <c r="X20"/>
      <c r="Z20" s="86" t="s">
        <v>196</v>
      </c>
      <c r="AA20"/>
      <c r="AB20" s="90"/>
    </row>
    <row r="21" spans="20:28" x14ac:dyDescent="0.45">
      <c r="T21" s="122" t="s">
        <v>781</v>
      </c>
      <c r="U21"/>
      <c r="W21" s="86" t="s">
        <v>277</v>
      </c>
      <c r="X21"/>
      <c r="Z21" s="86" t="s">
        <v>249</v>
      </c>
      <c r="AA21"/>
      <c r="AB21" s="90"/>
    </row>
    <row r="22" spans="20:28" x14ac:dyDescent="0.45">
      <c r="T22"/>
      <c r="U22"/>
      <c r="W22" s="86" t="s">
        <v>355</v>
      </c>
      <c r="X22"/>
      <c r="Z22" s="86" t="s">
        <v>262</v>
      </c>
      <c r="AA22"/>
      <c r="AB22" s="90"/>
    </row>
    <row r="23" spans="20:28" x14ac:dyDescent="0.45">
      <c r="T23"/>
      <c r="U23"/>
      <c r="W23" s="86" t="s">
        <v>287</v>
      </c>
      <c r="X23"/>
      <c r="Z23" s="94" t="s">
        <v>216</v>
      </c>
      <c r="AA23"/>
      <c r="AB23" s="90"/>
    </row>
    <row r="24" spans="20:28" x14ac:dyDescent="0.45">
      <c r="T24"/>
      <c r="U24"/>
      <c r="W24" s="86" t="s">
        <v>402</v>
      </c>
      <c r="X24"/>
      <c r="Z24" s="86" t="s">
        <v>306</v>
      </c>
      <c r="AA24"/>
      <c r="AB24" s="90"/>
    </row>
    <row r="25" spans="20:28" x14ac:dyDescent="0.45">
      <c r="T25"/>
      <c r="U25"/>
      <c r="V25" s="90"/>
      <c r="W25" s="86" t="s">
        <v>407</v>
      </c>
      <c r="X25"/>
      <c r="Z25" s="94" t="s">
        <v>431</v>
      </c>
      <c r="AA25"/>
      <c r="AB25" s="90"/>
    </row>
    <row r="26" spans="20:28" x14ac:dyDescent="0.45">
      <c r="T26"/>
      <c r="U26"/>
      <c r="V26" s="90"/>
      <c r="W26" s="86" t="s">
        <v>408</v>
      </c>
      <c r="X26"/>
      <c r="Z26" s="94" t="s">
        <v>310</v>
      </c>
      <c r="AA26"/>
      <c r="AB26" s="90"/>
    </row>
    <row r="27" spans="20:28" x14ac:dyDescent="0.45">
      <c r="T27"/>
      <c r="U27"/>
      <c r="V27" s="90"/>
      <c r="W27" s="86" t="s">
        <v>266</v>
      </c>
      <c r="X27"/>
      <c r="Z27" s="94" t="s">
        <v>452</v>
      </c>
      <c r="AA27"/>
      <c r="AB27" s="90"/>
    </row>
    <row r="28" spans="20:28" x14ac:dyDescent="0.45">
      <c r="T28"/>
      <c r="U28"/>
      <c r="V28" s="90"/>
      <c r="W28" s="86" t="s">
        <v>460</v>
      </c>
      <c r="X28"/>
      <c r="Y28" s="90"/>
      <c r="Z28" s="86" t="s">
        <v>314</v>
      </c>
      <c r="AA28"/>
      <c r="AB28" s="90"/>
    </row>
    <row r="29" spans="20:28" ht="16.5" customHeight="1" x14ac:dyDescent="0.45">
      <c r="T29"/>
      <c r="U29"/>
      <c r="V29" s="90"/>
      <c r="W29" s="86" t="s">
        <v>143</v>
      </c>
      <c r="X29"/>
      <c r="Y29" s="90"/>
      <c r="Z29" s="86" t="s">
        <v>199</v>
      </c>
      <c r="AA29"/>
      <c r="AB29" s="90"/>
    </row>
    <row r="30" spans="20:28" x14ac:dyDescent="0.45">
      <c r="T30"/>
      <c r="U30"/>
      <c r="V30" s="90"/>
      <c r="W30" s="86" t="s">
        <v>780</v>
      </c>
      <c r="X30"/>
      <c r="Y30" s="90"/>
      <c r="Z30" s="86" t="s">
        <v>320</v>
      </c>
      <c r="AA30"/>
      <c r="AB30" s="90"/>
    </row>
    <row r="31" spans="20:28" x14ac:dyDescent="0.45">
      <c r="T31"/>
      <c r="U31"/>
      <c r="V31" s="90"/>
      <c r="W31" s="86" t="s">
        <v>256</v>
      </c>
      <c r="X31"/>
      <c r="Y31" s="90"/>
      <c r="Z31" s="94" t="s">
        <v>354</v>
      </c>
      <c r="AA31"/>
      <c r="AB31" s="90"/>
    </row>
    <row r="32" spans="20:28" x14ac:dyDescent="0.45">
      <c r="T32"/>
      <c r="U32"/>
      <c r="V32" s="90"/>
      <c r="W32" s="89" t="s">
        <v>418</v>
      </c>
      <c r="X32"/>
      <c r="Y32" s="90"/>
      <c r="Z32" s="94" t="s">
        <v>404</v>
      </c>
      <c r="AA32"/>
      <c r="AB32" s="90"/>
    </row>
    <row r="33" spans="20:28" x14ac:dyDescent="0.45">
      <c r="T33"/>
      <c r="U33"/>
      <c r="V33" s="90"/>
      <c r="W33" s="89" t="s">
        <v>273</v>
      </c>
      <c r="X33"/>
      <c r="Y33" s="90"/>
      <c r="Z33" s="94" t="s">
        <v>335</v>
      </c>
      <c r="AA33"/>
      <c r="AB33" s="90"/>
    </row>
    <row r="34" spans="20:28" x14ac:dyDescent="0.45">
      <c r="T34"/>
      <c r="U34"/>
      <c r="V34" s="90"/>
      <c r="W34" s="89" t="s">
        <v>158</v>
      </c>
      <c r="X34"/>
      <c r="Y34" s="90"/>
      <c r="Z34" s="86" t="s">
        <v>203</v>
      </c>
      <c r="AA34"/>
      <c r="AB34" s="90"/>
    </row>
    <row r="35" spans="20:28" x14ac:dyDescent="0.45">
      <c r="T35"/>
      <c r="U35"/>
      <c r="V35" s="90"/>
      <c r="W35" s="89" t="s">
        <v>152</v>
      </c>
      <c r="X35"/>
      <c r="Y35" s="90"/>
      <c r="Z35" s="86" t="s">
        <v>219</v>
      </c>
      <c r="AA35"/>
      <c r="AB35" s="90"/>
    </row>
    <row r="36" spans="20:28" x14ac:dyDescent="0.45">
      <c r="T36"/>
      <c r="U36"/>
      <c r="V36" s="90"/>
      <c r="W36" s="89" t="s">
        <v>781</v>
      </c>
      <c r="X36"/>
      <c r="Y36" s="90"/>
      <c r="Z36" s="86" t="s">
        <v>210</v>
      </c>
      <c r="AA36"/>
      <c r="AB36" s="90"/>
    </row>
    <row r="37" spans="20:28" x14ac:dyDescent="0.45">
      <c r="T37"/>
      <c r="U37"/>
      <c r="V37" s="90"/>
      <c r="W37"/>
      <c r="X37"/>
      <c r="Y37" s="90"/>
      <c r="Z37" s="86" t="s">
        <v>384</v>
      </c>
      <c r="AA37"/>
      <c r="AB37" s="90"/>
    </row>
    <row r="38" spans="20:28" x14ac:dyDescent="0.45">
      <c r="T38"/>
      <c r="U38"/>
      <c r="V38" s="90"/>
      <c r="W38"/>
      <c r="X38"/>
      <c r="Y38" s="90"/>
      <c r="Z38" s="86" t="s">
        <v>180</v>
      </c>
      <c r="AA38"/>
      <c r="AB38" s="90"/>
    </row>
    <row r="39" spans="20:28" x14ac:dyDescent="0.45">
      <c r="T39"/>
      <c r="U39"/>
      <c r="V39" s="90"/>
      <c r="W39"/>
      <c r="X39"/>
      <c r="Y39" s="90"/>
      <c r="Z39" s="86" t="s">
        <v>164</v>
      </c>
      <c r="AA39"/>
      <c r="AB39" s="90"/>
    </row>
    <row r="40" spans="20:28" x14ac:dyDescent="0.45">
      <c r="T40"/>
      <c r="U40"/>
      <c r="V40" s="90"/>
      <c r="W40"/>
      <c r="X40"/>
      <c r="Y40" s="90"/>
      <c r="Z40" s="86" t="s">
        <v>224</v>
      </c>
      <c r="AA40"/>
      <c r="AB40" s="90"/>
    </row>
    <row r="41" spans="20:28" x14ac:dyDescent="0.45">
      <c r="T41"/>
      <c r="U41"/>
      <c r="V41" s="90"/>
      <c r="W41"/>
      <c r="X41"/>
      <c r="Y41" s="90"/>
      <c r="Z41" s="94" t="s">
        <v>286</v>
      </c>
      <c r="AA41"/>
      <c r="AB41" s="90"/>
    </row>
    <row r="42" spans="20:28" x14ac:dyDescent="0.45">
      <c r="T42"/>
      <c r="U42"/>
      <c r="V42" s="90"/>
      <c r="W42"/>
      <c r="X42"/>
      <c r="Y42" s="90"/>
      <c r="Z42" s="86" t="s">
        <v>780</v>
      </c>
      <c r="AA42"/>
      <c r="AB42" s="90"/>
    </row>
    <row r="43" spans="20:28" x14ac:dyDescent="0.45">
      <c r="T43"/>
      <c r="U43"/>
      <c r="V43" s="90"/>
      <c r="W43"/>
      <c r="X43"/>
      <c r="Y43" s="90"/>
      <c r="Z43" s="86" t="s">
        <v>150</v>
      </c>
      <c r="AA43"/>
      <c r="AB43" s="90"/>
    </row>
    <row r="44" spans="20:28" x14ac:dyDescent="0.45">
      <c r="T44"/>
      <c r="U44"/>
      <c r="V44" s="90"/>
      <c r="W44"/>
      <c r="X44"/>
      <c r="Y44" s="90"/>
      <c r="Z44" s="86" t="s">
        <v>293</v>
      </c>
      <c r="AA44"/>
      <c r="AB44" s="90"/>
    </row>
    <row r="45" spans="20:28" x14ac:dyDescent="0.45">
      <c r="T45"/>
      <c r="U45"/>
      <c r="V45" s="90"/>
      <c r="W45"/>
      <c r="X45"/>
      <c r="Y45" s="90"/>
      <c r="Z45" s="86" t="s">
        <v>448</v>
      </c>
      <c r="AA45"/>
      <c r="AB45" s="90"/>
    </row>
    <row r="46" spans="20:28" x14ac:dyDescent="0.45">
      <c r="T46"/>
      <c r="U46"/>
      <c r="V46" s="90"/>
      <c r="W46"/>
      <c r="X46"/>
      <c r="Y46" s="90"/>
      <c r="Z46" s="94" t="s">
        <v>289</v>
      </c>
      <c r="AA46"/>
      <c r="AB46" s="90"/>
    </row>
    <row r="47" spans="20:28" x14ac:dyDescent="0.45">
      <c r="T47"/>
      <c r="U47"/>
      <c r="V47" s="90"/>
      <c r="W47"/>
      <c r="X47"/>
      <c r="Y47" s="90"/>
      <c r="Z47" s="94" t="s">
        <v>375</v>
      </c>
      <c r="AA47"/>
      <c r="AB47" s="90"/>
    </row>
    <row r="48" spans="20:28" x14ac:dyDescent="0.45">
      <c r="T48"/>
      <c r="U48"/>
      <c r="V48" s="90"/>
      <c r="W48"/>
      <c r="X48"/>
      <c r="Y48" s="90"/>
      <c r="Z48" s="86" t="s">
        <v>193</v>
      </c>
      <c r="AA48"/>
      <c r="AB48" s="90"/>
    </row>
    <row r="49" spans="20:28" x14ac:dyDescent="0.45">
      <c r="T49"/>
      <c r="U49"/>
      <c r="V49" s="90"/>
      <c r="W49"/>
      <c r="X49"/>
      <c r="Y49" s="90"/>
      <c r="Z49" s="94" t="s">
        <v>254</v>
      </c>
      <c r="AA49"/>
      <c r="AB49" s="90"/>
    </row>
    <row r="50" spans="20:28" x14ac:dyDescent="0.45">
      <c r="T50"/>
      <c r="U50"/>
      <c r="V50" s="90"/>
      <c r="W50"/>
      <c r="X50"/>
      <c r="Y50" s="90"/>
      <c r="Z50" s="94" t="s">
        <v>248</v>
      </c>
      <c r="AA50"/>
      <c r="AB50" s="90"/>
    </row>
    <row r="51" spans="20:28" x14ac:dyDescent="0.45">
      <c r="T51"/>
      <c r="U51"/>
      <c r="V51" s="90"/>
      <c r="W51"/>
      <c r="X51"/>
      <c r="Y51" s="90"/>
      <c r="Z51" s="94" t="s">
        <v>223</v>
      </c>
      <c r="AA51"/>
      <c r="AB51" s="90"/>
    </row>
    <row r="52" spans="20:28" x14ac:dyDescent="0.45">
      <c r="T52"/>
      <c r="U52"/>
      <c r="V52" s="90"/>
      <c r="W52"/>
      <c r="X52"/>
      <c r="Y52" s="90"/>
      <c r="Z52" s="94" t="s">
        <v>258</v>
      </c>
      <c r="AA52"/>
      <c r="AB52" s="90"/>
    </row>
    <row r="53" spans="20:28" x14ac:dyDescent="0.45">
      <c r="T53"/>
      <c r="U53"/>
      <c r="V53" s="90"/>
      <c r="W53"/>
      <c r="X53"/>
      <c r="Y53" s="90"/>
      <c r="Z53" s="94" t="s">
        <v>230</v>
      </c>
      <c r="AA53"/>
      <c r="AB53" s="90"/>
    </row>
    <row r="54" spans="20:28" x14ac:dyDescent="0.45">
      <c r="T54"/>
      <c r="U54"/>
      <c r="V54" s="90"/>
      <c r="W54"/>
      <c r="X54"/>
      <c r="Y54" s="90"/>
      <c r="Z54" s="94" t="s">
        <v>185</v>
      </c>
      <c r="AA54"/>
      <c r="AB54" s="90"/>
    </row>
    <row r="55" spans="20:28" x14ac:dyDescent="0.45">
      <c r="T55"/>
      <c r="U55"/>
      <c r="V55" s="90"/>
      <c r="W55"/>
      <c r="X55"/>
      <c r="Y55" s="90"/>
      <c r="Z55" s="94" t="s">
        <v>324</v>
      </c>
      <c r="AA55"/>
      <c r="AB55" s="90"/>
    </row>
    <row r="56" spans="20:28" x14ac:dyDescent="0.45">
      <c r="T56"/>
      <c r="U56"/>
      <c r="V56" s="90"/>
      <c r="W56"/>
      <c r="X56"/>
      <c r="Y56" s="90"/>
      <c r="Z56" s="94" t="s">
        <v>401</v>
      </c>
      <c r="AA56"/>
      <c r="AB56" s="90"/>
    </row>
    <row r="57" spans="20:28" x14ac:dyDescent="0.45">
      <c r="T57"/>
      <c r="U57"/>
      <c r="V57" s="90"/>
      <c r="W57"/>
      <c r="X57"/>
      <c r="Y57" s="90"/>
      <c r="Z57" s="94" t="s">
        <v>327</v>
      </c>
      <c r="AA57"/>
      <c r="AB57" s="90"/>
    </row>
    <row r="58" spans="20:28" x14ac:dyDescent="0.45">
      <c r="T58"/>
      <c r="U58"/>
      <c r="V58" s="90"/>
      <c r="W58"/>
      <c r="X58"/>
      <c r="Y58" s="90"/>
      <c r="Z58" s="94" t="s">
        <v>292</v>
      </c>
      <c r="AA58"/>
      <c r="AB58" s="90"/>
    </row>
    <row r="59" spans="20:28" x14ac:dyDescent="0.45">
      <c r="T59"/>
      <c r="U59"/>
      <c r="V59" s="90"/>
      <c r="W59"/>
      <c r="X59"/>
      <c r="Y59" s="90"/>
      <c r="Z59" s="94" t="s">
        <v>462</v>
      </c>
      <c r="AA59"/>
      <c r="AB59" s="90"/>
    </row>
    <row r="60" spans="20:28" x14ac:dyDescent="0.45">
      <c r="T60"/>
      <c r="U60"/>
      <c r="V60" s="90"/>
      <c r="W60"/>
      <c r="X60"/>
      <c r="Y60" s="90"/>
      <c r="Z60" s="94" t="s">
        <v>461</v>
      </c>
      <c r="AA60"/>
      <c r="AB60" s="90"/>
    </row>
    <row r="61" spans="20:28" x14ac:dyDescent="0.45">
      <c r="T61"/>
      <c r="U61"/>
      <c r="V61" s="90"/>
      <c r="W61"/>
      <c r="X61"/>
      <c r="Y61" s="90"/>
      <c r="Z61" s="94" t="s">
        <v>212</v>
      </c>
      <c r="AA61"/>
      <c r="AB61" s="90"/>
    </row>
    <row r="62" spans="20:28" x14ac:dyDescent="0.45">
      <c r="T62"/>
      <c r="U62"/>
      <c r="V62" s="90"/>
      <c r="W62"/>
      <c r="X62"/>
      <c r="Y62" s="90"/>
      <c r="Z62" s="94" t="s">
        <v>233</v>
      </c>
      <c r="AA62"/>
      <c r="AB62" s="90"/>
    </row>
    <row r="63" spans="20:28" x14ac:dyDescent="0.45">
      <c r="T63"/>
      <c r="U63"/>
      <c r="V63" s="90"/>
      <c r="W63"/>
      <c r="X63"/>
      <c r="Y63" s="90"/>
      <c r="Z63" s="94" t="s">
        <v>427</v>
      </c>
      <c r="AA63"/>
      <c r="AB63" s="90"/>
    </row>
    <row r="64" spans="20:28" x14ac:dyDescent="0.45">
      <c r="T64"/>
      <c r="U64" s="90"/>
      <c r="V64" s="90"/>
      <c r="W64"/>
      <c r="X64"/>
      <c r="Y64" s="90"/>
      <c r="Z64" s="94" t="s">
        <v>346</v>
      </c>
      <c r="AA64"/>
      <c r="AB64" s="90"/>
    </row>
    <row r="65" spans="20:28" x14ac:dyDescent="0.45">
      <c r="T65"/>
      <c r="U65" s="90"/>
      <c r="V65" s="90"/>
      <c r="W65"/>
      <c r="X65"/>
      <c r="Y65" s="90"/>
      <c r="Z65" s="94" t="s">
        <v>340</v>
      </c>
      <c r="AA65"/>
      <c r="AB65" s="90"/>
    </row>
    <row r="66" spans="20:28" x14ac:dyDescent="0.45">
      <c r="T66"/>
      <c r="U66" s="90"/>
      <c r="V66" s="90"/>
      <c r="W66"/>
      <c r="X66"/>
      <c r="Y66" s="90"/>
      <c r="Z66" s="94" t="s">
        <v>356</v>
      </c>
      <c r="AA66"/>
      <c r="AB66" s="90"/>
    </row>
    <row r="67" spans="20:28" x14ac:dyDescent="0.45">
      <c r="T67"/>
      <c r="U67" s="90"/>
      <c r="V67" s="90"/>
      <c r="W67"/>
      <c r="X67"/>
      <c r="Y67" s="90"/>
      <c r="Z67" s="94" t="s">
        <v>174</v>
      </c>
      <c r="AA67"/>
      <c r="AB67" s="90"/>
    </row>
    <row r="68" spans="20:28" x14ac:dyDescent="0.45">
      <c r="T68"/>
      <c r="U68" s="90"/>
      <c r="V68" s="90"/>
      <c r="W68"/>
      <c r="X68"/>
      <c r="Y68" s="90"/>
      <c r="Z68" s="94" t="s">
        <v>250</v>
      </c>
      <c r="AA68" s="90"/>
      <c r="AB68" s="90"/>
    </row>
    <row r="69" spans="20:28" x14ac:dyDescent="0.45">
      <c r="T69"/>
      <c r="U69" s="90"/>
      <c r="V69" s="90"/>
      <c r="W69"/>
      <c r="X69"/>
      <c r="Y69" s="90"/>
      <c r="Z69" s="94" t="s">
        <v>322</v>
      </c>
      <c r="AA69" s="90"/>
      <c r="AB69" s="90"/>
    </row>
    <row r="70" spans="20:28" x14ac:dyDescent="0.45">
      <c r="T70"/>
      <c r="U70" s="90"/>
      <c r="V70" s="90"/>
      <c r="W70"/>
      <c r="X70"/>
      <c r="Y70" s="90"/>
      <c r="Z70" s="94" t="s">
        <v>242</v>
      </c>
      <c r="AA70" s="90"/>
      <c r="AB70" s="90"/>
    </row>
    <row r="71" spans="20:28" x14ac:dyDescent="0.45">
      <c r="T71" s="90"/>
      <c r="U71" s="90"/>
      <c r="W71"/>
      <c r="X71"/>
      <c r="Y71" s="90"/>
      <c r="Z71" s="94" t="s">
        <v>257</v>
      </c>
    </row>
    <row r="72" spans="20:28" x14ac:dyDescent="0.45">
      <c r="T72" s="90"/>
      <c r="U72" s="90"/>
      <c r="W72"/>
      <c r="X72"/>
      <c r="Y72" s="90"/>
      <c r="Z72" s="94" t="s">
        <v>214</v>
      </c>
    </row>
    <row r="73" spans="20:28" x14ac:dyDescent="0.45">
      <c r="T73" s="90"/>
      <c r="U73" s="90"/>
      <c r="W73"/>
      <c r="X73"/>
      <c r="Y73" s="90"/>
      <c r="Z73" s="94" t="s">
        <v>388</v>
      </c>
    </row>
    <row r="74" spans="20:28" x14ac:dyDescent="0.45">
      <c r="T74" s="90"/>
      <c r="U74" s="90"/>
      <c r="W74"/>
      <c r="X74"/>
      <c r="Y74" s="90"/>
      <c r="Z74" s="94" t="s">
        <v>376</v>
      </c>
    </row>
    <row r="75" spans="20:28" x14ac:dyDescent="0.45">
      <c r="T75" s="90"/>
      <c r="U75" s="90"/>
      <c r="W75"/>
      <c r="X75"/>
      <c r="Y75" s="90"/>
      <c r="Z75" s="94" t="s">
        <v>188</v>
      </c>
    </row>
    <row r="76" spans="20:28" x14ac:dyDescent="0.45">
      <c r="T76" s="90"/>
      <c r="U76" s="90"/>
      <c r="W76"/>
      <c r="X76"/>
      <c r="Y76" s="90"/>
      <c r="Z76" s="94" t="s">
        <v>227</v>
      </c>
    </row>
    <row r="77" spans="20:28" x14ac:dyDescent="0.45">
      <c r="T77" s="90"/>
      <c r="U77" s="90"/>
      <c r="W77"/>
      <c r="X77"/>
      <c r="Y77" s="90"/>
      <c r="Z77" s="94" t="s">
        <v>205</v>
      </c>
    </row>
    <row r="78" spans="20:28" x14ac:dyDescent="0.45">
      <c r="T78" s="90"/>
      <c r="U78" s="90"/>
      <c r="W78"/>
      <c r="X78"/>
      <c r="Y78" s="90"/>
      <c r="Z78" s="94" t="s">
        <v>208</v>
      </c>
    </row>
    <row r="79" spans="20:28" x14ac:dyDescent="0.45">
      <c r="T79" s="90"/>
      <c r="U79" s="90"/>
      <c r="W79"/>
      <c r="X79"/>
      <c r="Y79" s="90"/>
      <c r="Z79" s="94" t="s">
        <v>229</v>
      </c>
    </row>
    <row r="80" spans="20:28" x14ac:dyDescent="0.45">
      <c r="T80" s="90"/>
      <c r="U80" s="90"/>
      <c r="W80"/>
      <c r="X80"/>
      <c r="Y80" s="90"/>
      <c r="Z80" s="94" t="s">
        <v>240</v>
      </c>
    </row>
    <row r="81" spans="20:26" x14ac:dyDescent="0.45">
      <c r="T81" s="90"/>
      <c r="U81" s="90"/>
      <c r="W81"/>
      <c r="X81"/>
      <c r="Y81" s="90"/>
      <c r="Z81" s="94" t="s">
        <v>253</v>
      </c>
    </row>
    <row r="82" spans="20:26" x14ac:dyDescent="0.45">
      <c r="T82" s="90"/>
      <c r="U82" s="90"/>
      <c r="W82"/>
      <c r="X82"/>
      <c r="Y82" s="90"/>
      <c r="Z82" s="94" t="s">
        <v>255</v>
      </c>
    </row>
    <row r="83" spans="20:26" x14ac:dyDescent="0.45">
      <c r="T83" s="90"/>
      <c r="U83" s="90"/>
      <c r="W83"/>
      <c r="X83"/>
      <c r="Y83" s="90"/>
      <c r="Z83" s="94" t="s">
        <v>268</v>
      </c>
    </row>
    <row r="84" spans="20:26" x14ac:dyDescent="0.45">
      <c r="T84" s="90"/>
      <c r="U84" s="90"/>
      <c r="W84"/>
      <c r="X84"/>
      <c r="Y84" s="90"/>
      <c r="Z84" s="94" t="s">
        <v>271</v>
      </c>
    </row>
    <row r="85" spans="20:26" x14ac:dyDescent="0.45">
      <c r="T85" s="90"/>
      <c r="U85" s="90"/>
      <c r="W85"/>
      <c r="X85"/>
      <c r="Y85" s="90"/>
      <c r="Z85" s="94" t="s">
        <v>276</v>
      </c>
    </row>
    <row r="86" spans="20:26" x14ac:dyDescent="0.45">
      <c r="T86" s="90"/>
      <c r="U86" s="90"/>
      <c r="W86"/>
      <c r="X86"/>
      <c r="Y86" s="90"/>
      <c r="Z86" s="94" t="s">
        <v>290</v>
      </c>
    </row>
    <row r="87" spans="20:26" x14ac:dyDescent="0.45">
      <c r="T87" s="90"/>
      <c r="U87" s="90"/>
      <c r="W87"/>
      <c r="X87"/>
      <c r="Y87" s="90"/>
      <c r="Z87" s="94" t="s">
        <v>291</v>
      </c>
    </row>
    <row r="88" spans="20:26" x14ac:dyDescent="0.45">
      <c r="T88" s="90"/>
      <c r="U88" s="90"/>
      <c r="W88"/>
      <c r="X88"/>
      <c r="Y88" s="90"/>
      <c r="Z88" s="94" t="s">
        <v>298</v>
      </c>
    </row>
    <row r="89" spans="20:26" x14ac:dyDescent="0.45">
      <c r="T89" s="90"/>
      <c r="U89" s="90"/>
      <c r="W89"/>
      <c r="X89"/>
      <c r="Y89" s="90"/>
      <c r="Z89" s="94" t="s">
        <v>302</v>
      </c>
    </row>
    <row r="90" spans="20:26" x14ac:dyDescent="0.45">
      <c r="T90" s="90"/>
      <c r="U90" s="90"/>
      <c r="W90"/>
      <c r="X90"/>
      <c r="Y90" s="90"/>
      <c r="Z90" s="94" t="s">
        <v>309</v>
      </c>
    </row>
    <row r="91" spans="20:26" x14ac:dyDescent="0.45">
      <c r="T91" s="90"/>
      <c r="U91" s="90"/>
      <c r="W91"/>
      <c r="X91"/>
      <c r="Z91" s="94" t="s">
        <v>311</v>
      </c>
    </row>
    <row r="92" spans="20:26" x14ac:dyDescent="0.45">
      <c r="W92"/>
      <c r="X92"/>
      <c r="Z92" s="94" t="s">
        <v>316</v>
      </c>
    </row>
    <row r="93" spans="20:26" x14ac:dyDescent="0.45">
      <c r="W93"/>
      <c r="X93"/>
      <c r="Z93" s="94" t="s">
        <v>319</v>
      </c>
    </row>
    <row r="94" spans="20:26" x14ac:dyDescent="0.45">
      <c r="W94"/>
      <c r="X94"/>
      <c r="Z94" s="94" t="s">
        <v>323</v>
      </c>
    </row>
    <row r="95" spans="20:26" x14ac:dyDescent="0.45">
      <c r="W95"/>
      <c r="X95"/>
      <c r="Z95" s="94" t="s">
        <v>325</v>
      </c>
    </row>
    <row r="96" spans="20:26" x14ac:dyDescent="0.45">
      <c r="W96"/>
      <c r="X96"/>
      <c r="Z96" s="94" t="s">
        <v>328</v>
      </c>
    </row>
    <row r="97" spans="23:26" x14ac:dyDescent="0.45">
      <c r="W97"/>
      <c r="X97"/>
      <c r="Z97" s="94" t="s">
        <v>330</v>
      </c>
    </row>
    <row r="98" spans="23:26" x14ac:dyDescent="0.45">
      <c r="W98"/>
      <c r="X98"/>
      <c r="Z98" s="94" t="s">
        <v>332</v>
      </c>
    </row>
    <row r="99" spans="23:26" x14ac:dyDescent="0.45">
      <c r="W99"/>
      <c r="X99"/>
      <c r="Z99" s="94" t="s">
        <v>336</v>
      </c>
    </row>
    <row r="100" spans="23:26" x14ac:dyDescent="0.45">
      <c r="W100"/>
      <c r="X100"/>
      <c r="Z100" s="94" t="s">
        <v>339</v>
      </c>
    </row>
    <row r="101" spans="23:26" x14ac:dyDescent="0.45">
      <c r="W101"/>
      <c r="X101"/>
      <c r="Z101" s="94" t="s">
        <v>344</v>
      </c>
    </row>
    <row r="102" spans="23:26" x14ac:dyDescent="0.45">
      <c r="W102"/>
      <c r="X102"/>
      <c r="Z102" s="94" t="s">
        <v>350</v>
      </c>
    </row>
    <row r="103" spans="23:26" x14ac:dyDescent="0.45">
      <c r="W103"/>
      <c r="X103"/>
      <c r="Z103" s="94" t="s">
        <v>352</v>
      </c>
    </row>
    <row r="104" spans="23:26" x14ac:dyDescent="0.45">
      <c r="W104"/>
      <c r="Z104" s="94" t="s">
        <v>353</v>
      </c>
    </row>
    <row r="105" spans="23:26" x14ac:dyDescent="0.45">
      <c r="W105"/>
      <c r="Z105" s="94" t="s">
        <v>357</v>
      </c>
    </row>
    <row r="106" spans="23:26" x14ac:dyDescent="0.45">
      <c r="W106"/>
      <c r="Z106" s="94" t="s">
        <v>358</v>
      </c>
    </row>
    <row r="107" spans="23:26" x14ac:dyDescent="0.45">
      <c r="W107"/>
      <c r="Z107" s="94" t="s">
        <v>360</v>
      </c>
    </row>
    <row r="108" spans="23:26" x14ac:dyDescent="0.45">
      <c r="W108"/>
      <c r="Z108" s="94" t="s">
        <v>362</v>
      </c>
    </row>
    <row r="109" spans="23:26" x14ac:dyDescent="0.45">
      <c r="W109"/>
      <c r="Z109" s="94" t="s">
        <v>364</v>
      </c>
    </row>
    <row r="110" spans="23:26" x14ac:dyDescent="0.45">
      <c r="W110"/>
      <c r="Z110" s="94" t="s">
        <v>366</v>
      </c>
    </row>
    <row r="111" spans="23:26" x14ac:dyDescent="0.45">
      <c r="W111"/>
      <c r="Z111" s="94" t="s">
        <v>367</v>
      </c>
    </row>
    <row r="112" spans="23:26" x14ac:dyDescent="0.45">
      <c r="W112"/>
      <c r="Z112" s="94" t="s">
        <v>369</v>
      </c>
    </row>
    <row r="113" spans="23:26" x14ac:dyDescent="0.45">
      <c r="W113"/>
      <c r="Z113" s="94" t="s">
        <v>370</v>
      </c>
    </row>
    <row r="114" spans="23:26" x14ac:dyDescent="0.45">
      <c r="W114"/>
      <c r="Z114" s="94" t="s">
        <v>371</v>
      </c>
    </row>
    <row r="115" spans="23:26" x14ac:dyDescent="0.45">
      <c r="W115"/>
      <c r="Z115" s="94" t="s">
        <v>373</v>
      </c>
    </row>
    <row r="116" spans="23:26" x14ac:dyDescent="0.45">
      <c r="W116"/>
      <c r="Z116" s="94" t="s">
        <v>378</v>
      </c>
    </row>
    <row r="117" spans="23:26" x14ac:dyDescent="0.45">
      <c r="Z117" s="94" t="s">
        <v>380</v>
      </c>
    </row>
    <row r="118" spans="23:26" x14ac:dyDescent="0.45">
      <c r="Z118" s="94" t="s">
        <v>381</v>
      </c>
    </row>
    <row r="119" spans="23:26" x14ac:dyDescent="0.45">
      <c r="Z119" s="94" t="s">
        <v>382</v>
      </c>
    </row>
    <row r="120" spans="23:26" x14ac:dyDescent="0.45">
      <c r="Z120" s="94" t="s">
        <v>385</v>
      </c>
    </row>
    <row r="121" spans="23:26" x14ac:dyDescent="0.45">
      <c r="Z121" s="94" t="s">
        <v>387</v>
      </c>
    </row>
    <row r="122" spans="23:26" x14ac:dyDescent="0.45">
      <c r="Z122" s="94" t="s">
        <v>389</v>
      </c>
    </row>
    <row r="123" spans="23:26" x14ac:dyDescent="0.45">
      <c r="Z123" s="94" t="s">
        <v>391</v>
      </c>
    </row>
    <row r="124" spans="23:26" x14ac:dyDescent="0.45">
      <c r="Z124" s="94" t="s">
        <v>392</v>
      </c>
    </row>
    <row r="125" spans="23:26" x14ac:dyDescent="0.45">
      <c r="Z125" s="94" t="s">
        <v>393</v>
      </c>
    </row>
    <row r="126" spans="23:26" x14ac:dyDescent="0.45">
      <c r="Z126" s="94" t="s">
        <v>395</v>
      </c>
    </row>
    <row r="127" spans="23:26" x14ac:dyDescent="0.45">
      <c r="Z127" s="94" t="s">
        <v>397</v>
      </c>
    </row>
    <row r="128" spans="23:26" x14ac:dyDescent="0.45">
      <c r="Z128" s="94" t="s">
        <v>399</v>
      </c>
    </row>
    <row r="129" spans="26:26" x14ac:dyDescent="0.45">
      <c r="Z129" s="94" t="s">
        <v>400</v>
      </c>
    </row>
    <row r="130" spans="26:26" x14ac:dyDescent="0.45">
      <c r="Z130" s="94" t="s">
        <v>409</v>
      </c>
    </row>
    <row r="131" spans="26:26" x14ac:dyDescent="0.45">
      <c r="Z131" s="94" t="s">
        <v>410</v>
      </c>
    </row>
    <row r="132" spans="26:26" x14ac:dyDescent="0.45">
      <c r="Z132" s="94" t="s">
        <v>411</v>
      </c>
    </row>
    <row r="133" spans="26:26" x14ac:dyDescent="0.45">
      <c r="Z133" s="94" t="s">
        <v>413</v>
      </c>
    </row>
    <row r="134" spans="26:26" x14ac:dyDescent="0.45">
      <c r="Z134" s="94" t="s">
        <v>414</v>
      </c>
    </row>
    <row r="135" spans="26:26" x14ac:dyDescent="0.45">
      <c r="Z135" s="94" t="s">
        <v>415</v>
      </c>
    </row>
    <row r="136" spans="26:26" x14ac:dyDescent="0.45">
      <c r="Z136" s="94" t="s">
        <v>416</v>
      </c>
    </row>
    <row r="137" spans="26:26" x14ac:dyDescent="0.45">
      <c r="Z137" s="94" t="s">
        <v>417</v>
      </c>
    </row>
    <row r="138" spans="26:26" x14ac:dyDescent="0.45">
      <c r="Z138" s="94" t="s">
        <v>421</v>
      </c>
    </row>
    <row r="139" spans="26:26" x14ac:dyDescent="0.45">
      <c r="Z139" s="94" t="s">
        <v>422</v>
      </c>
    </row>
    <row r="140" spans="26:26" x14ac:dyDescent="0.45">
      <c r="Z140" s="94" t="s">
        <v>423</v>
      </c>
    </row>
    <row r="141" spans="26:26" x14ac:dyDescent="0.45">
      <c r="Z141" s="94" t="s">
        <v>424</v>
      </c>
    </row>
    <row r="142" spans="26:26" x14ac:dyDescent="0.45">
      <c r="Z142" s="94" t="s">
        <v>425</v>
      </c>
    </row>
    <row r="143" spans="26:26" x14ac:dyDescent="0.45">
      <c r="Z143" s="94" t="s">
        <v>428</v>
      </c>
    </row>
    <row r="144" spans="26:26" x14ac:dyDescent="0.45">
      <c r="Z144" s="94" t="s">
        <v>430</v>
      </c>
    </row>
    <row r="145" spans="26:26" x14ac:dyDescent="0.45">
      <c r="Z145" s="94" t="s">
        <v>433</v>
      </c>
    </row>
    <row r="146" spans="26:26" x14ac:dyDescent="0.45">
      <c r="Z146" s="94" t="s">
        <v>435</v>
      </c>
    </row>
    <row r="147" spans="26:26" x14ac:dyDescent="0.45">
      <c r="Z147" s="94" t="s">
        <v>436</v>
      </c>
    </row>
    <row r="148" spans="26:26" x14ac:dyDescent="0.45">
      <c r="Z148" s="94" t="s">
        <v>438</v>
      </c>
    </row>
    <row r="149" spans="26:26" x14ac:dyDescent="0.45">
      <c r="Z149" s="94" t="s">
        <v>439</v>
      </c>
    </row>
    <row r="150" spans="26:26" x14ac:dyDescent="0.45">
      <c r="Z150" s="94" t="s">
        <v>440</v>
      </c>
    </row>
    <row r="151" spans="26:26" x14ac:dyDescent="0.45">
      <c r="Z151" s="94" t="s">
        <v>443</v>
      </c>
    </row>
    <row r="152" spans="26:26" x14ac:dyDescent="0.45">
      <c r="Z152" s="94" t="s">
        <v>446</v>
      </c>
    </row>
    <row r="153" spans="26:26" x14ac:dyDescent="0.45">
      <c r="Z153" s="94" t="s">
        <v>449</v>
      </c>
    </row>
    <row r="154" spans="26:26" x14ac:dyDescent="0.45">
      <c r="Z154" s="94" t="s">
        <v>450</v>
      </c>
    </row>
    <row r="155" spans="26:26" x14ac:dyDescent="0.45">
      <c r="Z155" s="94" t="s">
        <v>451</v>
      </c>
    </row>
    <row r="156" spans="26:26" x14ac:dyDescent="0.45">
      <c r="Z156" s="94" t="s">
        <v>453</v>
      </c>
    </row>
    <row r="157" spans="26:26" x14ac:dyDescent="0.45">
      <c r="Z157" s="94" t="s">
        <v>454</v>
      </c>
    </row>
    <row r="158" spans="26:26" x14ac:dyDescent="0.45">
      <c r="Z158" s="94" t="s">
        <v>457</v>
      </c>
    </row>
    <row r="159" spans="26:26" x14ac:dyDescent="0.45">
      <c r="Z159" s="94" t="s">
        <v>459</v>
      </c>
    </row>
    <row r="160" spans="26:26" x14ac:dyDescent="0.45">
      <c r="Z160" s="94" t="s">
        <v>463</v>
      </c>
    </row>
    <row r="161" spans="26:26" x14ac:dyDescent="0.45">
      <c r="Z161" s="94" t="s">
        <v>781</v>
      </c>
    </row>
    <row r="162" spans="26:26" x14ac:dyDescent="0.45">
      <c r="Z162"/>
    </row>
    <row r="163" spans="26:26" x14ac:dyDescent="0.45">
      <c r="Z163"/>
    </row>
    <row r="164" spans="26:26" x14ac:dyDescent="0.45">
      <c r="Z164"/>
    </row>
    <row r="165" spans="26:26" x14ac:dyDescent="0.45">
      <c r="Z165"/>
    </row>
    <row r="166" spans="26:26" x14ac:dyDescent="0.45">
      <c r="Z166"/>
    </row>
    <row r="167" spans="26:26" x14ac:dyDescent="0.45">
      <c r="Z167"/>
    </row>
    <row r="168" spans="26:26" x14ac:dyDescent="0.45">
      <c r="Z168"/>
    </row>
    <row r="169" spans="26:26" x14ac:dyDescent="0.45">
      <c r="Z169"/>
    </row>
    <row r="170" spans="26:26" x14ac:dyDescent="0.45">
      <c r="Z170"/>
    </row>
    <row r="171" spans="26:26" x14ac:dyDescent="0.45">
      <c r="Z171"/>
    </row>
    <row r="172" spans="26:26" x14ac:dyDescent="0.45">
      <c r="Z172"/>
    </row>
    <row r="173" spans="26:26" x14ac:dyDescent="0.45">
      <c r="Z173"/>
    </row>
    <row r="174" spans="26:26" x14ac:dyDescent="0.45">
      <c r="Z174"/>
    </row>
    <row r="175" spans="26:26" x14ac:dyDescent="0.45">
      <c r="Z175"/>
    </row>
    <row r="176" spans="26:26" x14ac:dyDescent="0.45">
      <c r="Z176"/>
    </row>
    <row r="177" spans="26:26" x14ac:dyDescent="0.45">
      <c r="Z177"/>
    </row>
    <row r="178" spans="26:26" x14ac:dyDescent="0.45">
      <c r="Z178"/>
    </row>
    <row r="179" spans="26:26" x14ac:dyDescent="0.45">
      <c r="Z179"/>
    </row>
    <row r="180" spans="26:26" x14ac:dyDescent="0.45">
      <c r="Z180"/>
    </row>
    <row r="181" spans="26:26" x14ac:dyDescent="0.45">
      <c r="Z181"/>
    </row>
    <row r="182" spans="26:26" x14ac:dyDescent="0.45">
      <c r="Z182"/>
    </row>
    <row r="183" spans="26:26" x14ac:dyDescent="0.45">
      <c r="Z183"/>
    </row>
    <row r="184" spans="26:26" x14ac:dyDescent="0.45">
      <c r="Z184"/>
    </row>
    <row r="185" spans="26:26" x14ac:dyDescent="0.45">
      <c r="Z185"/>
    </row>
    <row r="186" spans="26:26" x14ac:dyDescent="0.45">
      <c r="Z186"/>
    </row>
    <row r="187" spans="26:26" x14ac:dyDescent="0.45">
      <c r="Z187"/>
    </row>
    <row r="188" spans="26:26" x14ac:dyDescent="0.45">
      <c r="Z188"/>
    </row>
    <row r="189" spans="26:26" x14ac:dyDescent="0.45">
      <c r="Z189"/>
    </row>
    <row r="190" spans="26:26" x14ac:dyDescent="0.45">
      <c r="Z190"/>
    </row>
    <row r="191" spans="26:26" x14ac:dyDescent="0.45">
      <c r="Z191"/>
    </row>
    <row r="192" spans="26:26" x14ac:dyDescent="0.45">
      <c r="Z192"/>
    </row>
    <row r="193" spans="26:26" x14ac:dyDescent="0.45">
      <c r="Z193"/>
    </row>
    <row r="194" spans="26:26" x14ac:dyDescent="0.45">
      <c r="Z194"/>
    </row>
    <row r="195" spans="26:26" x14ac:dyDescent="0.45">
      <c r="Z195"/>
    </row>
    <row r="196" spans="26:26" x14ac:dyDescent="0.45">
      <c r="Z196"/>
    </row>
    <row r="197" spans="26:26" x14ac:dyDescent="0.45">
      <c r="Z197"/>
    </row>
    <row r="198" spans="26:26" x14ac:dyDescent="0.45">
      <c r="Z198"/>
    </row>
    <row r="199" spans="26:26" x14ac:dyDescent="0.45">
      <c r="Z199"/>
    </row>
    <row r="200" spans="26:26" x14ac:dyDescent="0.45">
      <c r="Z200"/>
    </row>
    <row r="201" spans="26:26" x14ac:dyDescent="0.45">
      <c r="Z201"/>
    </row>
    <row r="202" spans="26:26" x14ac:dyDescent="0.45">
      <c r="Z202"/>
    </row>
    <row r="203" spans="26:26" x14ac:dyDescent="0.45">
      <c r="Z203"/>
    </row>
    <row r="204" spans="26:26" x14ac:dyDescent="0.45">
      <c r="Z204"/>
    </row>
    <row r="205" spans="26:26" x14ac:dyDescent="0.45">
      <c r="Z205"/>
    </row>
    <row r="206" spans="26:26" x14ac:dyDescent="0.45">
      <c r="Z206"/>
    </row>
    <row r="207" spans="26:26" x14ac:dyDescent="0.45">
      <c r="Z207"/>
    </row>
    <row r="208" spans="26:26" x14ac:dyDescent="0.45">
      <c r="Z208"/>
    </row>
    <row r="209" spans="26:26" x14ac:dyDescent="0.45">
      <c r="Z209"/>
    </row>
    <row r="210" spans="26:26" x14ac:dyDescent="0.45">
      <c r="Z210"/>
    </row>
    <row r="211" spans="26:26" x14ac:dyDescent="0.45">
      <c r="Z211"/>
    </row>
    <row r="212" spans="26:26" x14ac:dyDescent="0.45">
      <c r="Z212"/>
    </row>
    <row r="213" spans="26:26" x14ac:dyDescent="0.45">
      <c r="Z213"/>
    </row>
    <row r="214" spans="26:26" x14ac:dyDescent="0.45">
      <c r="Z214"/>
    </row>
    <row r="215" spans="26:26" x14ac:dyDescent="0.45">
      <c r="Z215"/>
    </row>
    <row r="216" spans="26:26" x14ac:dyDescent="0.45">
      <c r="Z216"/>
    </row>
    <row r="217" spans="26:26" x14ac:dyDescent="0.45">
      <c r="Z217"/>
    </row>
    <row r="218" spans="26:26" x14ac:dyDescent="0.45">
      <c r="Z218"/>
    </row>
    <row r="219" spans="26:26" x14ac:dyDescent="0.45">
      <c r="Z219"/>
    </row>
    <row r="220" spans="26:26" x14ac:dyDescent="0.45">
      <c r="Z220"/>
    </row>
    <row r="221" spans="26:26" x14ac:dyDescent="0.45">
      <c r="Z221"/>
    </row>
    <row r="222" spans="26:26" x14ac:dyDescent="0.45">
      <c r="Z222"/>
    </row>
    <row r="223" spans="26:26" x14ac:dyDescent="0.45">
      <c r="Z223"/>
    </row>
    <row r="224" spans="26:26" x14ac:dyDescent="0.45">
      <c r="Z224"/>
    </row>
    <row r="225" spans="26:26" x14ac:dyDescent="0.45">
      <c r="Z225"/>
    </row>
    <row r="226" spans="26:26" x14ac:dyDescent="0.45">
      <c r="Z226"/>
    </row>
    <row r="227" spans="26:26" x14ac:dyDescent="0.45">
      <c r="Z227"/>
    </row>
    <row r="228" spans="26:26" x14ac:dyDescent="0.45">
      <c r="Z228"/>
    </row>
    <row r="229" spans="26:26" x14ac:dyDescent="0.45">
      <c r="Z229"/>
    </row>
    <row r="230" spans="26:26" x14ac:dyDescent="0.45">
      <c r="Z230"/>
    </row>
    <row r="231" spans="26:26" x14ac:dyDescent="0.45">
      <c r="Z231"/>
    </row>
    <row r="232" spans="26:26" x14ac:dyDescent="0.45">
      <c r="Z232"/>
    </row>
    <row r="233" spans="26:26" x14ac:dyDescent="0.45">
      <c r="Z233"/>
    </row>
    <row r="234" spans="26:26" x14ac:dyDescent="0.45">
      <c r="Z234"/>
    </row>
    <row r="235" spans="26:26" x14ac:dyDescent="0.45">
      <c r="Z235"/>
    </row>
    <row r="236" spans="26:26" x14ac:dyDescent="0.45">
      <c r="Z236"/>
    </row>
    <row r="237" spans="26:26" x14ac:dyDescent="0.45">
      <c r="Z237"/>
    </row>
    <row r="238" spans="26:26" x14ac:dyDescent="0.45">
      <c r="Z238"/>
    </row>
    <row r="239" spans="26:26" x14ac:dyDescent="0.45">
      <c r="Z239"/>
    </row>
    <row r="240" spans="26:26" x14ac:dyDescent="0.45">
      <c r="Z240"/>
    </row>
    <row r="241" spans="26:26" x14ac:dyDescent="0.45">
      <c r="Z241"/>
    </row>
    <row r="242" spans="26:26" x14ac:dyDescent="0.45">
      <c r="Z242"/>
    </row>
    <row r="243" spans="26:26" x14ac:dyDescent="0.45">
      <c r="Z243"/>
    </row>
    <row r="244" spans="26:26" x14ac:dyDescent="0.45">
      <c r="Z244"/>
    </row>
    <row r="245" spans="26:26" x14ac:dyDescent="0.45">
      <c r="Z245"/>
    </row>
    <row r="246" spans="26:26" x14ac:dyDescent="0.45">
      <c r="Z246"/>
    </row>
    <row r="247" spans="26:26" x14ac:dyDescent="0.45">
      <c r="Z247"/>
    </row>
    <row r="248" spans="26:26" x14ac:dyDescent="0.45">
      <c r="Z248"/>
    </row>
    <row r="249" spans="26:26" x14ac:dyDescent="0.45">
      <c r="Z249"/>
    </row>
    <row r="250" spans="26:26" x14ac:dyDescent="0.45">
      <c r="Z250"/>
    </row>
    <row r="251" spans="26:26" x14ac:dyDescent="0.45">
      <c r="Z251"/>
    </row>
    <row r="252" spans="26:26" x14ac:dyDescent="0.45">
      <c r="Z252"/>
    </row>
    <row r="253" spans="26:26" x14ac:dyDescent="0.45">
      <c r="Z253"/>
    </row>
    <row r="254" spans="26:26" x14ac:dyDescent="0.45">
      <c r="Z254"/>
    </row>
    <row r="255" spans="26:26" x14ac:dyDescent="0.45">
      <c r="Z255"/>
    </row>
    <row r="256" spans="26:26" x14ac:dyDescent="0.45">
      <c r="Z256"/>
    </row>
    <row r="257" spans="26:26" x14ac:dyDescent="0.45">
      <c r="Z257"/>
    </row>
    <row r="258" spans="26:26" x14ac:dyDescent="0.45">
      <c r="Z258"/>
    </row>
    <row r="259" spans="26:26" x14ac:dyDescent="0.45">
      <c r="Z259"/>
    </row>
    <row r="260" spans="26:26" x14ac:dyDescent="0.45">
      <c r="Z260"/>
    </row>
    <row r="261" spans="26:26" x14ac:dyDescent="0.45">
      <c r="Z261"/>
    </row>
    <row r="262" spans="26:26" x14ac:dyDescent="0.45">
      <c r="Z262"/>
    </row>
    <row r="263" spans="26:26" x14ac:dyDescent="0.45">
      <c r="Z263"/>
    </row>
    <row r="264" spans="26:26" x14ac:dyDescent="0.45">
      <c r="Z264"/>
    </row>
    <row r="265" spans="26:26" x14ac:dyDescent="0.45">
      <c r="Z265"/>
    </row>
    <row r="266" spans="26:26" x14ac:dyDescent="0.45">
      <c r="Z266"/>
    </row>
    <row r="267" spans="26:26" x14ac:dyDescent="0.45">
      <c r="Z267"/>
    </row>
    <row r="268" spans="26:26" x14ac:dyDescent="0.45">
      <c r="Z268"/>
    </row>
    <row r="269" spans="26:26" x14ac:dyDescent="0.45">
      <c r="Z269"/>
    </row>
    <row r="270" spans="26:26" x14ac:dyDescent="0.45">
      <c r="Z270"/>
    </row>
    <row r="271" spans="26:26" x14ac:dyDescent="0.45">
      <c r="Z271"/>
    </row>
    <row r="272" spans="26:26" x14ac:dyDescent="0.45">
      <c r="Z272"/>
    </row>
    <row r="273" spans="26:26" x14ac:dyDescent="0.45">
      <c r="Z273"/>
    </row>
    <row r="274" spans="26:26" x14ac:dyDescent="0.45">
      <c r="Z274"/>
    </row>
    <row r="275" spans="26:26" x14ac:dyDescent="0.45">
      <c r="Z275"/>
    </row>
    <row r="276" spans="26:26" x14ac:dyDescent="0.45">
      <c r="Z276"/>
    </row>
    <row r="277" spans="26:26" x14ac:dyDescent="0.45">
      <c r="Z277"/>
    </row>
    <row r="278" spans="26:26" x14ac:dyDescent="0.45">
      <c r="Z278"/>
    </row>
    <row r="279" spans="26:26" x14ac:dyDescent="0.45">
      <c r="Z279"/>
    </row>
    <row r="280" spans="26:26" x14ac:dyDescent="0.45">
      <c r="Z280"/>
    </row>
    <row r="281" spans="26:26" x14ac:dyDescent="0.45">
      <c r="Z281"/>
    </row>
    <row r="282" spans="26:26" x14ac:dyDescent="0.45">
      <c r="Z282"/>
    </row>
    <row r="283" spans="26:26" x14ac:dyDescent="0.45">
      <c r="Z283"/>
    </row>
    <row r="284" spans="26:26" x14ac:dyDescent="0.45">
      <c r="Z284"/>
    </row>
    <row r="285" spans="26:26" x14ac:dyDescent="0.45">
      <c r="Z285"/>
    </row>
    <row r="286" spans="26:26" x14ac:dyDescent="0.45">
      <c r="Z286"/>
    </row>
    <row r="287" spans="26:26" x14ac:dyDescent="0.45">
      <c r="Z287"/>
    </row>
    <row r="288" spans="26:26" x14ac:dyDescent="0.45">
      <c r="Z288"/>
    </row>
    <row r="289" spans="26:26" x14ac:dyDescent="0.45">
      <c r="Z289"/>
    </row>
    <row r="290" spans="26:26" x14ac:dyDescent="0.45">
      <c r="Z290"/>
    </row>
    <row r="291" spans="26:26" x14ac:dyDescent="0.45">
      <c r="Z291"/>
    </row>
    <row r="292" spans="26:26" x14ac:dyDescent="0.45">
      <c r="Z292"/>
    </row>
    <row r="293" spans="26:26" x14ac:dyDescent="0.45">
      <c r="Z293"/>
    </row>
    <row r="294" spans="26:26" x14ac:dyDescent="0.45">
      <c r="Z294"/>
    </row>
    <row r="295" spans="26:26" x14ac:dyDescent="0.45">
      <c r="Z295"/>
    </row>
    <row r="296" spans="26:26" x14ac:dyDescent="0.45">
      <c r="Z296"/>
    </row>
    <row r="297" spans="26:26" x14ac:dyDescent="0.45">
      <c r="Z297"/>
    </row>
    <row r="298" spans="26:26" x14ac:dyDescent="0.45">
      <c r="Z298"/>
    </row>
    <row r="299" spans="26:26" x14ac:dyDescent="0.45">
      <c r="Z299"/>
    </row>
    <row r="300" spans="26:26" x14ac:dyDescent="0.45">
      <c r="Z300"/>
    </row>
    <row r="301" spans="26:26" x14ac:dyDescent="0.45">
      <c r="Z301"/>
    </row>
    <row r="302" spans="26:26" x14ac:dyDescent="0.45">
      <c r="Z302"/>
    </row>
    <row r="303" spans="26:26" x14ac:dyDescent="0.45">
      <c r="Z303"/>
    </row>
    <row r="304" spans="26:26" x14ac:dyDescent="0.45">
      <c r="Z304"/>
    </row>
    <row r="305" spans="26:26" x14ac:dyDescent="0.45">
      <c r="Z305"/>
    </row>
    <row r="306" spans="26:26" x14ac:dyDescent="0.45">
      <c r="Z306"/>
    </row>
    <row r="307" spans="26:26" x14ac:dyDescent="0.45">
      <c r="Z307"/>
    </row>
    <row r="308" spans="26:26" x14ac:dyDescent="0.45">
      <c r="Z308"/>
    </row>
    <row r="309" spans="26:26" x14ac:dyDescent="0.45">
      <c r="Z309"/>
    </row>
    <row r="310" spans="26:26" x14ac:dyDescent="0.45">
      <c r="Z310"/>
    </row>
    <row r="311" spans="26:26" x14ac:dyDescent="0.45">
      <c r="Z311"/>
    </row>
    <row r="312" spans="26:26" x14ac:dyDescent="0.45">
      <c r="Z312"/>
    </row>
    <row r="313" spans="26:26" x14ac:dyDescent="0.45">
      <c r="Z313"/>
    </row>
    <row r="314" spans="26:26" x14ac:dyDescent="0.45">
      <c r="Z314"/>
    </row>
    <row r="315" spans="26:26" x14ac:dyDescent="0.45">
      <c r="Z315"/>
    </row>
    <row r="316" spans="26:26" x14ac:dyDescent="0.45">
      <c r="Z316"/>
    </row>
    <row r="317" spans="26:26" x14ac:dyDescent="0.45">
      <c r="Z317"/>
    </row>
    <row r="318" spans="26:26" x14ac:dyDescent="0.45">
      <c r="Z318"/>
    </row>
    <row r="319" spans="26:26" x14ac:dyDescent="0.45">
      <c r="Z319"/>
    </row>
    <row r="320" spans="26:26" x14ac:dyDescent="0.45">
      <c r="Z320"/>
    </row>
    <row r="321" spans="26:26" x14ac:dyDescent="0.45">
      <c r="Z321"/>
    </row>
    <row r="322" spans="26:26" x14ac:dyDescent="0.45">
      <c r="Z322"/>
    </row>
    <row r="323" spans="26:26" x14ac:dyDescent="0.45">
      <c r="Z323"/>
    </row>
    <row r="324" spans="26:26" x14ac:dyDescent="0.45">
      <c r="Z324"/>
    </row>
    <row r="325" spans="26:26" x14ac:dyDescent="0.45">
      <c r="Z325"/>
    </row>
    <row r="326" spans="26:26" x14ac:dyDescent="0.45">
      <c r="Z326"/>
    </row>
    <row r="327" spans="26:26" x14ac:dyDescent="0.45">
      <c r="Z327"/>
    </row>
    <row r="328" spans="26:26" x14ac:dyDescent="0.45">
      <c r="Z328"/>
    </row>
    <row r="329" spans="26:26" x14ac:dyDescent="0.45">
      <c r="Z329"/>
    </row>
    <row r="330" spans="26:26" x14ac:dyDescent="0.45">
      <c r="Z330"/>
    </row>
    <row r="331" spans="26:26" x14ac:dyDescent="0.45">
      <c r="Z331"/>
    </row>
    <row r="332" spans="26:26" x14ac:dyDescent="0.45">
      <c r="Z332"/>
    </row>
    <row r="333" spans="26:26" x14ac:dyDescent="0.45">
      <c r="Z333"/>
    </row>
    <row r="334" spans="26:26" x14ac:dyDescent="0.45">
      <c r="Z334"/>
    </row>
    <row r="335" spans="26:26" x14ac:dyDescent="0.45">
      <c r="Z335"/>
    </row>
    <row r="336" spans="26:26" x14ac:dyDescent="0.45">
      <c r="Z336"/>
    </row>
    <row r="337" spans="26:26" x14ac:dyDescent="0.45">
      <c r="Z337"/>
    </row>
    <row r="338" spans="26:26" x14ac:dyDescent="0.45">
      <c r="Z338"/>
    </row>
    <row r="339" spans="26:26" x14ac:dyDescent="0.45">
      <c r="Z339"/>
    </row>
    <row r="340" spans="26:26" x14ac:dyDescent="0.45">
      <c r="Z340"/>
    </row>
    <row r="341" spans="26:26" x14ac:dyDescent="0.45">
      <c r="Z341"/>
    </row>
    <row r="342" spans="26:26" x14ac:dyDescent="0.45">
      <c r="Z342"/>
    </row>
    <row r="343" spans="26:26" x14ac:dyDescent="0.45">
      <c r="Z343"/>
    </row>
    <row r="344" spans="26:26" x14ac:dyDescent="0.45">
      <c r="Z344"/>
    </row>
    <row r="345" spans="26:26" x14ac:dyDescent="0.45">
      <c r="Z345"/>
    </row>
    <row r="346" spans="26:26" x14ac:dyDescent="0.45">
      <c r="Z346"/>
    </row>
    <row r="347" spans="26:26" x14ac:dyDescent="0.45">
      <c r="Z347"/>
    </row>
    <row r="348" spans="26:26" x14ac:dyDescent="0.45">
      <c r="Z348"/>
    </row>
    <row r="349" spans="26:26" x14ac:dyDescent="0.45">
      <c r="Z349"/>
    </row>
    <row r="350" spans="26:26" x14ac:dyDescent="0.45">
      <c r="Z350"/>
    </row>
    <row r="351" spans="26:26" x14ac:dyDescent="0.45">
      <c r="Z351"/>
    </row>
    <row r="352" spans="26:26" x14ac:dyDescent="0.45">
      <c r="Z352"/>
    </row>
    <row r="353" spans="26:26" x14ac:dyDescent="0.45">
      <c r="Z353"/>
    </row>
    <row r="354" spans="26:26" x14ac:dyDescent="0.45">
      <c r="Z354"/>
    </row>
    <row r="355" spans="26:26" x14ac:dyDescent="0.45">
      <c r="Z355"/>
    </row>
    <row r="356" spans="26:26" x14ac:dyDescent="0.45">
      <c r="Z356"/>
    </row>
    <row r="357" spans="26:26" x14ac:dyDescent="0.45">
      <c r="Z357"/>
    </row>
    <row r="358" spans="26:26" x14ac:dyDescent="0.45">
      <c r="Z358"/>
    </row>
    <row r="359" spans="26:26" x14ac:dyDescent="0.45">
      <c r="Z359"/>
    </row>
    <row r="360" spans="26:26" x14ac:dyDescent="0.45">
      <c r="Z360"/>
    </row>
    <row r="361" spans="26:26" x14ac:dyDescent="0.45">
      <c r="Z361"/>
    </row>
    <row r="362" spans="26:26" x14ac:dyDescent="0.45">
      <c r="Z362"/>
    </row>
    <row r="363" spans="26:26" x14ac:dyDescent="0.45">
      <c r="Z363"/>
    </row>
    <row r="364" spans="26:26" x14ac:dyDescent="0.45">
      <c r="Z364"/>
    </row>
    <row r="365" spans="26:26" x14ac:dyDescent="0.45">
      <c r="Z365"/>
    </row>
    <row r="366" spans="26:26" x14ac:dyDescent="0.45">
      <c r="Z366"/>
    </row>
    <row r="367" spans="26:26" x14ac:dyDescent="0.45">
      <c r="Z367"/>
    </row>
    <row r="368" spans="26:26" x14ac:dyDescent="0.45">
      <c r="Z368"/>
    </row>
    <row r="369" spans="26:26" x14ac:dyDescent="0.45">
      <c r="Z369"/>
    </row>
    <row r="370" spans="26:26" x14ac:dyDescent="0.45">
      <c r="Z370"/>
    </row>
    <row r="371" spans="26:26" x14ac:dyDescent="0.45">
      <c r="Z371"/>
    </row>
    <row r="372" spans="26:26" x14ac:dyDescent="0.45">
      <c r="Z372"/>
    </row>
    <row r="373" spans="26:26" x14ac:dyDescent="0.45">
      <c r="Z373"/>
    </row>
    <row r="374" spans="26:26" x14ac:dyDescent="0.45">
      <c r="Z374"/>
    </row>
    <row r="375" spans="26:26" x14ac:dyDescent="0.45">
      <c r="Z375"/>
    </row>
    <row r="376" spans="26:26" x14ac:dyDescent="0.45">
      <c r="Z376"/>
    </row>
    <row r="377" spans="26:26" x14ac:dyDescent="0.45">
      <c r="Z377"/>
    </row>
    <row r="378" spans="26:26" x14ac:dyDescent="0.45">
      <c r="Z378"/>
    </row>
    <row r="379" spans="26:26" x14ac:dyDescent="0.45">
      <c r="Z379"/>
    </row>
    <row r="380" spans="26:26" x14ac:dyDescent="0.45">
      <c r="Z380"/>
    </row>
    <row r="381" spans="26:26" x14ac:dyDescent="0.45">
      <c r="Z381"/>
    </row>
    <row r="382" spans="26:26" x14ac:dyDescent="0.45">
      <c r="Z382"/>
    </row>
    <row r="383" spans="26:26" x14ac:dyDescent="0.45">
      <c r="Z383"/>
    </row>
    <row r="384" spans="26:26" x14ac:dyDescent="0.45">
      <c r="Z384"/>
    </row>
    <row r="385" spans="26:26" x14ac:dyDescent="0.45">
      <c r="Z385"/>
    </row>
    <row r="386" spans="26:26" x14ac:dyDescent="0.45">
      <c r="Z386"/>
    </row>
    <row r="387" spans="26:26" x14ac:dyDescent="0.45">
      <c r="Z387"/>
    </row>
    <row r="388" spans="26:26" x14ac:dyDescent="0.45">
      <c r="Z388"/>
    </row>
    <row r="389" spans="26:26" x14ac:dyDescent="0.45">
      <c r="Z389"/>
    </row>
    <row r="390" spans="26:26" x14ac:dyDescent="0.45">
      <c r="Z390"/>
    </row>
    <row r="391" spans="26:26" x14ac:dyDescent="0.45">
      <c r="Z391"/>
    </row>
    <row r="392" spans="26:26" x14ac:dyDescent="0.45">
      <c r="Z392"/>
    </row>
    <row r="393" spans="26:26" x14ac:dyDescent="0.45">
      <c r="Z393"/>
    </row>
    <row r="394" spans="26:26" x14ac:dyDescent="0.45">
      <c r="Z394"/>
    </row>
    <row r="395" spans="26:26" x14ac:dyDescent="0.45">
      <c r="Z395"/>
    </row>
    <row r="396" spans="26:26" x14ac:dyDescent="0.45">
      <c r="Z396"/>
    </row>
    <row r="397" spans="26:26" x14ac:dyDescent="0.45">
      <c r="Z397"/>
    </row>
    <row r="398" spans="26:26" x14ac:dyDescent="0.45">
      <c r="Z398"/>
    </row>
    <row r="399" spans="26:26" x14ac:dyDescent="0.45">
      <c r="Z399"/>
    </row>
    <row r="400" spans="26:26" x14ac:dyDescent="0.45">
      <c r="Z400"/>
    </row>
    <row r="401" spans="26:26" x14ac:dyDescent="0.45">
      <c r="Z401"/>
    </row>
    <row r="402" spans="26:26" x14ac:dyDescent="0.45">
      <c r="Z402"/>
    </row>
    <row r="403" spans="26:26" x14ac:dyDescent="0.45">
      <c r="Z403"/>
    </row>
    <row r="404" spans="26:26" x14ac:dyDescent="0.45">
      <c r="Z404"/>
    </row>
    <row r="405" spans="26:26" x14ac:dyDescent="0.45">
      <c r="Z405"/>
    </row>
    <row r="406" spans="26:26" x14ac:dyDescent="0.45">
      <c r="Z406"/>
    </row>
    <row r="407" spans="26:26" x14ac:dyDescent="0.45">
      <c r="Z407"/>
    </row>
    <row r="408" spans="26:26" x14ac:dyDescent="0.45">
      <c r="Z408"/>
    </row>
    <row r="409" spans="26:26" x14ac:dyDescent="0.45">
      <c r="Z409"/>
    </row>
    <row r="410" spans="26:26" x14ac:dyDescent="0.45">
      <c r="Z410"/>
    </row>
    <row r="411" spans="26:26" x14ac:dyDescent="0.45">
      <c r="Z411"/>
    </row>
    <row r="412" spans="26:26" x14ac:dyDescent="0.45">
      <c r="Z412"/>
    </row>
    <row r="413" spans="26:26" x14ac:dyDescent="0.45">
      <c r="Z413"/>
    </row>
    <row r="414" spans="26:26" x14ac:dyDescent="0.45">
      <c r="Z414"/>
    </row>
    <row r="415" spans="26:26" x14ac:dyDescent="0.45">
      <c r="Z415"/>
    </row>
    <row r="416" spans="26:26" x14ac:dyDescent="0.45">
      <c r="Z416"/>
    </row>
    <row r="417" spans="26:26" x14ac:dyDescent="0.45">
      <c r="Z417"/>
    </row>
    <row r="418" spans="26:26" x14ac:dyDescent="0.45">
      <c r="Z418"/>
    </row>
    <row r="419" spans="26:26" x14ac:dyDescent="0.45">
      <c r="Z419"/>
    </row>
    <row r="420" spans="26:26" x14ac:dyDescent="0.45">
      <c r="Z420"/>
    </row>
    <row r="421" spans="26:26" x14ac:dyDescent="0.45">
      <c r="Z421"/>
    </row>
    <row r="422" spans="26:26" x14ac:dyDescent="0.45">
      <c r="Z422"/>
    </row>
    <row r="423" spans="26:26" x14ac:dyDescent="0.45">
      <c r="Z423"/>
    </row>
    <row r="424" spans="26:26" x14ac:dyDescent="0.45">
      <c r="Z424"/>
    </row>
    <row r="425" spans="26:26" x14ac:dyDescent="0.45">
      <c r="Z425"/>
    </row>
    <row r="426" spans="26:26" x14ac:dyDescent="0.45">
      <c r="Z426"/>
    </row>
    <row r="427" spans="26:26" x14ac:dyDescent="0.45">
      <c r="Z427"/>
    </row>
    <row r="428" spans="26:26" x14ac:dyDescent="0.45">
      <c r="Z428"/>
    </row>
    <row r="429" spans="26:26" x14ac:dyDescent="0.45">
      <c r="Z429"/>
    </row>
    <row r="430" spans="26:26" x14ac:dyDescent="0.45">
      <c r="Z430"/>
    </row>
    <row r="431" spans="26:26" x14ac:dyDescent="0.45">
      <c r="Z431"/>
    </row>
    <row r="432" spans="26:26" x14ac:dyDescent="0.45">
      <c r="Z432"/>
    </row>
    <row r="433" spans="26:26" x14ac:dyDescent="0.45">
      <c r="Z433"/>
    </row>
    <row r="434" spans="26:26" x14ac:dyDescent="0.45">
      <c r="Z434"/>
    </row>
    <row r="435" spans="26:26" x14ac:dyDescent="0.45">
      <c r="Z435"/>
    </row>
    <row r="436" spans="26:26" x14ac:dyDescent="0.45">
      <c r="Z436"/>
    </row>
    <row r="437" spans="26:26" x14ac:dyDescent="0.45">
      <c r="Z437"/>
    </row>
    <row r="438" spans="26:26" x14ac:dyDescent="0.45">
      <c r="Z438"/>
    </row>
    <row r="439" spans="26:26" x14ac:dyDescent="0.45">
      <c r="Z439"/>
    </row>
    <row r="440" spans="26:26" x14ac:dyDescent="0.45">
      <c r="Z440"/>
    </row>
    <row r="441" spans="26:26" x14ac:dyDescent="0.45">
      <c r="Z441"/>
    </row>
    <row r="442" spans="26:26" x14ac:dyDescent="0.45">
      <c r="Z442"/>
    </row>
    <row r="443" spans="26:26" x14ac:dyDescent="0.45">
      <c r="Z443"/>
    </row>
    <row r="444" spans="26:26" x14ac:dyDescent="0.45">
      <c r="Z444"/>
    </row>
    <row r="445" spans="26:26" x14ac:dyDescent="0.45">
      <c r="Z445"/>
    </row>
    <row r="446" spans="26:26" x14ac:dyDescent="0.45">
      <c r="Z446"/>
    </row>
    <row r="447" spans="26:26" x14ac:dyDescent="0.45">
      <c r="Z447"/>
    </row>
    <row r="448" spans="26:26" x14ac:dyDescent="0.45">
      <c r="Z448"/>
    </row>
    <row r="449" spans="26:26" x14ac:dyDescent="0.45">
      <c r="Z449"/>
    </row>
    <row r="450" spans="26:26" x14ac:dyDescent="0.45">
      <c r="Z450"/>
    </row>
    <row r="451" spans="26:26" x14ac:dyDescent="0.45">
      <c r="Z451"/>
    </row>
    <row r="452" spans="26:26" x14ac:dyDescent="0.45">
      <c r="Z452"/>
    </row>
    <row r="453" spans="26:26" x14ac:dyDescent="0.45">
      <c r="Z453"/>
    </row>
    <row r="454" spans="26:26" x14ac:dyDescent="0.45">
      <c r="Z454"/>
    </row>
    <row r="455" spans="26:26" x14ac:dyDescent="0.45">
      <c r="Z455"/>
    </row>
    <row r="456" spans="26:26" x14ac:dyDescent="0.45">
      <c r="Z456"/>
    </row>
    <row r="457" spans="26:26" x14ac:dyDescent="0.45">
      <c r="Z457"/>
    </row>
    <row r="458" spans="26:26" x14ac:dyDescent="0.45">
      <c r="Z458"/>
    </row>
    <row r="459" spans="26:26" x14ac:dyDescent="0.45">
      <c r="Z459"/>
    </row>
    <row r="460" spans="26:26" x14ac:dyDescent="0.45">
      <c r="Z460"/>
    </row>
    <row r="461" spans="26:26" x14ac:dyDescent="0.45">
      <c r="Z461"/>
    </row>
    <row r="462" spans="26:26" x14ac:dyDescent="0.45">
      <c r="Z462"/>
    </row>
    <row r="463" spans="26:26" x14ac:dyDescent="0.45">
      <c r="Z463"/>
    </row>
    <row r="464" spans="26:26" x14ac:dyDescent="0.45">
      <c r="Z464"/>
    </row>
    <row r="465" spans="26:26" x14ac:dyDescent="0.45">
      <c r="Z465"/>
    </row>
    <row r="466" spans="26:26" x14ac:dyDescent="0.45">
      <c r="Z466"/>
    </row>
    <row r="467" spans="26:26" x14ac:dyDescent="0.45">
      <c r="Z467"/>
    </row>
    <row r="468" spans="26:26" x14ac:dyDescent="0.45">
      <c r="Z468"/>
    </row>
    <row r="469" spans="26:26" x14ac:dyDescent="0.45">
      <c r="Z469"/>
    </row>
    <row r="470" spans="26:26" x14ac:dyDescent="0.45">
      <c r="Z470"/>
    </row>
    <row r="471" spans="26:26" x14ac:dyDescent="0.45">
      <c r="Z471"/>
    </row>
    <row r="472" spans="26:26" x14ac:dyDescent="0.45">
      <c r="Z472"/>
    </row>
    <row r="473" spans="26:26" x14ac:dyDescent="0.45">
      <c r="Z473"/>
    </row>
    <row r="474" spans="26:26" x14ac:dyDescent="0.45">
      <c r="Z474"/>
    </row>
    <row r="475" spans="26:26" x14ac:dyDescent="0.45">
      <c r="Z475"/>
    </row>
    <row r="476" spans="26:26" x14ac:dyDescent="0.45">
      <c r="Z476"/>
    </row>
    <row r="477" spans="26:26" x14ac:dyDescent="0.45">
      <c r="Z477"/>
    </row>
    <row r="478" spans="26:26" x14ac:dyDescent="0.45">
      <c r="Z478"/>
    </row>
    <row r="479" spans="26:26" x14ac:dyDescent="0.45">
      <c r="Z479"/>
    </row>
    <row r="480" spans="26:26" x14ac:dyDescent="0.45">
      <c r="Z480"/>
    </row>
    <row r="481" spans="26:26" x14ac:dyDescent="0.45">
      <c r="Z481"/>
    </row>
    <row r="482" spans="26:26" x14ac:dyDescent="0.45">
      <c r="Z482"/>
    </row>
    <row r="483" spans="26:26" x14ac:dyDescent="0.45">
      <c r="Z483"/>
    </row>
    <row r="484" spans="26:26" x14ac:dyDescent="0.45">
      <c r="Z484"/>
    </row>
    <row r="485" spans="26:26" x14ac:dyDescent="0.45">
      <c r="Z485"/>
    </row>
    <row r="486" spans="26:26" x14ac:dyDescent="0.45">
      <c r="Z486"/>
    </row>
    <row r="487" spans="26:26" x14ac:dyDescent="0.45">
      <c r="Z487"/>
    </row>
    <row r="488" spans="26:26" x14ac:dyDescent="0.45">
      <c r="Z488"/>
    </row>
    <row r="489" spans="26:26" x14ac:dyDescent="0.45">
      <c r="Z489"/>
    </row>
    <row r="490" spans="26:26" x14ac:dyDescent="0.45">
      <c r="Z490"/>
    </row>
    <row r="491" spans="26:26" x14ac:dyDescent="0.45">
      <c r="Z491"/>
    </row>
    <row r="492" spans="26:26" x14ac:dyDescent="0.45">
      <c r="Z492"/>
    </row>
    <row r="493" spans="26:26" x14ac:dyDescent="0.45">
      <c r="Z493"/>
    </row>
    <row r="494" spans="26:26" x14ac:dyDescent="0.45">
      <c r="Z494"/>
    </row>
    <row r="495" spans="26:26" x14ac:dyDescent="0.45">
      <c r="Z495"/>
    </row>
    <row r="496" spans="26:26" x14ac:dyDescent="0.45">
      <c r="Z496"/>
    </row>
    <row r="497" spans="26:26" x14ac:dyDescent="0.45">
      <c r="Z497"/>
    </row>
    <row r="498" spans="26:26" x14ac:dyDescent="0.45">
      <c r="Z498"/>
    </row>
    <row r="499" spans="26:26" x14ac:dyDescent="0.45">
      <c r="Z499"/>
    </row>
    <row r="500" spans="26:26" x14ac:dyDescent="0.45">
      <c r="Z500"/>
    </row>
    <row r="501" spans="26:26" x14ac:dyDescent="0.45">
      <c r="Z501"/>
    </row>
    <row r="502" spans="26:26" x14ac:dyDescent="0.45">
      <c r="Z502"/>
    </row>
    <row r="503" spans="26:26" x14ac:dyDescent="0.45">
      <c r="Z503"/>
    </row>
    <row r="504" spans="26:26" x14ac:dyDescent="0.45">
      <c r="Z504"/>
    </row>
    <row r="505" spans="26:26" x14ac:dyDescent="0.45">
      <c r="Z505"/>
    </row>
    <row r="506" spans="26:26" x14ac:dyDescent="0.45">
      <c r="Z506"/>
    </row>
    <row r="507" spans="26:26" x14ac:dyDescent="0.45">
      <c r="Z507"/>
    </row>
    <row r="508" spans="26:26" x14ac:dyDescent="0.45">
      <c r="Z508"/>
    </row>
    <row r="509" spans="26:26" x14ac:dyDescent="0.45">
      <c r="Z509"/>
    </row>
    <row r="510" spans="26:26" x14ac:dyDescent="0.45">
      <c r="Z510"/>
    </row>
    <row r="511" spans="26:26" x14ac:dyDescent="0.45">
      <c r="Z511"/>
    </row>
    <row r="512" spans="26:26" x14ac:dyDescent="0.45">
      <c r="Z512"/>
    </row>
    <row r="513" spans="26:26" x14ac:dyDescent="0.45">
      <c r="Z513"/>
    </row>
    <row r="514" spans="26:26" x14ac:dyDescent="0.45">
      <c r="Z514"/>
    </row>
    <row r="515" spans="26:26" x14ac:dyDescent="0.45">
      <c r="Z515"/>
    </row>
    <row r="516" spans="26:26" x14ac:dyDescent="0.45">
      <c r="Z516"/>
    </row>
    <row r="517" spans="26:26" x14ac:dyDescent="0.45">
      <c r="Z517"/>
    </row>
    <row r="518" spans="26:26" x14ac:dyDescent="0.45">
      <c r="Z518"/>
    </row>
    <row r="519" spans="26:26" x14ac:dyDescent="0.45">
      <c r="Z519"/>
    </row>
    <row r="520" spans="26:26" x14ac:dyDescent="0.45">
      <c r="Z520"/>
    </row>
    <row r="521" spans="26:26" x14ac:dyDescent="0.45">
      <c r="Z521"/>
    </row>
    <row r="522" spans="26:26" x14ac:dyDescent="0.45">
      <c r="Z522"/>
    </row>
    <row r="523" spans="26:26" x14ac:dyDescent="0.45">
      <c r="Z523"/>
    </row>
    <row r="524" spans="26:26" x14ac:dyDescent="0.45">
      <c r="Z524"/>
    </row>
    <row r="525" spans="26:26" x14ac:dyDescent="0.45">
      <c r="Z525"/>
    </row>
    <row r="526" spans="26:26" x14ac:dyDescent="0.45">
      <c r="Z526"/>
    </row>
    <row r="527" spans="26:26" x14ac:dyDescent="0.45">
      <c r="Z527"/>
    </row>
    <row r="528" spans="26:26" x14ac:dyDescent="0.45">
      <c r="Z528"/>
    </row>
    <row r="529" spans="26:26" x14ac:dyDescent="0.45">
      <c r="Z529"/>
    </row>
    <row r="530" spans="26:26" x14ac:dyDescent="0.45">
      <c r="Z530"/>
    </row>
    <row r="531" spans="26:26" x14ac:dyDescent="0.45">
      <c r="Z531"/>
    </row>
    <row r="532" spans="26:26" x14ac:dyDescent="0.45">
      <c r="Z532"/>
    </row>
    <row r="533" spans="26:26" x14ac:dyDescent="0.45">
      <c r="Z533"/>
    </row>
    <row r="534" spans="26:26" x14ac:dyDescent="0.45">
      <c r="Z534"/>
    </row>
    <row r="535" spans="26:26" x14ac:dyDescent="0.45">
      <c r="Z535"/>
    </row>
    <row r="536" spans="26:26" x14ac:dyDescent="0.45">
      <c r="Z536"/>
    </row>
    <row r="537" spans="26:26" x14ac:dyDescent="0.45">
      <c r="Z537"/>
    </row>
    <row r="538" spans="26:26" x14ac:dyDescent="0.45">
      <c r="Z538"/>
    </row>
    <row r="539" spans="26:26" x14ac:dyDescent="0.45">
      <c r="Z539"/>
    </row>
    <row r="540" spans="26:26" x14ac:dyDescent="0.45">
      <c r="Z540"/>
    </row>
    <row r="541" spans="26:26" x14ac:dyDescent="0.45">
      <c r="Z541"/>
    </row>
    <row r="542" spans="26:26" x14ac:dyDescent="0.45">
      <c r="Z542"/>
    </row>
    <row r="543" spans="26:26" x14ac:dyDescent="0.45">
      <c r="Z543"/>
    </row>
    <row r="544" spans="26:26" x14ac:dyDescent="0.45">
      <c r="Z544"/>
    </row>
    <row r="545" spans="26:26" x14ac:dyDescent="0.45">
      <c r="Z545"/>
    </row>
    <row r="546" spans="26:26" x14ac:dyDescent="0.45">
      <c r="Z546"/>
    </row>
    <row r="547" spans="26:26" x14ac:dyDescent="0.45">
      <c r="Z547"/>
    </row>
    <row r="548" spans="26:26" x14ac:dyDescent="0.45">
      <c r="Z548"/>
    </row>
    <row r="549" spans="26:26" x14ac:dyDescent="0.45">
      <c r="Z549"/>
    </row>
    <row r="550" spans="26:26" x14ac:dyDescent="0.45">
      <c r="Z550"/>
    </row>
    <row r="551" spans="26:26" x14ac:dyDescent="0.45">
      <c r="Z551"/>
    </row>
    <row r="552" spans="26:26" x14ac:dyDescent="0.45">
      <c r="Z552"/>
    </row>
    <row r="553" spans="26:26" x14ac:dyDescent="0.45">
      <c r="Z553"/>
    </row>
    <row r="554" spans="26:26" x14ac:dyDescent="0.45">
      <c r="Z554"/>
    </row>
    <row r="555" spans="26:26" x14ac:dyDescent="0.45">
      <c r="Z555"/>
    </row>
    <row r="556" spans="26:26" x14ac:dyDescent="0.45">
      <c r="Z556"/>
    </row>
    <row r="557" spans="26:26" x14ac:dyDescent="0.45">
      <c r="Z557"/>
    </row>
    <row r="558" spans="26:26" x14ac:dyDescent="0.45">
      <c r="Z558"/>
    </row>
    <row r="559" spans="26:26" x14ac:dyDescent="0.45">
      <c r="Z559"/>
    </row>
    <row r="560" spans="26:26" x14ac:dyDescent="0.45">
      <c r="Z560"/>
    </row>
    <row r="561" spans="26:26" x14ac:dyDescent="0.45">
      <c r="Z561"/>
    </row>
  </sheetData>
  <sheetProtection formatCells="0" insertColumns="0" insertRows="0" insertHyperlinks="0" deleteColumns="0" deleteRows="0" sort="0" autoFilter="0" pivotTables="0"/>
  <mergeCells count="7">
    <mergeCell ref="N9:O9"/>
    <mergeCell ref="Q9:R9"/>
    <mergeCell ref="J11:K11"/>
    <mergeCell ref="F11:G11"/>
    <mergeCell ref="C9:D9"/>
    <mergeCell ref="F9:H9"/>
    <mergeCell ref="J9:L9"/>
  </mergeCells>
  <pageMargins left="0.7" right="0.7" top="0.75" bottom="0.75" header="0.3" footer="0.3"/>
  <pageSetup orientation="portrait" r:id="rId4"/>
  <headerFooter>
    <oddFooter>&amp;L_x000D_&amp;1#&amp;"Rockwell"&amp;9&amp;K0078D7 Information Classification: General</oddFooter>
  </headerFooter>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1F70D-C68D-411C-9F9E-83FB670AF385}">
  <dimension ref="A2:F18"/>
  <sheetViews>
    <sheetView topLeftCell="C3" workbookViewId="0">
      <selection activeCell="Y22" sqref="Y22"/>
    </sheetView>
  </sheetViews>
  <sheetFormatPr defaultRowHeight="16.5" x14ac:dyDescent="0.45"/>
  <cols>
    <col min="1" max="1" width="13.765625" bestFit="1" customWidth="1"/>
    <col min="2" max="2" width="7.07421875" customWidth="1"/>
    <col min="3" max="3" width="11.69140625" customWidth="1"/>
    <col min="4" max="4" width="14.765625" customWidth="1"/>
    <col min="5" max="5" width="10.3046875" customWidth="1"/>
    <col min="6" max="6" width="14.4609375" customWidth="1"/>
  </cols>
  <sheetData>
    <row r="2" spans="1:6" x14ac:dyDescent="0.45">
      <c r="A2" s="175" t="s">
        <v>782</v>
      </c>
      <c r="B2" s="176"/>
      <c r="C2" s="176"/>
      <c r="D2" s="176"/>
      <c r="E2" s="176"/>
      <c r="F2" s="176"/>
    </row>
    <row r="3" spans="1:6" ht="46.5" customHeight="1" x14ac:dyDescent="0.45">
      <c r="A3" s="73" t="s">
        <v>778</v>
      </c>
      <c r="B3" s="73" t="s">
        <v>783</v>
      </c>
      <c r="C3" s="73" t="s">
        <v>784</v>
      </c>
      <c r="D3" s="74" t="s">
        <v>785</v>
      </c>
      <c r="E3" s="74" t="s">
        <v>786</v>
      </c>
      <c r="F3" s="74" t="s">
        <v>787</v>
      </c>
    </row>
    <row r="4" spans="1:6" x14ac:dyDescent="0.45">
      <c r="A4" s="70" t="s">
        <v>143</v>
      </c>
      <c r="B4" s="70" t="s">
        <v>525</v>
      </c>
      <c r="C4" s="70">
        <v>43</v>
      </c>
      <c r="D4" s="75">
        <v>3919.1489999999999</v>
      </c>
      <c r="E4" s="72">
        <v>0.30972</v>
      </c>
      <c r="F4" s="71">
        <v>2414.4324076660801</v>
      </c>
    </row>
    <row r="5" spans="1:6" x14ac:dyDescent="0.45">
      <c r="A5" s="70" t="s">
        <v>788</v>
      </c>
      <c r="B5" s="70" t="s">
        <v>525</v>
      </c>
      <c r="C5" s="70">
        <v>8</v>
      </c>
      <c r="D5" s="75">
        <v>729.14400000000001</v>
      </c>
      <c r="E5" s="72">
        <v>5.7619999999999998E-2</v>
      </c>
      <c r="F5" s="71">
        <v>449.17859786167998</v>
      </c>
    </row>
    <row r="6" spans="1:6" x14ac:dyDescent="0.45">
      <c r="A6" s="70" t="s">
        <v>394</v>
      </c>
      <c r="B6" s="70" t="s">
        <v>525</v>
      </c>
      <c r="C6" s="70">
        <v>7</v>
      </c>
      <c r="D6" s="75">
        <v>638.00099999999998</v>
      </c>
      <c r="E6" s="72">
        <v>5.042E-2</v>
      </c>
      <c r="F6" s="71">
        <v>393.05076196087998</v>
      </c>
    </row>
    <row r="7" spans="1:6" x14ac:dyDescent="0.45">
      <c r="A7" s="70" t="s">
        <v>580</v>
      </c>
      <c r="B7" s="70" t="s">
        <v>525</v>
      </c>
      <c r="C7" s="70">
        <v>6</v>
      </c>
      <c r="D7" s="75">
        <v>546.85799999999995</v>
      </c>
      <c r="E7" s="72">
        <v>4.3220000000000001E-2</v>
      </c>
      <c r="F7" s="71">
        <v>336.92292606007999</v>
      </c>
    </row>
    <row r="8" spans="1:6" x14ac:dyDescent="0.45">
      <c r="A8" s="70" t="s">
        <v>694</v>
      </c>
      <c r="B8" s="70" t="s">
        <v>525</v>
      </c>
      <c r="C8" s="70">
        <v>6</v>
      </c>
      <c r="D8" s="75">
        <v>546.85799999999995</v>
      </c>
      <c r="E8" s="72">
        <v>4.3220000000000001E-2</v>
      </c>
      <c r="F8" s="71">
        <v>336.92292606007999</v>
      </c>
    </row>
    <row r="9" spans="1:6" x14ac:dyDescent="0.45">
      <c r="A9" s="70" t="s">
        <v>277</v>
      </c>
      <c r="B9" s="70" t="s">
        <v>525</v>
      </c>
      <c r="C9" s="70">
        <v>4</v>
      </c>
      <c r="D9" s="75">
        <v>364.572</v>
      </c>
      <c r="E9" s="72">
        <v>2.8809999999999999E-2</v>
      </c>
      <c r="F9" s="71">
        <v>224.58929893083999</v>
      </c>
    </row>
    <row r="10" spans="1:6" x14ac:dyDescent="0.45">
      <c r="A10" s="70" t="s">
        <v>619</v>
      </c>
      <c r="B10" s="70" t="s">
        <v>525</v>
      </c>
      <c r="C10" s="70">
        <v>4</v>
      </c>
      <c r="D10" s="75">
        <v>364.572</v>
      </c>
      <c r="E10" s="72">
        <v>2.8809999999999999E-2</v>
      </c>
      <c r="F10" s="71">
        <v>224.58929893083999</v>
      </c>
    </row>
    <row r="11" spans="1:6" x14ac:dyDescent="0.45">
      <c r="A11" s="70" t="s">
        <v>723</v>
      </c>
      <c r="B11" s="70" t="s">
        <v>525</v>
      </c>
      <c r="C11" s="70">
        <v>3</v>
      </c>
      <c r="D11" s="75">
        <v>273.42899999999997</v>
      </c>
      <c r="E11" s="72">
        <v>2.1610000000000001E-2</v>
      </c>
      <c r="F11" s="71">
        <v>168.46146303003999</v>
      </c>
    </row>
    <row r="12" spans="1:6" x14ac:dyDescent="0.45">
      <c r="A12" s="70" t="s">
        <v>143</v>
      </c>
      <c r="B12" s="70" t="s">
        <v>789</v>
      </c>
      <c r="C12" s="70">
        <v>15</v>
      </c>
      <c r="D12" s="75">
        <v>1793.68</v>
      </c>
      <c r="E12" s="72">
        <v>0.14174999999999999</v>
      </c>
      <c r="F12" s="71">
        <v>1105.0167692969999</v>
      </c>
    </row>
    <row r="13" spans="1:6" ht="31" x14ac:dyDescent="0.45">
      <c r="A13" s="70" t="s">
        <v>460</v>
      </c>
      <c r="B13" s="70" t="s">
        <v>789</v>
      </c>
      <c r="C13" s="70">
        <v>7</v>
      </c>
      <c r="D13" s="75">
        <v>837.05100000000004</v>
      </c>
      <c r="E13" s="72">
        <v>6.615E-2</v>
      </c>
      <c r="F13" s="71">
        <v>515.67449233859998</v>
      </c>
    </row>
    <row r="14" spans="1:6" x14ac:dyDescent="0.45">
      <c r="A14" s="70" t="s">
        <v>394</v>
      </c>
      <c r="B14" s="70" t="s">
        <v>789</v>
      </c>
      <c r="C14" s="70">
        <v>2</v>
      </c>
      <c r="D14" s="75">
        <v>239.15700000000001</v>
      </c>
      <c r="E14" s="72">
        <v>1.89E-2</v>
      </c>
      <c r="F14" s="71">
        <v>147.33556923960001</v>
      </c>
    </row>
    <row r="15" spans="1:6" x14ac:dyDescent="0.45">
      <c r="A15" s="70" t="s">
        <v>277</v>
      </c>
      <c r="B15" s="70" t="s">
        <v>789</v>
      </c>
      <c r="C15" s="70">
        <v>2</v>
      </c>
      <c r="D15" s="75">
        <v>239.15700000000001</v>
      </c>
      <c r="E15" s="72">
        <v>1.89E-2</v>
      </c>
      <c r="F15" s="71">
        <v>147.33556923960001</v>
      </c>
    </row>
    <row r="16" spans="1:6" x14ac:dyDescent="0.45">
      <c r="A16" s="70" t="s">
        <v>143</v>
      </c>
      <c r="B16" s="70" t="s">
        <v>790</v>
      </c>
      <c r="C16" s="70">
        <v>13</v>
      </c>
      <c r="D16" s="75">
        <v>1479.443</v>
      </c>
      <c r="E16" s="72">
        <v>0.11692</v>
      </c>
      <c r="F16" s="71">
        <v>911.45369076687996</v>
      </c>
    </row>
    <row r="17" spans="1:6" x14ac:dyDescent="0.45">
      <c r="A17" s="70" t="s">
        <v>143</v>
      </c>
      <c r="B17" s="70" t="s">
        <v>790</v>
      </c>
      <c r="C17" s="70">
        <v>6</v>
      </c>
      <c r="D17" s="75">
        <v>682.82</v>
      </c>
      <c r="E17" s="72">
        <v>5.3960000000000001E-2</v>
      </c>
      <c r="F17" s="71">
        <v>420.64694794543999</v>
      </c>
    </row>
    <row r="18" spans="1:6" x14ac:dyDescent="0.45">
      <c r="A18" s="76" t="s">
        <v>791</v>
      </c>
      <c r="B18" s="76"/>
      <c r="C18" s="76">
        <f>SUM(C4:C17)</f>
        <v>126</v>
      </c>
      <c r="D18" s="76">
        <f>SUM(D4:D17)</f>
        <v>12653.890999999998</v>
      </c>
      <c r="E18" s="77">
        <f>SUM(E4:E17)</f>
        <v>1.0000100000000001</v>
      </c>
      <c r="F18" s="77">
        <f>SUM(F4:F17)</f>
        <v>7795.6107193276403</v>
      </c>
    </row>
  </sheetData>
  <mergeCells count="1">
    <mergeCell ref="A2:F2"/>
  </mergeCells>
  <dataValidations count="1">
    <dataValidation type="list" allowBlank="1" showInputMessage="1" showErrorMessage="1" sqref="A4:A17" xr:uid="{00000000-0002-0000-0000-000001000000}">
      <formula1>INDIRECT("countries["&amp;XFD4&amp;"]")</formula1>
    </dataValidation>
  </dataValidations>
  <pageMargins left="0.7" right="0.7" top="0.75" bottom="0.75" header="0.3" footer="0.3"/>
  <headerFooter>
    <oddFooter>&amp;L_x000D_&amp;1#&amp;"Rockwell"&amp;9&amp;K0078D7 Information Classification: General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205"/>
  <sheetViews>
    <sheetView workbookViewId="0">
      <selection activeCell="Y22" sqref="Y22"/>
    </sheetView>
  </sheetViews>
  <sheetFormatPr defaultColWidth="8.765625" defaultRowHeight="16.5" x14ac:dyDescent="0.45"/>
  <cols>
    <col min="1" max="1" width="3.69140625" style="2" customWidth="1"/>
    <col min="2" max="2" width="20.4609375" style="2" customWidth="1"/>
    <col min="3" max="3" width="4.23046875" style="2" customWidth="1"/>
    <col min="4" max="4" width="26.765625" style="2" customWidth="1"/>
    <col min="5" max="5" width="4.3046875" customWidth="1"/>
    <col min="6" max="6" width="18.3046875" style="2" customWidth="1"/>
    <col min="7" max="8" width="4.07421875" style="2" customWidth="1"/>
    <col min="9" max="9" width="34.4609375" style="2" customWidth="1"/>
    <col min="10" max="10" width="3.765625" style="2" customWidth="1"/>
    <col min="11" max="11" width="31.69140625" style="2" customWidth="1"/>
    <col min="12" max="12" width="4.07421875" style="2" customWidth="1"/>
    <col min="13" max="13" width="18.3046875" style="2" customWidth="1"/>
    <col min="14" max="14" width="3.765625" style="2" customWidth="1"/>
    <col min="15" max="15" width="26.3046875" style="2" customWidth="1"/>
    <col min="16" max="16" width="3.4609375" style="2" customWidth="1"/>
    <col min="17" max="17" width="4.4609375" style="2" customWidth="1"/>
    <col min="18" max="18" width="3.765625" style="2" customWidth="1"/>
    <col min="19" max="19" width="9.23046875" style="2" customWidth="1"/>
    <col min="20" max="20" width="3.765625" style="2" customWidth="1"/>
    <col min="21" max="21" width="5.765625" style="2" customWidth="1"/>
    <col min="22" max="16384" width="8.765625" style="2"/>
  </cols>
  <sheetData>
    <row r="2" spans="2:21" x14ac:dyDescent="0.45">
      <c r="B2" s="3" t="s">
        <v>792</v>
      </c>
      <c r="C2" s="3"/>
      <c r="D2" s="3" t="s">
        <v>793</v>
      </c>
      <c r="F2" s="3" t="s">
        <v>120</v>
      </c>
      <c r="G2" s="3"/>
      <c r="H2" s="3"/>
      <c r="I2" s="3" t="s">
        <v>794</v>
      </c>
      <c r="J2" s="3"/>
      <c r="K2" s="3" t="s">
        <v>795</v>
      </c>
      <c r="L2" s="3"/>
      <c r="M2" s="3" t="s">
        <v>796</v>
      </c>
      <c r="N2" s="3"/>
      <c r="O2" s="3" t="s">
        <v>797</v>
      </c>
      <c r="P2" s="3"/>
      <c r="Q2" s="3" t="s">
        <v>798</v>
      </c>
      <c r="R2" s="3"/>
      <c r="S2" s="3" t="s">
        <v>799</v>
      </c>
      <c r="T2" s="3"/>
      <c r="U2" s="3" t="s">
        <v>800</v>
      </c>
    </row>
    <row r="3" spans="2:21" x14ac:dyDescent="0.45">
      <c r="B3" s="4" t="s">
        <v>702</v>
      </c>
      <c r="D3" s="4" t="s">
        <v>801</v>
      </c>
      <c r="F3" s="4" t="s">
        <v>160</v>
      </c>
      <c r="H3" s="4"/>
      <c r="I3" s="4" t="s">
        <v>802</v>
      </c>
      <c r="K3" s="4" t="s">
        <v>218</v>
      </c>
      <c r="M3" s="2" t="s">
        <v>803</v>
      </c>
      <c r="O3" s="2" t="s">
        <v>3</v>
      </c>
      <c r="Q3" s="2" t="s">
        <v>804</v>
      </c>
      <c r="S3" s="2" t="s">
        <v>361</v>
      </c>
      <c r="U3" s="2">
        <v>2013</v>
      </c>
    </row>
    <row r="4" spans="2:21" x14ac:dyDescent="0.45">
      <c r="B4" s="5" t="s">
        <v>265</v>
      </c>
      <c r="D4" s="4" t="s">
        <v>805</v>
      </c>
      <c r="F4" s="6" t="s">
        <v>190</v>
      </c>
      <c r="H4" s="4"/>
      <c r="I4" s="7" t="s">
        <v>806</v>
      </c>
      <c r="K4" s="4" t="s">
        <v>47</v>
      </c>
      <c r="M4" s="2" t="s">
        <v>807</v>
      </c>
      <c r="O4" s="2" t="s">
        <v>170</v>
      </c>
      <c r="Q4" s="2" t="s">
        <v>808</v>
      </c>
      <c r="S4" s="2" t="s">
        <v>809</v>
      </c>
      <c r="U4" s="2">
        <v>2014</v>
      </c>
    </row>
    <row r="5" spans="2:21" x14ac:dyDescent="0.45">
      <c r="B5" s="8" t="s">
        <v>157</v>
      </c>
      <c r="D5" s="4" t="s">
        <v>810</v>
      </c>
      <c r="F5" s="5" t="s">
        <v>146</v>
      </c>
      <c r="H5" s="4"/>
      <c r="I5" s="9" t="s">
        <v>811</v>
      </c>
      <c r="K5" s="4" t="s">
        <v>447</v>
      </c>
      <c r="M5" s="2" t="s">
        <v>812</v>
      </c>
      <c r="O5" s="2" t="s">
        <v>151</v>
      </c>
      <c r="S5" s="2" t="s">
        <v>220</v>
      </c>
      <c r="U5" s="2">
        <v>2015</v>
      </c>
    </row>
    <row r="6" spans="2:21" x14ac:dyDescent="0.45">
      <c r="B6" s="10" t="s">
        <v>504</v>
      </c>
      <c r="D6" s="4" t="s">
        <v>813</v>
      </c>
      <c r="F6" s="2" t="s">
        <v>172</v>
      </c>
      <c r="H6" s="6"/>
      <c r="I6" s="6" t="s">
        <v>317</v>
      </c>
      <c r="K6" s="4" t="s">
        <v>814</v>
      </c>
      <c r="O6" s="2" t="s">
        <v>175</v>
      </c>
      <c r="S6" s="2" t="s">
        <v>246</v>
      </c>
      <c r="U6" s="2">
        <v>2016</v>
      </c>
    </row>
    <row r="7" spans="2:21" x14ac:dyDescent="0.45">
      <c r="B7" s="12" t="s">
        <v>272</v>
      </c>
      <c r="D7" s="4" t="s">
        <v>815</v>
      </c>
      <c r="F7" s="29" t="s">
        <v>182</v>
      </c>
      <c r="H7" s="6"/>
      <c r="I7" s="13" t="s">
        <v>238</v>
      </c>
      <c r="K7" s="4" t="s">
        <v>247</v>
      </c>
      <c r="O7" s="2" t="s">
        <v>194</v>
      </c>
      <c r="S7" s="2" t="s">
        <v>282</v>
      </c>
      <c r="U7" s="2">
        <v>2017</v>
      </c>
    </row>
    <row r="8" spans="2:21" x14ac:dyDescent="0.45">
      <c r="B8" s="6" t="s">
        <v>142</v>
      </c>
      <c r="D8" s="4" t="s">
        <v>816</v>
      </c>
      <c r="F8" s="27" t="s">
        <v>176</v>
      </c>
      <c r="H8" s="6"/>
      <c r="I8" s="13" t="s">
        <v>817</v>
      </c>
      <c r="K8" s="4" t="s">
        <v>818</v>
      </c>
      <c r="O8" s="2" t="s">
        <v>398</v>
      </c>
      <c r="S8" s="2" t="s">
        <v>299</v>
      </c>
      <c r="U8" s="2">
        <v>2018</v>
      </c>
    </row>
    <row r="9" spans="2:21" x14ac:dyDescent="0.45">
      <c r="B9" s="14" t="s">
        <v>819</v>
      </c>
      <c r="D9" s="4" t="s">
        <v>820</v>
      </c>
      <c r="F9" s="32" t="s">
        <v>167</v>
      </c>
      <c r="H9" s="6"/>
      <c r="I9" s="13" t="s">
        <v>821</v>
      </c>
      <c r="K9" s="4" t="s">
        <v>263</v>
      </c>
      <c r="O9" s="2" t="s">
        <v>152</v>
      </c>
      <c r="S9" s="2" t="s">
        <v>312</v>
      </c>
      <c r="U9" s="2">
        <v>2019</v>
      </c>
    </row>
    <row r="10" spans="2:21" x14ac:dyDescent="0.45">
      <c r="B10" s="15" t="s">
        <v>712</v>
      </c>
      <c r="D10" s="4" t="s">
        <v>822</v>
      </c>
      <c r="F10" s="2" t="s">
        <v>384</v>
      </c>
      <c r="H10" s="6"/>
      <c r="I10" s="13" t="s">
        <v>823</v>
      </c>
      <c r="K10" s="4" t="s">
        <v>313</v>
      </c>
      <c r="S10" s="2" t="s">
        <v>326</v>
      </c>
      <c r="U10" s="2">
        <v>2020</v>
      </c>
    </row>
    <row r="11" spans="2:21" x14ac:dyDescent="0.45">
      <c r="B11" s="2" t="s">
        <v>152</v>
      </c>
      <c r="D11" s="4" t="s">
        <v>824</v>
      </c>
      <c r="H11" s="6"/>
      <c r="I11" s="13" t="s">
        <v>19</v>
      </c>
      <c r="K11" s="4" t="s">
        <v>321</v>
      </c>
      <c r="S11" s="2" t="s">
        <v>334</v>
      </c>
      <c r="U11" s="2">
        <v>2021</v>
      </c>
    </row>
    <row r="12" spans="2:21" x14ac:dyDescent="0.45">
      <c r="D12" s="4" t="s">
        <v>825</v>
      </c>
      <c r="H12" s="5"/>
      <c r="I12" s="16" t="s">
        <v>236</v>
      </c>
      <c r="K12" s="4" t="s">
        <v>162</v>
      </c>
      <c r="S12" s="2" t="s">
        <v>338</v>
      </c>
      <c r="U12" s="2">
        <v>2022</v>
      </c>
    </row>
    <row r="13" spans="2:21" x14ac:dyDescent="0.45">
      <c r="D13" s="4" t="s">
        <v>826</v>
      </c>
      <c r="H13" s="5"/>
      <c r="I13" s="5" t="s">
        <v>231</v>
      </c>
      <c r="K13" s="4" t="s">
        <v>827</v>
      </c>
      <c r="S13" s="2" t="s">
        <v>334</v>
      </c>
      <c r="U13" s="2">
        <v>2023</v>
      </c>
    </row>
    <row r="14" spans="2:21" x14ac:dyDescent="0.45">
      <c r="D14" s="4" t="s">
        <v>828</v>
      </c>
      <c r="H14" s="5"/>
      <c r="I14" s="5" t="s">
        <v>697</v>
      </c>
      <c r="K14" s="7" t="s">
        <v>829</v>
      </c>
      <c r="S14" s="2" t="s">
        <v>341</v>
      </c>
      <c r="U14" s="2">
        <v>2024</v>
      </c>
    </row>
    <row r="15" spans="2:21" x14ac:dyDescent="0.45">
      <c r="D15" s="4" t="s">
        <v>830</v>
      </c>
      <c r="H15" s="5"/>
      <c r="I15" s="5" t="s">
        <v>251</v>
      </c>
      <c r="K15" s="7" t="s">
        <v>831</v>
      </c>
      <c r="S15" s="2" t="s">
        <v>347</v>
      </c>
      <c r="U15" s="2">
        <v>2025</v>
      </c>
    </row>
    <row r="16" spans="2:21" x14ac:dyDescent="0.45">
      <c r="D16" s="4" t="s">
        <v>832</v>
      </c>
      <c r="H16" s="5"/>
      <c r="I16" s="1" t="s">
        <v>195</v>
      </c>
      <c r="K16" s="7" t="s">
        <v>833</v>
      </c>
      <c r="U16" s="2">
        <v>2026</v>
      </c>
    </row>
    <row r="17" spans="1:22" x14ac:dyDescent="0.45">
      <c r="D17" s="4" t="s">
        <v>834</v>
      </c>
      <c r="H17" s="5"/>
      <c r="I17" s="1" t="s">
        <v>147</v>
      </c>
      <c r="K17" s="7" t="s">
        <v>835</v>
      </c>
      <c r="U17" s="2">
        <v>2027</v>
      </c>
    </row>
    <row r="18" spans="1:22" x14ac:dyDescent="0.45">
      <c r="D18" s="4" t="s">
        <v>836</v>
      </c>
      <c r="H18" s="5"/>
      <c r="I18" s="17" t="s">
        <v>202</v>
      </c>
      <c r="K18" s="7" t="s">
        <v>837</v>
      </c>
      <c r="U18" s="2">
        <v>2028</v>
      </c>
    </row>
    <row r="19" spans="1:22" x14ac:dyDescent="0.45">
      <c r="D19" s="4" t="s">
        <v>838</v>
      </c>
      <c r="H19" s="27"/>
      <c r="I19" s="27" t="s">
        <v>259</v>
      </c>
      <c r="K19" s="9" t="s">
        <v>359</v>
      </c>
      <c r="U19" s="2">
        <v>2029</v>
      </c>
    </row>
    <row r="20" spans="1:22" x14ac:dyDescent="0.45">
      <c r="D20" s="4" t="s">
        <v>839</v>
      </c>
      <c r="H20" s="27"/>
      <c r="I20" s="28" t="s">
        <v>244</v>
      </c>
      <c r="K20" s="9" t="s">
        <v>840</v>
      </c>
      <c r="U20" s="2">
        <v>2030</v>
      </c>
    </row>
    <row r="21" spans="1:22" x14ac:dyDescent="0.45">
      <c r="D21" s="4" t="s">
        <v>841</v>
      </c>
      <c r="H21" s="27"/>
      <c r="I21" s="28" t="s">
        <v>342</v>
      </c>
      <c r="K21" s="9" t="s">
        <v>842</v>
      </c>
      <c r="U21" s="2">
        <v>2031</v>
      </c>
    </row>
    <row r="22" spans="1:22" x14ac:dyDescent="0.45">
      <c r="D22" s="4" t="s">
        <v>843</v>
      </c>
      <c r="H22" s="27"/>
      <c r="I22" s="28" t="s">
        <v>844</v>
      </c>
      <c r="K22" s="6" t="s">
        <v>845</v>
      </c>
      <c r="U22" s="2">
        <v>2032</v>
      </c>
    </row>
    <row r="23" spans="1:22" x14ac:dyDescent="0.45">
      <c r="D23" s="4" t="s">
        <v>846</v>
      </c>
      <c r="H23" s="27"/>
      <c r="I23" s="28" t="s">
        <v>215</v>
      </c>
      <c r="K23" s="6" t="s">
        <v>847</v>
      </c>
      <c r="U23" s="2">
        <v>2033</v>
      </c>
    </row>
    <row r="24" spans="1:22" x14ac:dyDescent="0.45">
      <c r="D24" s="4" t="s">
        <v>848</v>
      </c>
      <c r="H24" s="27"/>
      <c r="I24" s="28" t="s">
        <v>177</v>
      </c>
      <c r="K24" s="6" t="s">
        <v>849</v>
      </c>
    </row>
    <row r="25" spans="1:22" x14ac:dyDescent="0.45">
      <c r="D25" s="4" t="s">
        <v>850</v>
      </c>
      <c r="H25" s="29"/>
      <c r="I25" s="2" t="s">
        <v>307</v>
      </c>
      <c r="K25" s="6" t="s">
        <v>851</v>
      </c>
    </row>
    <row r="26" spans="1:22" x14ac:dyDescent="0.45">
      <c r="D26" s="4" t="s">
        <v>852</v>
      </c>
      <c r="H26" s="29"/>
      <c r="I26" s="2" t="s">
        <v>200</v>
      </c>
      <c r="K26" s="13" t="s">
        <v>853</v>
      </c>
    </row>
    <row r="27" spans="1:22" x14ac:dyDescent="0.45">
      <c r="D27" s="4" t="s">
        <v>854</v>
      </c>
      <c r="H27" s="29"/>
      <c r="I27" s="2" t="s">
        <v>368</v>
      </c>
      <c r="K27" s="13" t="s">
        <v>855</v>
      </c>
    </row>
    <row r="28" spans="1:22" x14ac:dyDescent="0.45">
      <c r="D28" s="4" t="s">
        <v>856</v>
      </c>
      <c r="H28" s="29"/>
      <c r="I28" s="2" t="s">
        <v>484</v>
      </c>
      <c r="K28" s="13" t="s">
        <v>857</v>
      </c>
    </row>
    <row r="29" spans="1:22" x14ac:dyDescent="0.45">
      <c r="D29" s="4" t="s">
        <v>858</v>
      </c>
      <c r="H29" s="29"/>
      <c r="I29" s="2" t="s">
        <v>235</v>
      </c>
      <c r="K29" s="13" t="s">
        <v>859</v>
      </c>
    </row>
    <row r="30" spans="1:22" customFormat="1" x14ac:dyDescent="0.45">
      <c r="A30" s="2"/>
      <c r="B30" s="2"/>
      <c r="C30" s="2"/>
      <c r="D30" s="4" t="s">
        <v>860</v>
      </c>
      <c r="F30" s="2"/>
      <c r="G30" s="2"/>
      <c r="H30" s="29"/>
      <c r="I30" s="2" t="s">
        <v>183</v>
      </c>
      <c r="J30" s="2"/>
      <c r="K30" s="13" t="s">
        <v>861</v>
      </c>
      <c r="L30" s="2"/>
      <c r="M30" s="2"/>
      <c r="N30" s="2"/>
      <c r="O30" s="2"/>
      <c r="P30" s="2"/>
      <c r="Q30" s="2"/>
      <c r="R30" s="2"/>
      <c r="S30" s="2"/>
      <c r="T30" s="2"/>
      <c r="U30" s="2"/>
      <c r="V30" s="2"/>
    </row>
    <row r="31" spans="1:22" customFormat="1" x14ac:dyDescent="0.45">
      <c r="A31" s="2"/>
      <c r="B31" s="2"/>
      <c r="C31" s="2"/>
      <c r="D31" s="4" t="s">
        <v>862</v>
      </c>
      <c r="F31" s="2"/>
      <c r="G31" s="2"/>
      <c r="H31" s="29"/>
      <c r="I31" s="2" t="s">
        <v>278</v>
      </c>
      <c r="J31" s="2"/>
      <c r="K31" s="13" t="s">
        <v>863</v>
      </c>
      <c r="L31" s="2"/>
      <c r="M31" s="2"/>
      <c r="N31" s="2"/>
      <c r="O31" s="2"/>
      <c r="P31" s="2"/>
      <c r="Q31" s="2"/>
      <c r="R31" s="2"/>
      <c r="S31" s="2"/>
      <c r="T31" s="2"/>
      <c r="U31" s="2"/>
      <c r="V31" s="2"/>
    </row>
    <row r="32" spans="1:22" customFormat="1" x14ac:dyDescent="0.45">
      <c r="A32" s="2"/>
      <c r="B32" s="2"/>
      <c r="C32" s="2"/>
      <c r="D32" s="4" t="s">
        <v>864</v>
      </c>
      <c r="F32" s="2"/>
      <c r="G32" s="2"/>
      <c r="H32" s="32"/>
      <c r="I32" s="2" t="s">
        <v>865</v>
      </c>
      <c r="J32" s="2"/>
      <c r="K32" s="13" t="s">
        <v>866</v>
      </c>
      <c r="L32" s="2"/>
      <c r="M32" s="2"/>
      <c r="N32" s="2"/>
      <c r="O32" s="2"/>
      <c r="P32" s="2"/>
      <c r="Q32" s="2"/>
      <c r="R32" s="2"/>
      <c r="S32" s="2"/>
      <c r="T32" s="2"/>
      <c r="U32" s="2"/>
      <c r="V32" s="2"/>
    </row>
    <row r="33" spans="1:22" customFormat="1" x14ac:dyDescent="0.45">
      <c r="A33" s="2"/>
      <c r="B33" s="2"/>
      <c r="C33" s="2"/>
      <c r="D33" s="4" t="s">
        <v>867</v>
      </c>
      <c r="F33" s="2"/>
      <c r="G33" s="2"/>
      <c r="H33" s="32"/>
      <c r="I33" s="2" t="s">
        <v>274</v>
      </c>
      <c r="J33" s="2"/>
      <c r="K33" s="13" t="s">
        <v>868</v>
      </c>
      <c r="L33" s="2"/>
      <c r="M33" s="2"/>
      <c r="N33" s="2"/>
      <c r="O33" s="2"/>
      <c r="P33" s="2"/>
      <c r="Q33" s="2"/>
      <c r="R33" s="2"/>
      <c r="S33" s="2"/>
      <c r="T33" s="2"/>
      <c r="U33" s="2"/>
      <c r="V33" s="2"/>
    </row>
    <row r="34" spans="1:22" customFormat="1" x14ac:dyDescent="0.45">
      <c r="A34" s="2"/>
      <c r="B34" s="2"/>
      <c r="C34" s="2"/>
      <c r="D34" s="4" t="s">
        <v>869</v>
      </c>
      <c r="F34" s="2"/>
      <c r="G34" s="2"/>
      <c r="H34" s="32"/>
      <c r="I34" s="2" t="s">
        <v>444</v>
      </c>
      <c r="J34" s="2"/>
      <c r="K34" s="13" t="s">
        <v>870</v>
      </c>
      <c r="L34" s="2"/>
      <c r="M34" s="2"/>
      <c r="N34" s="2"/>
      <c r="O34" s="2"/>
      <c r="P34" s="2"/>
      <c r="Q34" s="2"/>
      <c r="R34" s="2"/>
      <c r="S34" s="2"/>
      <c r="T34" s="2"/>
      <c r="U34" s="2"/>
      <c r="V34" s="2"/>
    </row>
    <row r="35" spans="1:22" customFormat="1" x14ac:dyDescent="0.45">
      <c r="A35" s="2"/>
      <c r="B35" s="2"/>
      <c r="C35" s="2"/>
      <c r="D35" s="4" t="s">
        <v>871</v>
      </c>
      <c r="F35" s="2"/>
      <c r="G35" s="2"/>
      <c r="H35" s="32"/>
      <c r="I35" s="2" t="s">
        <v>441</v>
      </c>
      <c r="J35" s="2"/>
      <c r="K35" s="13" t="s">
        <v>872</v>
      </c>
      <c r="L35" s="2"/>
      <c r="M35" s="2"/>
      <c r="N35" s="2"/>
      <c r="O35" s="2"/>
      <c r="P35" s="2"/>
      <c r="Q35" s="2"/>
      <c r="R35" s="2"/>
      <c r="S35" s="2"/>
      <c r="T35" s="2"/>
      <c r="U35" s="2"/>
      <c r="V35" s="2"/>
    </row>
    <row r="36" spans="1:22" customFormat="1" x14ac:dyDescent="0.45">
      <c r="A36" s="2"/>
      <c r="B36" s="2"/>
      <c r="C36" s="2"/>
      <c r="D36" s="4" t="s">
        <v>873</v>
      </c>
      <c r="F36" s="2"/>
      <c r="G36" s="2"/>
      <c r="H36" s="32"/>
      <c r="I36" s="2" t="s">
        <v>764</v>
      </c>
      <c r="J36" s="2"/>
      <c r="K36" s="13" t="s">
        <v>874</v>
      </c>
      <c r="L36" s="2"/>
      <c r="M36" s="2"/>
      <c r="N36" s="2"/>
      <c r="O36" s="2"/>
      <c r="P36" s="2"/>
      <c r="Q36" s="2"/>
      <c r="R36" s="2"/>
      <c r="S36" s="2"/>
      <c r="T36" s="2"/>
      <c r="U36" s="2"/>
      <c r="V36" s="2"/>
    </row>
    <row r="37" spans="1:22" customFormat="1" x14ac:dyDescent="0.45">
      <c r="A37" s="2"/>
      <c r="B37" s="2"/>
      <c r="C37" s="2"/>
      <c r="D37" s="4" t="s">
        <v>875</v>
      </c>
      <c r="F37" s="2"/>
      <c r="G37" s="2"/>
      <c r="H37" s="32"/>
      <c r="I37" s="2" t="s">
        <v>752</v>
      </c>
      <c r="J37" s="2"/>
      <c r="K37" s="13" t="s">
        <v>876</v>
      </c>
      <c r="L37" s="2"/>
      <c r="M37" s="2"/>
      <c r="N37" s="2"/>
      <c r="O37" s="2"/>
      <c r="P37" s="2"/>
      <c r="Q37" s="2"/>
      <c r="R37" s="2"/>
      <c r="S37" s="2"/>
      <c r="T37" s="2"/>
      <c r="U37" s="2"/>
      <c r="V37" s="2"/>
    </row>
    <row r="38" spans="1:22" customFormat="1" x14ac:dyDescent="0.45">
      <c r="A38" s="2"/>
      <c r="B38" s="2"/>
      <c r="C38" s="2"/>
      <c r="D38" s="4" t="s">
        <v>877</v>
      </c>
      <c r="F38" s="2"/>
      <c r="G38" s="2"/>
      <c r="H38" s="35"/>
      <c r="I38" s="11" t="s">
        <v>372</v>
      </c>
      <c r="J38" s="2"/>
      <c r="K38" s="13" t="s">
        <v>878</v>
      </c>
      <c r="L38" s="2"/>
      <c r="M38" s="2"/>
      <c r="N38" s="2"/>
      <c r="O38" s="2"/>
      <c r="P38" s="2"/>
      <c r="Q38" s="2"/>
      <c r="R38" s="2"/>
      <c r="S38" s="2"/>
      <c r="T38" s="2"/>
      <c r="U38" s="2"/>
      <c r="V38" s="2"/>
    </row>
    <row r="39" spans="1:22" customFormat="1" x14ac:dyDescent="0.45">
      <c r="A39" s="2"/>
      <c r="B39" s="2"/>
      <c r="C39" s="2"/>
      <c r="D39" s="4" t="s">
        <v>879</v>
      </c>
      <c r="F39" s="2"/>
      <c r="G39" s="2"/>
      <c r="H39" s="2"/>
      <c r="I39" s="2"/>
      <c r="J39" s="2"/>
      <c r="K39" s="13" t="s">
        <v>823</v>
      </c>
      <c r="L39" s="2"/>
      <c r="M39" s="2"/>
      <c r="N39" s="2"/>
      <c r="O39" s="2"/>
      <c r="P39" s="2"/>
      <c r="Q39" s="2"/>
      <c r="R39" s="2"/>
      <c r="S39" s="2"/>
      <c r="T39" s="2"/>
      <c r="U39" s="2"/>
      <c r="V39" s="2"/>
    </row>
    <row r="40" spans="1:22" customFormat="1" x14ac:dyDescent="0.45">
      <c r="A40" s="2"/>
      <c r="B40" s="2"/>
      <c r="C40" s="2"/>
      <c r="D40" s="4" t="s">
        <v>880</v>
      </c>
      <c r="F40" s="2"/>
      <c r="G40" s="2"/>
      <c r="H40" s="2"/>
      <c r="I40" s="2"/>
      <c r="J40" s="2"/>
      <c r="K40" s="13" t="s">
        <v>660</v>
      </c>
      <c r="L40" s="2"/>
      <c r="M40" s="2"/>
      <c r="N40" s="2"/>
      <c r="O40" s="2"/>
      <c r="P40" s="2"/>
      <c r="Q40" s="2"/>
      <c r="R40" s="2"/>
      <c r="S40" s="2"/>
      <c r="T40" s="2"/>
      <c r="U40" s="2"/>
      <c r="V40" s="2"/>
    </row>
    <row r="41" spans="1:22" customFormat="1" x14ac:dyDescent="0.45">
      <c r="A41" s="2"/>
      <c r="B41" s="2"/>
      <c r="C41" s="2"/>
      <c r="D41" s="4" t="s">
        <v>881</v>
      </c>
      <c r="F41" s="2"/>
      <c r="G41" s="2"/>
      <c r="H41" s="2"/>
      <c r="I41" s="2"/>
      <c r="J41" s="2"/>
      <c r="K41" s="13" t="s">
        <v>38</v>
      </c>
      <c r="L41" s="2"/>
      <c r="M41" s="2"/>
      <c r="N41" s="2"/>
      <c r="O41" s="2"/>
      <c r="P41" s="2"/>
      <c r="Q41" s="2"/>
      <c r="R41" s="2"/>
      <c r="S41" s="2"/>
      <c r="T41" s="2"/>
      <c r="U41" s="2"/>
      <c r="V41" s="2"/>
    </row>
    <row r="42" spans="1:22" customFormat="1" x14ac:dyDescent="0.45">
      <c r="A42" s="2"/>
      <c r="B42" s="2"/>
      <c r="C42" s="2"/>
      <c r="D42" s="4" t="s">
        <v>882</v>
      </c>
      <c r="F42" s="2"/>
      <c r="G42" s="2"/>
      <c r="H42" s="2"/>
      <c r="I42" s="2"/>
      <c r="J42" s="2"/>
      <c r="K42" s="16" t="s">
        <v>883</v>
      </c>
      <c r="L42" s="2"/>
      <c r="M42" s="2"/>
      <c r="N42" s="2"/>
      <c r="O42" s="2"/>
      <c r="P42" s="2"/>
      <c r="Q42" s="2"/>
      <c r="R42" s="2"/>
      <c r="S42" s="2"/>
      <c r="T42" s="2"/>
      <c r="U42" s="2"/>
      <c r="V42" s="2"/>
    </row>
    <row r="43" spans="1:22" customFormat="1" x14ac:dyDescent="0.45">
      <c r="A43" s="2"/>
      <c r="B43" s="2"/>
      <c r="C43" s="2"/>
      <c r="D43" s="4" t="s">
        <v>884</v>
      </c>
      <c r="F43" s="2"/>
      <c r="G43" s="2"/>
      <c r="H43" s="2"/>
      <c r="I43" s="2"/>
      <c r="J43" s="2"/>
      <c r="K43" s="16" t="s">
        <v>243</v>
      </c>
      <c r="L43" s="2"/>
      <c r="M43" s="2"/>
      <c r="N43" s="2"/>
      <c r="O43" s="2"/>
      <c r="P43" s="2"/>
      <c r="Q43" s="2"/>
      <c r="R43" s="2"/>
      <c r="S43" s="2"/>
      <c r="T43" s="2"/>
      <c r="U43" s="2"/>
      <c r="V43" s="2"/>
    </row>
    <row r="44" spans="1:22" customFormat="1" x14ac:dyDescent="0.45">
      <c r="A44" s="2"/>
      <c r="B44" s="2"/>
      <c r="C44" s="2"/>
      <c r="D44" s="4" t="s">
        <v>885</v>
      </c>
      <c r="F44" s="2"/>
      <c r="G44" s="2"/>
      <c r="H44" s="2"/>
      <c r="I44" s="2"/>
      <c r="J44" s="2"/>
      <c r="K44" s="5" t="s">
        <v>62</v>
      </c>
      <c r="L44" s="2"/>
      <c r="M44" s="2"/>
      <c r="N44" s="2"/>
      <c r="O44" s="2"/>
      <c r="P44" s="2"/>
      <c r="Q44" s="2"/>
      <c r="R44" s="2"/>
      <c r="S44" s="2"/>
      <c r="T44" s="2"/>
      <c r="U44" s="2"/>
      <c r="V44" s="2"/>
    </row>
    <row r="45" spans="1:22" customFormat="1" x14ac:dyDescent="0.45">
      <c r="A45" s="2"/>
      <c r="B45" s="2"/>
      <c r="C45" s="2"/>
      <c r="D45" s="4" t="s">
        <v>886</v>
      </c>
      <c r="F45" s="2"/>
      <c r="G45" s="2"/>
      <c r="H45" s="2"/>
      <c r="I45" s="2"/>
      <c r="J45" s="2"/>
      <c r="K45" s="5" t="s">
        <v>508</v>
      </c>
      <c r="L45" s="2"/>
      <c r="M45" s="2"/>
      <c r="N45" s="2"/>
      <c r="O45" s="2"/>
      <c r="P45" s="2"/>
      <c r="Q45" s="2"/>
      <c r="R45" s="2"/>
      <c r="S45" s="2"/>
      <c r="T45" s="2"/>
      <c r="U45" s="2"/>
      <c r="V45" s="2"/>
    </row>
    <row r="46" spans="1:22" customFormat="1" x14ac:dyDescent="0.45">
      <c r="A46" s="2"/>
      <c r="B46" s="2"/>
      <c r="C46" s="2"/>
      <c r="D46" s="4" t="s">
        <v>887</v>
      </c>
      <c r="F46" s="2"/>
      <c r="G46" s="2"/>
      <c r="H46" s="2"/>
      <c r="I46" s="2"/>
      <c r="J46" s="2"/>
      <c r="K46" s="5" t="s">
        <v>301</v>
      </c>
      <c r="L46" s="2"/>
      <c r="M46" s="2"/>
      <c r="N46" s="2"/>
      <c r="O46" s="2"/>
      <c r="P46" s="2"/>
      <c r="Q46" s="2"/>
      <c r="R46" s="2"/>
      <c r="S46" s="2"/>
      <c r="T46" s="2"/>
      <c r="U46" s="2"/>
      <c r="V46" s="2"/>
    </row>
    <row r="47" spans="1:22" customFormat="1" x14ac:dyDescent="0.45">
      <c r="A47" s="2"/>
      <c r="B47" s="2"/>
      <c r="C47" s="2"/>
      <c r="D47" s="4" t="s">
        <v>888</v>
      </c>
      <c r="F47" s="2"/>
      <c r="G47" s="2"/>
      <c r="H47" s="2"/>
      <c r="I47" s="2"/>
      <c r="J47" s="2"/>
      <c r="K47" s="5" t="s">
        <v>548</v>
      </c>
      <c r="L47" s="2"/>
      <c r="M47" s="2"/>
      <c r="N47" s="2"/>
      <c r="O47" s="2"/>
      <c r="P47" s="2"/>
      <c r="Q47" s="2"/>
      <c r="R47" s="2"/>
      <c r="S47" s="2"/>
      <c r="T47" s="2"/>
      <c r="U47" s="2"/>
      <c r="V47" s="2"/>
    </row>
    <row r="48" spans="1:22" customFormat="1" x14ac:dyDescent="0.45">
      <c r="A48" s="2"/>
      <c r="B48" s="2"/>
      <c r="C48" s="2"/>
      <c r="D48" s="4" t="s">
        <v>889</v>
      </c>
      <c r="F48" s="2"/>
      <c r="G48" s="2"/>
      <c r="H48" s="2"/>
      <c r="I48" s="2"/>
      <c r="J48" s="2"/>
      <c r="K48" s="5" t="s">
        <v>232</v>
      </c>
      <c r="L48" s="2"/>
      <c r="M48" s="2"/>
      <c r="N48" s="2"/>
      <c r="O48" s="2"/>
      <c r="P48" s="2"/>
      <c r="Q48" s="2"/>
      <c r="R48" s="2"/>
      <c r="S48" s="2"/>
      <c r="T48" s="2"/>
      <c r="U48" s="2"/>
      <c r="V48" s="2"/>
    </row>
    <row r="49" spans="1:22" customFormat="1" x14ac:dyDescent="0.45">
      <c r="A49" s="2"/>
      <c r="B49" s="2"/>
      <c r="C49" s="2"/>
      <c r="D49" s="5" t="s">
        <v>406</v>
      </c>
      <c r="F49" s="2"/>
      <c r="G49" s="2"/>
      <c r="H49" s="2"/>
      <c r="I49" s="2"/>
      <c r="J49" s="2"/>
      <c r="K49" s="5" t="s">
        <v>682</v>
      </c>
      <c r="L49" s="2"/>
      <c r="M49" s="2"/>
      <c r="N49" s="2"/>
      <c r="O49" s="2"/>
      <c r="P49" s="2"/>
      <c r="Q49" s="2"/>
      <c r="R49" s="2"/>
      <c r="S49" s="2"/>
      <c r="T49" s="2"/>
      <c r="U49" s="2"/>
      <c r="V49" s="2"/>
    </row>
    <row r="50" spans="1:22" customFormat="1" x14ac:dyDescent="0.45">
      <c r="A50" s="2"/>
      <c r="B50" s="2"/>
      <c r="C50" s="2"/>
      <c r="D50" s="5" t="s">
        <v>890</v>
      </c>
      <c r="F50" s="2"/>
      <c r="G50" s="2"/>
      <c r="H50" s="2"/>
      <c r="I50" s="2"/>
      <c r="J50" s="2"/>
      <c r="K50" s="5" t="s">
        <v>720</v>
      </c>
      <c r="L50" s="2"/>
      <c r="M50" s="2"/>
      <c r="N50" s="2"/>
      <c r="O50" s="2"/>
      <c r="P50" s="2"/>
      <c r="Q50" s="2"/>
      <c r="R50" s="2"/>
      <c r="S50" s="2"/>
      <c r="T50" s="2"/>
      <c r="U50" s="2"/>
      <c r="V50" s="2"/>
    </row>
    <row r="51" spans="1:22" customFormat="1" x14ac:dyDescent="0.45">
      <c r="A51" s="2"/>
      <c r="B51" s="2"/>
      <c r="C51" s="2"/>
      <c r="D51" s="5" t="s">
        <v>891</v>
      </c>
      <c r="F51" s="2"/>
      <c r="G51" s="2"/>
      <c r="H51" s="2"/>
      <c r="I51" s="2"/>
      <c r="J51" s="2"/>
      <c r="K51" s="5" t="s">
        <v>698</v>
      </c>
      <c r="L51" s="2"/>
      <c r="M51" s="2"/>
      <c r="N51" s="2"/>
      <c r="O51" s="2"/>
      <c r="P51" s="2"/>
      <c r="Q51" s="2"/>
      <c r="R51" s="2"/>
      <c r="S51" s="2"/>
      <c r="T51" s="2"/>
      <c r="U51" s="2"/>
      <c r="V51" s="2"/>
    </row>
    <row r="52" spans="1:22" customFormat="1" x14ac:dyDescent="0.45">
      <c r="A52" s="2"/>
      <c r="B52" s="2"/>
      <c r="C52" s="2"/>
      <c r="D52" s="5" t="s">
        <v>892</v>
      </c>
      <c r="F52" s="2"/>
      <c r="G52" s="2"/>
      <c r="H52" s="2"/>
      <c r="I52" s="2"/>
      <c r="J52" s="2"/>
      <c r="K52" s="5" t="s">
        <v>893</v>
      </c>
      <c r="L52" s="2"/>
      <c r="M52" s="2"/>
      <c r="N52" s="2"/>
      <c r="O52" s="2"/>
      <c r="P52" s="2"/>
      <c r="Q52" s="2"/>
      <c r="R52" s="2"/>
      <c r="S52" s="2"/>
      <c r="T52" s="2"/>
      <c r="U52" s="2"/>
      <c r="V52" s="2"/>
    </row>
    <row r="53" spans="1:22" customFormat="1" x14ac:dyDescent="0.45">
      <c r="A53" s="2"/>
      <c r="B53" s="2"/>
      <c r="C53" s="2"/>
      <c r="D53" s="5" t="s">
        <v>894</v>
      </c>
      <c r="F53" s="2"/>
      <c r="G53" s="2"/>
      <c r="H53" s="2"/>
      <c r="I53" s="2"/>
      <c r="J53" s="2"/>
      <c r="K53" s="5" t="s">
        <v>500</v>
      </c>
      <c r="L53" s="2"/>
      <c r="M53" s="2"/>
      <c r="N53" s="2"/>
      <c r="O53" s="2"/>
      <c r="P53" s="2"/>
      <c r="Q53" s="2"/>
      <c r="R53" s="2"/>
      <c r="S53" s="2"/>
      <c r="T53" s="2"/>
      <c r="U53" s="2"/>
      <c r="V53" s="2"/>
    </row>
    <row r="54" spans="1:22" customFormat="1" x14ac:dyDescent="0.45">
      <c r="A54" s="2"/>
      <c r="B54" s="2"/>
      <c r="C54" s="2"/>
      <c r="D54" s="5" t="s">
        <v>895</v>
      </c>
      <c r="F54" s="2"/>
      <c r="G54" s="2"/>
      <c r="H54" s="2"/>
      <c r="I54" s="2"/>
      <c r="J54" s="2"/>
      <c r="K54" s="5" t="s">
        <v>252</v>
      </c>
      <c r="L54" s="2"/>
      <c r="M54" s="2"/>
      <c r="N54" s="2"/>
      <c r="O54" s="2"/>
      <c r="P54" s="2"/>
      <c r="Q54" s="2"/>
      <c r="R54" s="2"/>
      <c r="S54" s="2"/>
      <c r="T54" s="2"/>
      <c r="U54" s="2"/>
      <c r="V54" s="2"/>
    </row>
    <row r="55" spans="1:22" customFormat="1" x14ac:dyDescent="0.45">
      <c r="A55" s="2"/>
      <c r="B55" s="2"/>
      <c r="C55" s="2"/>
      <c r="D55" s="5" t="s">
        <v>277</v>
      </c>
      <c r="F55" s="2"/>
      <c r="G55" s="2"/>
      <c r="H55" s="2"/>
      <c r="I55" s="2"/>
      <c r="J55" s="2"/>
      <c r="K55" s="5" t="s">
        <v>494</v>
      </c>
      <c r="L55" s="2"/>
      <c r="M55" s="2"/>
      <c r="N55" s="2"/>
      <c r="O55" s="2"/>
      <c r="P55" s="2"/>
      <c r="Q55" s="2"/>
      <c r="R55" s="2"/>
      <c r="S55" s="2"/>
      <c r="T55" s="2"/>
      <c r="U55" s="2"/>
      <c r="V55" s="2"/>
    </row>
    <row r="56" spans="1:22" customFormat="1" x14ac:dyDescent="0.45">
      <c r="A56" s="2"/>
      <c r="B56" s="2"/>
      <c r="C56" s="2"/>
      <c r="D56" s="5" t="s">
        <v>896</v>
      </c>
      <c r="F56" s="2"/>
      <c r="G56" s="2"/>
      <c r="H56" s="2"/>
      <c r="I56" s="2"/>
      <c r="J56" s="2"/>
      <c r="K56" s="1" t="s">
        <v>281</v>
      </c>
      <c r="L56" s="2"/>
      <c r="M56" s="2"/>
      <c r="N56" s="2"/>
      <c r="O56" s="2"/>
      <c r="P56" s="2"/>
      <c r="Q56" s="2"/>
      <c r="R56" s="2"/>
      <c r="S56" s="2"/>
      <c r="T56" s="2"/>
      <c r="U56" s="2"/>
      <c r="V56" s="2"/>
    </row>
    <row r="57" spans="1:22" customFormat="1" x14ac:dyDescent="0.45">
      <c r="A57" s="2"/>
      <c r="B57" s="2"/>
      <c r="C57" s="2"/>
      <c r="D57" s="5" t="s">
        <v>897</v>
      </c>
      <c r="F57" s="2"/>
      <c r="G57" s="2"/>
      <c r="H57" s="2"/>
      <c r="I57" s="2"/>
      <c r="J57" s="2"/>
      <c r="K57" s="1" t="s">
        <v>295</v>
      </c>
      <c r="L57" s="2"/>
      <c r="M57" s="2"/>
      <c r="N57" s="2"/>
      <c r="O57" s="2"/>
      <c r="P57" s="2"/>
      <c r="Q57" s="2"/>
      <c r="R57" s="2"/>
      <c r="S57" s="2"/>
      <c r="T57" s="2"/>
      <c r="U57" s="2"/>
      <c r="V57" s="2"/>
    </row>
    <row r="58" spans="1:22" customFormat="1" x14ac:dyDescent="0.45">
      <c r="A58" s="2"/>
      <c r="B58" s="2"/>
      <c r="C58" s="2"/>
      <c r="D58" s="5" t="s">
        <v>898</v>
      </c>
      <c r="F58" s="2"/>
      <c r="G58" s="2"/>
      <c r="H58" s="2"/>
      <c r="I58" s="2"/>
      <c r="J58" s="2"/>
      <c r="K58" s="1" t="s">
        <v>285</v>
      </c>
      <c r="L58" s="2"/>
      <c r="M58" s="2"/>
      <c r="N58" s="2"/>
      <c r="O58" s="2"/>
      <c r="P58" s="2"/>
      <c r="Q58" s="2"/>
      <c r="R58" s="2"/>
      <c r="S58" s="2"/>
      <c r="T58" s="2"/>
      <c r="U58" s="2"/>
      <c r="V58" s="2"/>
    </row>
    <row r="59" spans="1:22" customFormat="1" x14ac:dyDescent="0.45">
      <c r="A59" s="2"/>
      <c r="B59" s="2"/>
      <c r="C59" s="2"/>
      <c r="D59" s="5" t="s">
        <v>899</v>
      </c>
      <c r="F59" s="2"/>
      <c r="G59" s="2"/>
      <c r="H59" s="2"/>
      <c r="I59" s="2"/>
      <c r="J59" s="2"/>
      <c r="K59" s="1" t="s">
        <v>296</v>
      </c>
      <c r="L59" s="2"/>
      <c r="M59" s="2"/>
      <c r="N59" s="2"/>
      <c r="O59" s="2"/>
      <c r="P59" s="2"/>
      <c r="Q59" s="2"/>
      <c r="R59" s="2"/>
      <c r="S59" s="2"/>
      <c r="T59" s="2"/>
      <c r="U59" s="2"/>
      <c r="V59" s="2"/>
    </row>
    <row r="60" spans="1:22" customFormat="1" x14ac:dyDescent="0.45">
      <c r="A60" s="2"/>
      <c r="B60" s="2"/>
      <c r="C60" s="2"/>
      <c r="D60" s="5" t="s">
        <v>538</v>
      </c>
      <c r="F60" s="2"/>
      <c r="G60" s="2"/>
      <c r="H60" s="2"/>
      <c r="I60" s="2"/>
      <c r="J60" s="2"/>
      <c r="K60" s="1" t="s">
        <v>426</v>
      </c>
      <c r="L60" s="2"/>
      <c r="M60" s="2"/>
      <c r="N60" s="2"/>
      <c r="O60" s="2"/>
      <c r="P60" s="2"/>
      <c r="Q60" s="2"/>
      <c r="R60" s="2"/>
      <c r="S60" s="2"/>
      <c r="T60" s="2"/>
      <c r="U60" s="2"/>
      <c r="V60" s="2"/>
    </row>
    <row r="61" spans="1:22" customFormat="1" x14ac:dyDescent="0.45">
      <c r="A61" s="2"/>
      <c r="B61" s="2"/>
      <c r="C61" s="2"/>
      <c r="D61" s="5" t="s">
        <v>900</v>
      </c>
      <c r="F61" s="2"/>
      <c r="G61" s="2"/>
      <c r="H61" s="2"/>
      <c r="I61" s="2"/>
      <c r="J61" s="2"/>
      <c r="K61" s="1" t="s">
        <v>901</v>
      </c>
      <c r="L61" s="2"/>
      <c r="M61" s="2"/>
      <c r="N61" s="2"/>
      <c r="O61" s="2"/>
      <c r="P61" s="2"/>
      <c r="Q61" s="2"/>
      <c r="R61" s="2"/>
      <c r="S61" s="2"/>
      <c r="T61" s="2"/>
      <c r="U61" s="2"/>
      <c r="V61" s="2"/>
    </row>
    <row r="62" spans="1:22" customFormat="1" x14ac:dyDescent="0.45">
      <c r="A62" s="2"/>
      <c r="B62" s="2"/>
      <c r="C62" s="2"/>
      <c r="D62" s="5" t="s">
        <v>902</v>
      </c>
      <c r="F62" s="2"/>
      <c r="G62" s="2"/>
      <c r="H62" s="2"/>
      <c r="I62" s="2"/>
      <c r="J62" s="2"/>
      <c r="K62" s="1" t="s">
        <v>903</v>
      </c>
      <c r="L62" s="2"/>
      <c r="M62" s="2"/>
      <c r="N62" s="2"/>
      <c r="O62" s="2"/>
      <c r="P62" s="2"/>
      <c r="Q62" s="2"/>
      <c r="R62" s="2"/>
      <c r="S62" s="2"/>
      <c r="T62" s="2"/>
      <c r="U62" s="2"/>
      <c r="V62" s="2"/>
    </row>
    <row r="63" spans="1:22" customFormat="1" x14ac:dyDescent="0.45">
      <c r="A63" s="2"/>
      <c r="B63" s="2"/>
      <c r="C63" s="2"/>
      <c r="D63" s="5" t="s">
        <v>904</v>
      </c>
      <c r="F63" s="2"/>
      <c r="G63" s="2"/>
      <c r="H63" s="2"/>
      <c r="I63" s="2"/>
      <c r="J63" s="2"/>
      <c r="K63" s="1" t="s">
        <v>445</v>
      </c>
      <c r="L63" s="2"/>
      <c r="M63" s="2"/>
      <c r="N63" s="2"/>
      <c r="O63" s="2"/>
      <c r="P63" s="2"/>
      <c r="Q63" s="2"/>
      <c r="R63" s="2"/>
      <c r="S63" s="2"/>
      <c r="T63" s="2"/>
      <c r="U63" s="2"/>
      <c r="V63" s="2"/>
    </row>
    <row r="64" spans="1:22" customFormat="1" x14ac:dyDescent="0.45">
      <c r="A64" s="2"/>
      <c r="B64" s="2"/>
      <c r="C64" s="2"/>
      <c r="D64" s="5" t="s">
        <v>677</v>
      </c>
      <c r="F64" s="2"/>
      <c r="G64" s="2"/>
      <c r="H64" s="2"/>
      <c r="I64" s="2"/>
      <c r="J64" s="2"/>
      <c r="K64" s="1" t="s">
        <v>464</v>
      </c>
      <c r="L64" s="2"/>
      <c r="M64" s="2"/>
      <c r="N64" s="2"/>
      <c r="O64" s="2"/>
      <c r="P64" s="2"/>
      <c r="Q64" s="2"/>
      <c r="R64" s="2"/>
      <c r="S64" s="2"/>
      <c r="T64" s="2"/>
      <c r="U64" s="2"/>
      <c r="V64" s="2"/>
    </row>
    <row r="65" spans="1:22" customFormat="1" x14ac:dyDescent="0.45">
      <c r="A65" s="2"/>
      <c r="B65" s="2"/>
      <c r="C65" s="2"/>
      <c r="D65" s="5" t="s">
        <v>407</v>
      </c>
      <c r="F65" s="2"/>
      <c r="G65" s="2"/>
      <c r="H65" s="2"/>
      <c r="I65" s="2"/>
      <c r="J65" s="2"/>
      <c r="K65" s="1" t="s">
        <v>905</v>
      </c>
      <c r="L65" s="2"/>
      <c r="M65" s="2"/>
      <c r="N65" s="2"/>
      <c r="O65" s="2"/>
      <c r="P65" s="2"/>
      <c r="Q65" s="2"/>
      <c r="R65" s="2"/>
      <c r="S65" s="2"/>
      <c r="T65" s="2"/>
      <c r="U65" s="2"/>
      <c r="V65" s="2"/>
    </row>
    <row r="66" spans="1:22" customFormat="1" x14ac:dyDescent="0.45">
      <c r="A66" s="2"/>
      <c r="B66" s="2"/>
      <c r="C66" s="2"/>
      <c r="D66" s="5" t="s">
        <v>266</v>
      </c>
      <c r="F66" s="2"/>
      <c r="G66" s="2"/>
      <c r="H66" s="2"/>
      <c r="I66" s="2"/>
      <c r="J66" s="2"/>
      <c r="K66" s="1" t="s">
        <v>148</v>
      </c>
      <c r="L66" s="2"/>
      <c r="M66" s="2"/>
      <c r="N66" s="2"/>
      <c r="O66" s="2"/>
      <c r="P66" s="2"/>
      <c r="Q66" s="2"/>
      <c r="R66" s="2"/>
      <c r="S66" s="2"/>
      <c r="T66" s="2"/>
      <c r="U66" s="2"/>
      <c r="V66" s="2"/>
    </row>
    <row r="67" spans="1:22" customFormat="1" x14ac:dyDescent="0.45">
      <c r="A67" s="2"/>
      <c r="B67" s="2"/>
      <c r="C67" s="2"/>
      <c r="D67" s="5" t="s">
        <v>696</v>
      </c>
      <c r="F67" s="2"/>
      <c r="G67" s="2"/>
      <c r="H67" s="2"/>
      <c r="I67" s="2"/>
      <c r="J67" s="2"/>
      <c r="K67" s="17" t="s">
        <v>202</v>
      </c>
      <c r="L67" s="2"/>
      <c r="M67" s="2"/>
      <c r="N67" s="2"/>
      <c r="O67" s="2"/>
      <c r="P67" s="2"/>
      <c r="Q67" s="2"/>
      <c r="R67" s="2"/>
      <c r="S67" s="2"/>
      <c r="T67" s="2"/>
      <c r="U67" s="2"/>
      <c r="V67" s="2"/>
    </row>
    <row r="68" spans="1:22" customFormat="1" x14ac:dyDescent="0.45">
      <c r="A68" s="2"/>
      <c r="B68" s="2"/>
      <c r="C68" s="2"/>
      <c r="D68" s="5" t="s">
        <v>906</v>
      </c>
      <c r="F68" s="2"/>
      <c r="G68" s="2"/>
      <c r="H68" s="2"/>
      <c r="I68" s="2"/>
      <c r="J68" s="2"/>
      <c r="K68" s="27" t="s">
        <v>331</v>
      </c>
      <c r="L68" s="2"/>
      <c r="M68" s="2"/>
      <c r="N68" s="2"/>
      <c r="O68" s="2"/>
      <c r="P68" s="2"/>
      <c r="Q68" s="2"/>
      <c r="R68" s="2"/>
      <c r="S68" s="2"/>
      <c r="T68" s="2"/>
      <c r="U68" s="2"/>
      <c r="V68" s="2"/>
    </row>
    <row r="69" spans="1:22" customFormat="1" x14ac:dyDescent="0.45">
      <c r="A69" s="2"/>
      <c r="B69" s="2"/>
      <c r="C69" s="2"/>
      <c r="D69" s="8" t="s">
        <v>907</v>
      </c>
      <c r="F69" s="2"/>
      <c r="G69" s="2"/>
      <c r="H69" s="2"/>
      <c r="I69" s="2"/>
      <c r="J69" s="2"/>
      <c r="K69" s="27" t="s">
        <v>264</v>
      </c>
      <c r="L69" s="2"/>
      <c r="M69" s="2"/>
      <c r="N69" s="2"/>
      <c r="O69" s="2"/>
      <c r="P69" s="2"/>
      <c r="Q69" s="2"/>
      <c r="R69" s="2"/>
      <c r="S69" s="2"/>
      <c r="T69" s="2"/>
      <c r="U69" s="2"/>
      <c r="V69" s="2"/>
    </row>
    <row r="70" spans="1:22" customFormat="1" x14ac:dyDescent="0.45">
      <c r="A70" s="2"/>
      <c r="B70" s="2"/>
      <c r="C70" s="2"/>
      <c r="D70" s="8" t="s">
        <v>908</v>
      </c>
      <c r="F70" s="2"/>
      <c r="G70" s="2"/>
      <c r="H70" s="2"/>
      <c r="I70" s="2"/>
      <c r="J70" s="2"/>
      <c r="K70" s="27" t="s">
        <v>345</v>
      </c>
      <c r="L70" s="2"/>
      <c r="M70" s="2"/>
      <c r="N70" s="2"/>
      <c r="O70" s="2"/>
      <c r="P70" s="2"/>
      <c r="Q70" s="2"/>
      <c r="R70" s="2"/>
      <c r="S70" s="2"/>
      <c r="T70" s="2"/>
      <c r="U70" s="2"/>
      <c r="V70" s="2"/>
    </row>
    <row r="71" spans="1:22" customFormat="1" x14ac:dyDescent="0.45">
      <c r="A71" s="2"/>
      <c r="B71" s="2"/>
      <c r="C71" s="2"/>
      <c r="D71" s="8" t="s">
        <v>619</v>
      </c>
      <c r="F71" s="2"/>
      <c r="G71" s="2"/>
      <c r="H71" s="2"/>
      <c r="I71" s="2"/>
      <c r="J71" s="2"/>
      <c r="K71" s="27" t="s">
        <v>303</v>
      </c>
      <c r="L71" s="2"/>
      <c r="M71" s="2"/>
      <c r="N71" s="2"/>
      <c r="O71" s="2"/>
      <c r="P71" s="2"/>
      <c r="Q71" s="2"/>
      <c r="R71" s="2"/>
      <c r="S71" s="2"/>
      <c r="T71" s="2"/>
      <c r="U71" s="2"/>
      <c r="V71" s="2"/>
    </row>
    <row r="72" spans="1:22" customFormat="1" x14ac:dyDescent="0.45">
      <c r="A72" s="2"/>
      <c r="B72" s="2"/>
      <c r="C72" s="2"/>
      <c r="D72" s="8" t="s">
        <v>909</v>
      </c>
      <c r="F72" s="2"/>
      <c r="G72" s="2"/>
      <c r="H72" s="2"/>
      <c r="I72" s="2"/>
      <c r="J72" s="2"/>
      <c r="K72" s="27" t="s">
        <v>269</v>
      </c>
      <c r="L72" s="2"/>
      <c r="M72" s="2"/>
      <c r="N72" s="2"/>
      <c r="O72" s="2"/>
      <c r="P72" s="2"/>
      <c r="Q72" s="2"/>
      <c r="R72" s="2"/>
      <c r="S72" s="2"/>
      <c r="T72" s="2"/>
      <c r="U72" s="2"/>
      <c r="V72" s="2"/>
    </row>
    <row r="73" spans="1:22" customFormat="1" x14ac:dyDescent="0.45">
      <c r="A73" s="2"/>
      <c r="B73" s="2"/>
      <c r="C73" s="2"/>
      <c r="D73" s="8" t="s">
        <v>486</v>
      </c>
      <c r="F73" s="2"/>
      <c r="G73" s="2"/>
      <c r="H73" s="2"/>
      <c r="I73" s="2"/>
      <c r="J73" s="2"/>
      <c r="K73" s="27" t="s">
        <v>703</v>
      </c>
      <c r="L73" s="2"/>
      <c r="M73" s="2"/>
      <c r="N73" s="2"/>
      <c r="O73" s="2"/>
      <c r="P73" s="2"/>
      <c r="Q73" s="2"/>
      <c r="R73" s="2"/>
      <c r="S73" s="2"/>
      <c r="T73" s="2"/>
      <c r="U73" s="2"/>
      <c r="V73" s="2"/>
    </row>
    <row r="74" spans="1:22" customFormat="1" x14ac:dyDescent="0.45">
      <c r="A74" s="2"/>
      <c r="B74" s="2"/>
      <c r="C74" s="2"/>
      <c r="D74" s="8" t="s">
        <v>910</v>
      </c>
      <c r="F74" s="2"/>
      <c r="G74" s="2"/>
      <c r="H74" s="2"/>
      <c r="I74" s="2"/>
      <c r="J74" s="2"/>
      <c r="K74" s="27" t="s">
        <v>587</v>
      </c>
      <c r="L74" s="2"/>
      <c r="M74" s="2"/>
      <c r="N74" s="2"/>
      <c r="O74" s="2"/>
      <c r="P74" s="2"/>
      <c r="Q74" s="2"/>
      <c r="R74" s="2"/>
      <c r="S74" s="2"/>
      <c r="T74" s="2"/>
      <c r="U74" s="2"/>
      <c r="V74" s="2"/>
    </row>
    <row r="75" spans="1:22" customFormat="1" x14ac:dyDescent="0.45">
      <c r="A75" s="2"/>
      <c r="B75" s="2"/>
      <c r="C75" s="2"/>
      <c r="D75" s="8" t="s">
        <v>911</v>
      </c>
      <c r="F75" s="2"/>
      <c r="G75" s="2"/>
      <c r="H75" s="2"/>
      <c r="I75" s="2"/>
      <c r="J75" s="2"/>
      <c r="K75" s="27" t="s">
        <v>701</v>
      </c>
      <c r="L75" s="2"/>
      <c r="M75" s="2"/>
      <c r="N75" s="2"/>
      <c r="O75" s="2"/>
      <c r="P75" s="2"/>
      <c r="Q75" s="2"/>
      <c r="R75" s="2"/>
      <c r="S75" s="2"/>
      <c r="T75" s="2"/>
      <c r="U75" s="2"/>
      <c r="V75" s="2"/>
    </row>
    <row r="76" spans="1:22" customFormat="1" x14ac:dyDescent="0.45">
      <c r="A76" s="2"/>
      <c r="B76" s="2"/>
      <c r="C76" s="2"/>
      <c r="D76" s="8" t="s">
        <v>737</v>
      </c>
      <c r="F76" s="2"/>
      <c r="G76" s="2"/>
      <c r="H76" s="2"/>
      <c r="I76" s="2"/>
      <c r="J76" s="2"/>
      <c r="K76" s="27" t="s">
        <v>420</v>
      </c>
      <c r="L76" s="2"/>
      <c r="M76" s="2"/>
      <c r="N76" s="2"/>
      <c r="O76" s="2"/>
      <c r="P76" s="2"/>
      <c r="Q76" s="2"/>
      <c r="R76" s="2"/>
      <c r="S76" s="2"/>
      <c r="T76" s="2"/>
      <c r="U76" s="2"/>
      <c r="V76" s="2"/>
    </row>
    <row r="77" spans="1:22" customFormat="1" x14ac:dyDescent="0.45">
      <c r="A77" s="2"/>
      <c r="B77" s="2"/>
      <c r="C77" s="2"/>
      <c r="D77" s="8" t="s">
        <v>723</v>
      </c>
      <c r="F77" s="2"/>
      <c r="G77" s="2"/>
      <c r="H77" s="2"/>
      <c r="I77" s="2"/>
      <c r="J77" s="2"/>
      <c r="K77" s="28" t="s">
        <v>620</v>
      </c>
      <c r="L77" s="2"/>
      <c r="M77" s="2"/>
      <c r="N77" s="2"/>
      <c r="O77" s="2"/>
      <c r="P77" s="2"/>
      <c r="Q77" s="2"/>
      <c r="R77" s="2"/>
      <c r="S77" s="2"/>
      <c r="T77" s="2"/>
      <c r="U77" s="2"/>
      <c r="V77" s="2"/>
    </row>
    <row r="78" spans="1:22" customFormat="1" x14ac:dyDescent="0.45">
      <c r="A78" s="2"/>
      <c r="B78" s="2"/>
      <c r="C78" s="2"/>
      <c r="D78" s="8" t="s">
        <v>912</v>
      </c>
      <c r="F78" s="2"/>
      <c r="G78" s="2"/>
      <c r="H78" s="2"/>
      <c r="I78" s="2"/>
      <c r="J78" s="2"/>
      <c r="K78" s="28" t="s">
        <v>245</v>
      </c>
      <c r="L78" s="2"/>
      <c r="M78" s="2"/>
      <c r="N78" s="2"/>
      <c r="O78" s="2"/>
      <c r="P78" s="2"/>
      <c r="Q78" s="2"/>
      <c r="R78" s="2"/>
      <c r="S78" s="2"/>
      <c r="T78" s="2"/>
      <c r="U78" s="2"/>
      <c r="V78" s="2"/>
    </row>
    <row r="79" spans="1:22" customFormat="1" x14ac:dyDescent="0.45">
      <c r="A79" s="2"/>
      <c r="B79" s="2"/>
      <c r="C79" s="2"/>
      <c r="D79" s="8" t="s">
        <v>788</v>
      </c>
      <c r="F79" s="2"/>
      <c r="G79" s="2"/>
      <c r="H79" s="2"/>
      <c r="I79" s="2"/>
      <c r="J79" s="2"/>
      <c r="K79" s="28" t="s">
        <v>343</v>
      </c>
      <c r="L79" s="2"/>
      <c r="M79" s="2"/>
      <c r="N79" s="2"/>
      <c r="O79" s="2"/>
      <c r="P79" s="2"/>
      <c r="Q79" s="2"/>
      <c r="R79" s="2"/>
      <c r="S79" s="2"/>
      <c r="T79" s="2"/>
      <c r="U79" s="2"/>
      <c r="V79" s="2"/>
    </row>
    <row r="80" spans="1:22" customFormat="1" x14ac:dyDescent="0.45">
      <c r="A80" s="2"/>
      <c r="B80" s="2"/>
      <c r="C80" s="2"/>
      <c r="D80" s="8" t="s">
        <v>256</v>
      </c>
      <c r="F80" s="2"/>
      <c r="G80" s="2"/>
      <c r="H80" s="2"/>
      <c r="I80" s="2"/>
      <c r="J80" s="2"/>
      <c r="K80" s="28" t="s">
        <v>634</v>
      </c>
      <c r="L80" s="2"/>
      <c r="M80" s="2"/>
      <c r="N80" s="2"/>
      <c r="O80" s="2"/>
      <c r="P80" s="2"/>
      <c r="Q80" s="2"/>
      <c r="R80" s="2"/>
      <c r="S80" s="2"/>
      <c r="T80" s="2"/>
      <c r="U80" s="2"/>
      <c r="V80" s="2"/>
    </row>
    <row r="81" spans="1:22" customFormat="1" x14ac:dyDescent="0.45">
      <c r="A81" s="2"/>
      <c r="B81" s="2"/>
      <c r="C81" s="2"/>
      <c r="D81" s="8" t="s">
        <v>158</v>
      </c>
      <c r="F81" s="2"/>
      <c r="G81" s="2"/>
      <c r="H81" s="2"/>
      <c r="I81" s="2"/>
      <c r="J81" s="2"/>
      <c r="K81" s="28" t="s">
        <v>200</v>
      </c>
      <c r="L81" s="2"/>
      <c r="M81" s="2"/>
      <c r="N81" s="2"/>
      <c r="O81" s="2"/>
      <c r="P81" s="2"/>
      <c r="Q81" s="2"/>
      <c r="R81" s="2"/>
      <c r="S81" s="2"/>
      <c r="T81" s="2"/>
      <c r="U81" s="2"/>
      <c r="V81" s="2"/>
    </row>
    <row r="82" spans="1:22" customFormat="1" x14ac:dyDescent="0.45">
      <c r="A82" s="2"/>
      <c r="B82" s="2"/>
      <c r="C82" s="2"/>
      <c r="D82" s="8" t="s">
        <v>477</v>
      </c>
      <c r="F82" s="2"/>
      <c r="G82" s="2"/>
      <c r="H82" s="2"/>
      <c r="I82" s="2"/>
      <c r="J82" s="2"/>
      <c r="K82" s="28" t="s">
        <v>913</v>
      </c>
      <c r="L82" s="2"/>
      <c r="M82" s="2"/>
      <c r="N82" s="2"/>
      <c r="O82" s="2"/>
      <c r="P82" s="2"/>
      <c r="Q82" s="2"/>
      <c r="R82" s="2"/>
      <c r="S82" s="2"/>
      <c r="T82" s="2"/>
      <c r="U82" s="2"/>
      <c r="V82" s="2"/>
    </row>
    <row r="83" spans="1:22" customFormat="1" x14ac:dyDescent="0.45">
      <c r="A83" s="2"/>
      <c r="B83" s="2"/>
      <c r="C83" s="2"/>
      <c r="D83" s="8" t="s">
        <v>914</v>
      </c>
      <c r="F83" s="2"/>
      <c r="G83" s="2"/>
      <c r="H83" s="2"/>
      <c r="I83" s="2"/>
      <c r="J83" s="2"/>
      <c r="K83" s="28" t="s">
        <v>915</v>
      </c>
      <c r="L83" s="2"/>
      <c r="M83" s="2"/>
      <c r="N83" s="2"/>
      <c r="O83" s="2"/>
      <c r="P83" s="2"/>
      <c r="Q83" s="2"/>
      <c r="R83" s="2"/>
      <c r="S83" s="2"/>
      <c r="T83" s="2"/>
      <c r="U83" s="2"/>
      <c r="V83" s="2"/>
    </row>
    <row r="84" spans="1:22" customFormat="1" x14ac:dyDescent="0.45">
      <c r="A84" s="2"/>
      <c r="B84" s="2"/>
      <c r="C84" s="2"/>
      <c r="D84" s="8" t="s">
        <v>916</v>
      </c>
      <c r="F84" s="2"/>
      <c r="G84" s="2"/>
      <c r="H84" s="2"/>
      <c r="I84" s="2"/>
      <c r="J84" s="2"/>
      <c r="K84" s="28" t="s">
        <v>917</v>
      </c>
      <c r="L84" s="2"/>
      <c r="M84" s="2"/>
      <c r="N84" s="2"/>
      <c r="O84" s="2"/>
      <c r="P84" s="2"/>
      <c r="Q84" s="2"/>
      <c r="R84" s="2"/>
      <c r="S84" s="2"/>
      <c r="T84" s="2"/>
      <c r="U84" s="2"/>
      <c r="V84" s="2"/>
    </row>
    <row r="85" spans="1:22" customFormat="1" x14ac:dyDescent="0.45">
      <c r="A85" s="2"/>
      <c r="B85" s="2"/>
      <c r="C85" s="2"/>
      <c r="D85" s="8" t="s">
        <v>918</v>
      </c>
      <c r="F85" s="2"/>
      <c r="G85" s="2"/>
      <c r="H85" s="2"/>
      <c r="I85" s="2"/>
      <c r="J85" s="2"/>
      <c r="K85" s="29" t="s">
        <v>305</v>
      </c>
      <c r="L85" s="2"/>
      <c r="M85" s="2"/>
      <c r="N85" s="2"/>
      <c r="O85" s="2"/>
      <c r="P85" s="2"/>
      <c r="Q85" s="2"/>
      <c r="R85" s="2"/>
      <c r="S85" s="2"/>
      <c r="T85" s="2"/>
      <c r="U85" s="2"/>
      <c r="V85" s="2"/>
    </row>
    <row r="86" spans="1:22" customFormat="1" x14ac:dyDescent="0.45">
      <c r="A86" s="2"/>
      <c r="B86" s="2"/>
      <c r="C86" s="2"/>
      <c r="D86" s="8" t="s">
        <v>919</v>
      </c>
      <c r="F86" s="2"/>
      <c r="G86" s="2"/>
      <c r="H86" s="2"/>
      <c r="I86" s="2"/>
      <c r="J86" s="2"/>
      <c r="K86" s="29" t="s">
        <v>456</v>
      </c>
      <c r="L86" s="2"/>
      <c r="M86" s="2"/>
      <c r="N86" s="2"/>
      <c r="O86" s="2"/>
      <c r="P86" s="2"/>
      <c r="Q86" s="2"/>
      <c r="R86" s="2"/>
      <c r="S86" s="2"/>
      <c r="T86" s="2"/>
      <c r="U86" s="2"/>
      <c r="V86" s="2"/>
    </row>
    <row r="87" spans="1:22" customFormat="1" x14ac:dyDescent="0.45">
      <c r="A87" s="2"/>
      <c r="B87" s="2"/>
      <c r="C87" s="2"/>
      <c r="D87" s="8" t="s">
        <v>394</v>
      </c>
      <c r="F87" s="2"/>
      <c r="G87" s="2"/>
      <c r="H87" s="2"/>
      <c r="I87" s="2"/>
      <c r="J87" s="2"/>
      <c r="K87" s="29" t="s">
        <v>234</v>
      </c>
      <c r="L87" s="2"/>
      <c r="M87" s="2"/>
      <c r="N87" s="2"/>
      <c r="O87" s="2"/>
      <c r="P87" s="2"/>
      <c r="Q87" s="2"/>
      <c r="R87" s="2"/>
      <c r="S87" s="2"/>
      <c r="T87" s="2"/>
      <c r="U87" s="2"/>
      <c r="V87" s="2"/>
    </row>
    <row r="88" spans="1:22" customFormat="1" x14ac:dyDescent="0.45">
      <c r="A88" s="2"/>
      <c r="B88" s="2"/>
      <c r="C88" s="2"/>
      <c r="D88" s="8" t="s">
        <v>920</v>
      </c>
      <c r="F88" s="2"/>
      <c r="G88" s="2"/>
      <c r="H88" s="2"/>
      <c r="I88" s="2"/>
      <c r="J88" s="2"/>
      <c r="K88" s="29" t="s">
        <v>611</v>
      </c>
      <c r="L88" s="2"/>
      <c r="M88" s="2"/>
      <c r="N88" s="2"/>
      <c r="O88" s="2"/>
      <c r="P88" s="2"/>
      <c r="Q88" s="2"/>
      <c r="R88" s="2"/>
      <c r="S88" s="2"/>
      <c r="T88" s="2"/>
      <c r="U88" s="2"/>
      <c r="V88" s="2"/>
    </row>
    <row r="89" spans="1:22" customFormat="1" x14ac:dyDescent="0.45">
      <c r="A89" s="2"/>
      <c r="B89" s="2"/>
      <c r="C89" s="2"/>
      <c r="D89" s="8" t="s">
        <v>921</v>
      </c>
      <c r="F89" s="2"/>
      <c r="G89" s="2"/>
      <c r="H89" s="2"/>
      <c r="I89" s="2"/>
      <c r="J89" s="2"/>
      <c r="K89" s="29" t="s">
        <v>922</v>
      </c>
      <c r="L89" s="2"/>
      <c r="M89" s="2"/>
      <c r="N89" s="2"/>
      <c r="O89" s="2"/>
      <c r="P89" s="2"/>
      <c r="Q89" s="2"/>
      <c r="R89" s="2"/>
      <c r="S89" s="2"/>
      <c r="T89" s="2"/>
      <c r="U89" s="2"/>
      <c r="V89" s="2"/>
    </row>
    <row r="90" spans="1:22" customFormat="1" x14ac:dyDescent="0.45">
      <c r="A90" s="2"/>
      <c r="B90" s="2"/>
      <c r="C90" s="2"/>
      <c r="D90" s="8" t="s">
        <v>661</v>
      </c>
      <c r="F90" s="2"/>
      <c r="G90" s="2"/>
      <c r="H90" s="2"/>
      <c r="I90" s="2"/>
      <c r="J90" s="2"/>
      <c r="K90" s="30" t="s">
        <v>308</v>
      </c>
      <c r="L90" s="2"/>
      <c r="M90" s="2"/>
      <c r="N90" s="2"/>
      <c r="O90" s="2"/>
      <c r="P90" s="2"/>
      <c r="Q90" s="2"/>
      <c r="R90" s="2"/>
      <c r="S90" s="2"/>
      <c r="T90" s="2"/>
      <c r="U90" s="2"/>
      <c r="V90" s="2"/>
    </row>
    <row r="91" spans="1:22" customFormat="1" x14ac:dyDescent="0.45">
      <c r="A91" s="2"/>
      <c r="B91" s="2"/>
      <c r="C91" s="2"/>
      <c r="D91" s="8" t="s">
        <v>923</v>
      </c>
      <c r="F91" s="2"/>
      <c r="G91" s="2"/>
      <c r="H91" s="2"/>
      <c r="I91" s="2"/>
      <c r="J91" s="2"/>
      <c r="K91" s="30" t="s">
        <v>490</v>
      </c>
      <c r="L91" s="2"/>
      <c r="M91" s="2"/>
      <c r="N91" s="2"/>
      <c r="O91" s="2"/>
      <c r="P91" s="2"/>
      <c r="Q91" s="2"/>
      <c r="R91" s="2"/>
      <c r="S91" s="2"/>
      <c r="T91" s="2"/>
      <c r="U91" s="2"/>
      <c r="V91" s="2"/>
    </row>
    <row r="92" spans="1:22" customFormat="1" x14ac:dyDescent="0.45">
      <c r="A92" s="2"/>
      <c r="B92" s="2"/>
      <c r="C92" s="2"/>
      <c r="D92" s="8" t="s">
        <v>924</v>
      </c>
      <c r="F92" s="2"/>
      <c r="G92" s="2"/>
      <c r="H92" s="2"/>
      <c r="I92" s="2"/>
      <c r="J92" s="2"/>
      <c r="K92" s="30" t="s">
        <v>363</v>
      </c>
      <c r="L92" s="2"/>
      <c r="M92" s="2"/>
      <c r="N92" s="2"/>
      <c r="O92" s="2"/>
      <c r="P92" s="2"/>
      <c r="Q92" s="2"/>
      <c r="R92" s="2"/>
      <c r="S92" s="2"/>
      <c r="T92" s="2"/>
      <c r="U92" s="2"/>
      <c r="V92" s="2"/>
    </row>
    <row r="93" spans="1:22" customFormat="1" x14ac:dyDescent="0.45">
      <c r="A93" s="2"/>
      <c r="B93" s="2"/>
      <c r="C93" s="2"/>
      <c r="D93" s="8" t="s">
        <v>662</v>
      </c>
      <c r="F93" s="2"/>
      <c r="G93" s="2"/>
      <c r="H93" s="2"/>
      <c r="I93" s="2"/>
      <c r="J93" s="2"/>
      <c r="K93" s="30" t="s">
        <v>297</v>
      </c>
      <c r="L93" s="2"/>
      <c r="M93" s="2"/>
      <c r="N93" s="2"/>
      <c r="O93" s="2"/>
      <c r="P93" s="2"/>
      <c r="Q93" s="2"/>
      <c r="R93" s="2"/>
      <c r="S93" s="2"/>
      <c r="T93" s="2"/>
      <c r="U93" s="2"/>
      <c r="V93" s="2"/>
    </row>
    <row r="94" spans="1:22" customFormat="1" x14ac:dyDescent="0.45">
      <c r="A94" s="2"/>
      <c r="B94" s="2"/>
      <c r="C94" s="2"/>
      <c r="D94" s="8" t="s">
        <v>580</v>
      </c>
      <c r="F94" s="2"/>
      <c r="G94" s="2"/>
      <c r="H94" s="2"/>
      <c r="I94" s="2"/>
      <c r="J94" s="2"/>
      <c r="K94" s="30" t="s">
        <v>365</v>
      </c>
      <c r="L94" s="2"/>
      <c r="M94" s="2"/>
      <c r="N94" s="2"/>
      <c r="O94" s="2"/>
      <c r="P94" s="2"/>
      <c r="Q94" s="2"/>
      <c r="R94" s="2"/>
      <c r="S94" s="2"/>
      <c r="T94" s="2"/>
      <c r="U94" s="2"/>
      <c r="V94" s="2"/>
    </row>
    <row r="95" spans="1:22" customFormat="1" x14ac:dyDescent="0.45">
      <c r="A95" s="2"/>
      <c r="B95" s="2"/>
      <c r="C95" s="2"/>
      <c r="D95" s="8" t="s">
        <v>925</v>
      </c>
      <c r="F95" s="2"/>
      <c r="G95" s="2"/>
      <c r="H95" s="2"/>
      <c r="I95" s="2"/>
      <c r="J95" s="2"/>
      <c r="K95" s="31" t="s">
        <v>485</v>
      </c>
      <c r="L95" s="2"/>
      <c r="M95" s="2"/>
      <c r="N95" s="2"/>
      <c r="O95" s="2"/>
      <c r="P95" s="2"/>
      <c r="Q95" s="2"/>
      <c r="R95" s="2"/>
      <c r="S95" s="2"/>
      <c r="T95" s="2"/>
      <c r="U95" s="2"/>
      <c r="V95" s="2"/>
    </row>
    <row r="96" spans="1:22" customFormat="1" x14ac:dyDescent="0.45">
      <c r="A96" s="2"/>
      <c r="B96" s="2"/>
      <c r="C96" s="2"/>
      <c r="D96" s="8" t="s">
        <v>287</v>
      </c>
      <c r="F96" s="2"/>
      <c r="G96" s="2"/>
      <c r="H96" s="2"/>
      <c r="I96" s="2"/>
      <c r="J96" s="2"/>
      <c r="K96" s="2" t="s">
        <v>926</v>
      </c>
      <c r="L96" s="2"/>
      <c r="M96" s="2"/>
      <c r="N96" s="2"/>
      <c r="O96" s="2"/>
      <c r="P96" s="2"/>
      <c r="Q96" s="2"/>
      <c r="R96" s="2"/>
      <c r="S96" s="2"/>
      <c r="T96" s="2"/>
      <c r="U96" s="2"/>
      <c r="V96" s="2"/>
    </row>
    <row r="97" spans="1:22" customFormat="1" x14ac:dyDescent="0.45">
      <c r="A97" s="2"/>
      <c r="B97" s="2"/>
      <c r="C97" s="2"/>
      <c r="D97" s="8" t="s">
        <v>694</v>
      </c>
      <c r="F97" s="2"/>
      <c r="G97" s="2"/>
      <c r="H97" s="2"/>
      <c r="I97" s="2"/>
      <c r="J97" s="2"/>
      <c r="K97" s="2" t="s">
        <v>927</v>
      </c>
      <c r="L97" s="2"/>
      <c r="M97" s="2"/>
      <c r="N97" s="2"/>
      <c r="O97" s="2"/>
      <c r="P97" s="2"/>
      <c r="Q97" s="2"/>
      <c r="R97" s="2"/>
      <c r="S97" s="2"/>
      <c r="T97" s="2"/>
      <c r="U97" s="2"/>
      <c r="V97" s="2"/>
    </row>
    <row r="98" spans="1:22" customFormat="1" x14ac:dyDescent="0.45">
      <c r="A98" s="2"/>
      <c r="B98" s="2"/>
      <c r="C98" s="2"/>
      <c r="D98" s="8" t="s">
        <v>928</v>
      </c>
      <c r="F98" s="2"/>
      <c r="G98" s="2"/>
      <c r="H98" s="2"/>
      <c r="I98" s="2"/>
      <c r="J98" s="2"/>
      <c r="K98" s="2"/>
      <c r="L98" s="2"/>
      <c r="M98" s="2"/>
      <c r="N98" s="2"/>
      <c r="O98" s="2"/>
      <c r="P98" s="2"/>
      <c r="Q98" s="2"/>
      <c r="R98" s="2"/>
      <c r="S98" s="2"/>
      <c r="T98" s="2"/>
      <c r="U98" s="2"/>
      <c r="V98" s="2"/>
    </row>
    <row r="99" spans="1:22" customFormat="1" x14ac:dyDescent="0.45">
      <c r="A99" s="2"/>
      <c r="B99" s="2"/>
      <c r="C99" s="2"/>
      <c r="D99" s="8" t="s">
        <v>645</v>
      </c>
      <c r="F99" s="2"/>
      <c r="G99" s="2"/>
      <c r="H99" s="2"/>
      <c r="I99" s="2"/>
      <c r="J99" s="2"/>
      <c r="K99" s="2"/>
      <c r="L99" s="2"/>
      <c r="M99" s="2"/>
      <c r="N99" s="2"/>
      <c r="O99" s="2"/>
      <c r="P99" s="2"/>
      <c r="Q99" s="2"/>
      <c r="R99" s="2"/>
      <c r="S99" s="2"/>
      <c r="T99" s="2"/>
      <c r="U99" s="2"/>
      <c r="V99" s="2"/>
    </row>
    <row r="100" spans="1:22" customFormat="1" x14ac:dyDescent="0.45">
      <c r="A100" s="2"/>
      <c r="B100" s="2"/>
      <c r="C100" s="2"/>
      <c r="D100" s="8" t="s">
        <v>929</v>
      </c>
      <c r="F100" s="2"/>
      <c r="G100" s="2"/>
      <c r="H100" s="2"/>
      <c r="I100" s="2"/>
      <c r="J100" s="2"/>
      <c r="K100" s="2"/>
      <c r="L100" s="2"/>
      <c r="M100" s="2"/>
      <c r="N100" s="2"/>
      <c r="O100" s="2"/>
      <c r="P100" s="2"/>
      <c r="Q100" s="2"/>
      <c r="R100" s="2"/>
      <c r="S100" s="2"/>
      <c r="T100" s="2"/>
      <c r="U100" s="2"/>
      <c r="V100" s="2"/>
    </row>
    <row r="101" spans="1:22" customFormat="1" x14ac:dyDescent="0.45">
      <c r="A101" s="2"/>
      <c r="B101" s="2"/>
      <c r="C101" s="2"/>
      <c r="D101" s="8" t="s">
        <v>930</v>
      </c>
      <c r="F101" s="2"/>
      <c r="G101" s="2"/>
      <c r="H101" s="2"/>
      <c r="I101" s="2"/>
      <c r="J101" s="2"/>
      <c r="K101" s="2"/>
      <c r="L101" s="2"/>
      <c r="M101" s="2"/>
      <c r="N101" s="2"/>
      <c r="O101" s="2"/>
      <c r="P101" s="2"/>
      <c r="Q101" s="2"/>
      <c r="R101" s="2"/>
      <c r="S101" s="2"/>
      <c r="T101" s="2"/>
      <c r="U101" s="2"/>
      <c r="V101" s="2"/>
    </row>
    <row r="102" spans="1:22" customFormat="1" x14ac:dyDescent="0.45">
      <c r="A102" s="2"/>
      <c r="B102" s="2"/>
      <c r="C102" s="2"/>
      <c r="D102" s="8" t="s">
        <v>931</v>
      </c>
      <c r="F102" s="2"/>
      <c r="G102" s="2"/>
      <c r="H102" s="2"/>
      <c r="I102" s="2"/>
      <c r="J102" s="2"/>
      <c r="K102" s="2"/>
      <c r="L102" s="2"/>
      <c r="M102" s="2"/>
      <c r="N102" s="2"/>
      <c r="O102" s="2"/>
      <c r="P102" s="2"/>
      <c r="Q102" s="2"/>
      <c r="R102" s="2"/>
      <c r="S102" s="2"/>
      <c r="T102" s="2"/>
      <c r="U102" s="2"/>
      <c r="V102" s="2"/>
    </row>
    <row r="103" spans="1:22" customFormat="1" x14ac:dyDescent="0.45">
      <c r="A103" s="2"/>
      <c r="B103" s="2"/>
      <c r="C103" s="2"/>
      <c r="D103" s="8" t="s">
        <v>408</v>
      </c>
      <c r="F103" s="2"/>
      <c r="G103" s="2"/>
      <c r="H103" s="2"/>
      <c r="I103" s="2"/>
      <c r="J103" s="2"/>
      <c r="K103" s="2"/>
      <c r="L103" s="2"/>
      <c r="M103" s="2"/>
      <c r="N103" s="2"/>
      <c r="O103" s="2"/>
      <c r="P103" s="2"/>
      <c r="Q103" s="2"/>
      <c r="R103" s="2"/>
      <c r="S103" s="2"/>
      <c r="T103" s="2"/>
      <c r="U103" s="2"/>
      <c r="V103" s="2"/>
    </row>
    <row r="104" spans="1:22" customFormat="1" x14ac:dyDescent="0.45">
      <c r="A104" s="2"/>
      <c r="B104" s="2"/>
      <c r="C104" s="2"/>
      <c r="D104" s="8" t="s">
        <v>932</v>
      </c>
      <c r="F104" s="2"/>
      <c r="G104" s="2"/>
      <c r="H104" s="2"/>
      <c r="I104" s="2"/>
      <c r="J104" s="2"/>
      <c r="K104" s="2"/>
      <c r="L104" s="2"/>
      <c r="M104" s="2"/>
      <c r="N104" s="2"/>
      <c r="O104" s="2"/>
      <c r="P104" s="2"/>
      <c r="Q104" s="2"/>
      <c r="R104" s="2"/>
      <c r="S104" s="2"/>
      <c r="T104" s="2"/>
      <c r="U104" s="2"/>
      <c r="V104" s="2"/>
    </row>
    <row r="105" spans="1:22" customFormat="1" x14ac:dyDescent="0.45">
      <c r="A105" s="2"/>
      <c r="B105" s="2"/>
      <c r="C105" s="2"/>
      <c r="D105" s="8" t="s">
        <v>933</v>
      </c>
      <c r="F105" s="2"/>
      <c r="G105" s="2"/>
      <c r="H105" s="2"/>
      <c r="I105" s="2"/>
      <c r="J105" s="2"/>
      <c r="K105" s="2"/>
      <c r="L105" s="2"/>
      <c r="M105" s="2"/>
      <c r="N105" s="2"/>
      <c r="O105" s="2"/>
      <c r="P105" s="2"/>
      <c r="Q105" s="2"/>
      <c r="R105" s="2"/>
      <c r="S105" s="2"/>
      <c r="T105" s="2"/>
      <c r="U105" s="2"/>
      <c r="V105" s="2"/>
    </row>
    <row r="106" spans="1:22" customFormat="1" x14ac:dyDescent="0.45">
      <c r="A106" s="2"/>
      <c r="B106" s="2"/>
      <c r="C106" s="2"/>
      <c r="D106" s="8" t="s">
        <v>493</v>
      </c>
      <c r="F106" s="2"/>
      <c r="G106" s="2"/>
      <c r="H106" s="2"/>
      <c r="I106" s="2"/>
      <c r="J106" s="2"/>
      <c r="K106" s="2"/>
      <c r="L106" s="2"/>
      <c r="M106" s="2"/>
      <c r="N106" s="2"/>
      <c r="O106" s="2"/>
      <c r="P106" s="2"/>
      <c r="Q106" s="2"/>
      <c r="R106" s="2"/>
      <c r="S106" s="2"/>
      <c r="T106" s="2"/>
      <c r="U106" s="2"/>
      <c r="V106" s="2"/>
    </row>
    <row r="107" spans="1:22" customFormat="1" x14ac:dyDescent="0.45">
      <c r="A107" s="2"/>
      <c r="B107" s="2"/>
      <c r="C107" s="2"/>
      <c r="D107" s="8" t="s">
        <v>719</v>
      </c>
      <c r="F107" s="2"/>
      <c r="G107" s="2"/>
      <c r="H107" s="2"/>
      <c r="I107" s="2"/>
      <c r="J107" s="2"/>
      <c r="K107" s="2"/>
      <c r="L107" s="2"/>
      <c r="M107" s="2"/>
      <c r="N107" s="2"/>
      <c r="O107" s="2"/>
      <c r="P107" s="2"/>
      <c r="Q107" s="2"/>
      <c r="R107" s="2"/>
      <c r="S107" s="2"/>
      <c r="T107" s="2"/>
      <c r="U107" s="2"/>
      <c r="V107" s="2"/>
    </row>
    <row r="108" spans="1:22" customFormat="1" x14ac:dyDescent="0.45">
      <c r="A108" s="2"/>
      <c r="B108" s="2"/>
      <c r="C108" s="2"/>
      <c r="D108" s="8" t="s">
        <v>460</v>
      </c>
      <c r="F108" s="2"/>
      <c r="G108" s="2"/>
      <c r="H108" s="2"/>
      <c r="I108" s="2"/>
      <c r="J108" s="2"/>
      <c r="K108" s="2"/>
      <c r="L108" s="2"/>
      <c r="M108" s="2"/>
      <c r="N108" s="2"/>
      <c r="O108" s="2"/>
      <c r="P108" s="2"/>
      <c r="Q108" s="2"/>
      <c r="R108" s="2"/>
      <c r="S108" s="2"/>
      <c r="T108" s="2"/>
      <c r="U108" s="2"/>
      <c r="V108" s="2"/>
    </row>
    <row r="109" spans="1:22" customFormat="1" x14ac:dyDescent="0.45">
      <c r="A109" s="2"/>
      <c r="B109" s="2"/>
      <c r="C109" s="2"/>
      <c r="D109" s="10" t="s">
        <v>934</v>
      </c>
      <c r="F109" s="2"/>
      <c r="G109" s="2"/>
      <c r="H109" s="2"/>
      <c r="I109" s="2"/>
      <c r="J109" s="2"/>
      <c r="K109" s="2"/>
      <c r="L109" s="2"/>
      <c r="M109" s="2"/>
      <c r="N109" s="2"/>
      <c r="O109" s="2"/>
      <c r="P109" s="2"/>
      <c r="Q109" s="2"/>
      <c r="R109" s="2"/>
      <c r="S109" s="2"/>
      <c r="T109" s="2"/>
      <c r="U109" s="2"/>
      <c r="V109" s="2"/>
    </row>
    <row r="110" spans="1:22" customFormat="1" x14ac:dyDescent="0.45">
      <c r="A110" s="2"/>
      <c r="B110" s="2"/>
      <c r="C110" s="2"/>
      <c r="D110" s="10" t="s">
        <v>935</v>
      </c>
      <c r="F110" s="2"/>
      <c r="G110" s="2"/>
      <c r="H110" s="2"/>
      <c r="I110" s="2"/>
      <c r="J110" s="2"/>
      <c r="K110" s="2"/>
      <c r="L110" s="2"/>
      <c r="M110" s="2"/>
      <c r="N110" s="2"/>
      <c r="O110" s="2"/>
      <c r="P110" s="2"/>
      <c r="Q110" s="2"/>
      <c r="R110" s="2"/>
      <c r="S110" s="2"/>
      <c r="T110" s="2"/>
      <c r="U110" s="2"/>
      <c r="V110" s="2"/>
    </row>
    <row r="111" spans="1:22" customFormat="1" x14ac:dyDescent="0.45">
      <c r="A111" s="2"/>
      <c r="B111" s="2"/>
      <c r="C111" s="2"/>
      <c r="D111" s="10" t="s">
        <v>936</v>
      </c>
      <c r="F111" s="2"/>
      <c r="G111" s="2"/>
      <c r="H111" s="2"/>
      <c r="I111" s="2"/>
      <c r="J111" s="2"/>
      <c r="K111" s="2"/>
      <c r="L111" s="2"/>
      <c r="M111" s="2"/>
      <c r="N111" s="2"/>
      <c r="O111" s="2"/>
      <c r="P111" s="2"/>
      <c r="Q111" s="2"/>
      <c r="R111" s="2"/>
      <c r="S111" s="2"/>
      <c r="T111" s="2"/>
      <c r="U111" s="2"/>
      <c r="V111" s="2"/>
    </row>
    <row r="112" spans="1:22" customFormat="1" x14ac:dyDescent="0.45">
      <c r="A112" s="2"/>
      <c r="B112" s="2"/>
      <c r="C112" s="2"/>
      <c r="D112" s="10" t="s">
        <v>937</v>
      </c>
      <c r="F112" s="2"/>
      <c r="G112" s="2"/>
      <c r="H112" s="2"/>
      <c r="I112" s="2"/>
      <c r="J112" s="2"/>
      <c r="K112" s="2"/>
      <c r="L112" s="2"/>
      <c r="M112" s="2"/>
      <c r="N112" s="2"/>
      <c r="O112" s="2"/>
      <c r="P112" s="2"/>
      <c r="Q112" s="2"/>
      <c r="R112" s="2"/>
      <c r="S112" s="2"/>
      <c r="T112" s="2"/>
      <c r="U112" s="2"/>
      <c r="V112" s="2"/>
    </row>
    <row r="113" spans="1:22" customFormat="1" x14ac:dyDescent="0.45">
      <c r="A113" s="2"/>
      <c r="B113" s="2"/>
      <c r="C113" s="2"/>
      <c r="D113" s="10" t="s">
        <v>938</v>
      </c>
      <c r="F113" s="2"/>
      <c r="G113" s="2"/>
      <c r="H113" s="2"/>
      <c r="I113" s="2"/>
      <c r="J113" s="2"/>
      <c r="K113" s="2"/>
      <c r="L113" s="2"/>
      <c r="M113" s="2"/>
      <c r="N113" s="2"/>
      <c r="O113" s="2"/>
      <c r="P113" s="2"/>
      <c r="Q113" s="2"/>
      <c r="R113" s="2"/>
      <c r="S113" s="2"/>
      <c r="T113" s="2"/>
      <c r="U113" s="2"/>
      <c r="V113" s="2"/>
    </row>
    <row r="114" spans="1:22" customFormat="1" x14ac:dyDescent="0.45">
      <c r="A114" s="2"/>
      <c r="B114" s="2"/>
      <c r="C114" s="2"/>
      <c r="D114" s="10" t="s">
        <v>505</v>
      </c>
      <c r="F114" s="2"/>
      <c r="G114" s="2"/>
      <c r="H114" s="2"/>
      <c r="I114" s="2"/>
      <c r="J114" s="2"/>
      <c r="K114" s="2"/>
      <c r="L114" s="2"/>
      <c r="M114" s="2"/>
      <c r="N114" s="2"/>
      <c r="O114" s="2"/>
      <c r="P114" s="2"/>
      <c r="Q114" s="2"/>
      <c r="R114" s="2"/>
      <c r="S114" s="2"/>
      <c r="T114" s="2"/>
      <c r="U114" s="2"/>
      <c r="V114" s="2"/>
    </row>
    <row r="115" spans="1:22" customFormat="1" x14ac:dyDescent="0.45">
      <c r="A115" s="2"/>
      <c r="B115" s="2"/>
      <c r="C115" s="2"/>
      <c r="D115" s="10" t="s">
        <v>939</v>
      </c>
      <c r="F115" s="2"/>
      <c r="G115" s="2"/>
      <c r="H115" s="2"/>
      <c r="I115" s="2"/>
      <c r="J115" s="2"/>
      <c r="K115" s="2"/>
      <c r="L115" s="2"/>
      <c r="M115" s="2"/>
      <c r="N115" s="2"/>
      <c r="O115" s="2"/>
      <c r="P115" s="2"/>
      <c r="Q115" s="2"/>
      <c r="R115" s="2"/>
      <c r="S115" s="2"/>
      <c r="T115" s="2"/>
      <c r="U115" s="2"/>
      <c r="V115" s="2"/>
    </row>
    <row r="116" spans="1:22" customFormat="1" x14ac:dyDescent="0.45">
      <c r="A116" s="2"/>
      <c r="B116" s="2"/>
      <c r="C116" s="2"/>
      <c r="D116" s="10" t="s">
        <v>940</v>
      </c>
      <c r="F116" s="2"/>
      <c r="G116" s="2"/>
      <c r="H116" s="2"/>
      <c r="I116" s="2"/>
      <c r="J116" s="2"/>
      <c r="K116" s="2"/>
      <c r="L116" s="2"/>
      <c r="M116" s="2"/>
      <c r="N116" s="2"/>
      <c r="O116" s="2"/>
      <c r="P116" s="2"/>
      <c r="Q116" s="2"/>
      <c r="R116" s="2"/>
      <c r="S116" s="2"/>
      <c r="T116" s="2"/>
      <c r="U116" s="2"/>
      <c r="V116" s="2"/>
    </row>
    <row r="117" spans="1:22" customFormat="1" x14ac:dyDescent="0.45">
      <c r="A117" s="2"/>
      <c r="B117" s="2"/>
      <c r="C117" s="2"/>
      <c r="D117" s="10" t="s">
        <v>941</v>
      </c>
      <c r="F117" s="2"/>
      <c r="G117" s="2"/>
      <c r="H117" s="2"/>
      <c r="I117" s="2"/>
      <c r="J117" s="2"/>
      <c r="K117" s="2"/>
      <c r="L117" s="2"/>
      <c r="M117" s="2"/>
      <c r="N117" s="2"/>
      <c r="O117" s="2"/>
      <c r="P117" s="2"/>
      <c r="Q117" s="2"/>
      <c r="R117" s="2"/>
      <c r="S117" s="2"/>
      <c r="T117" s="2"/>
      <c r="U117" s="2"/>
      <c r="V117" s="2"/>
    </row>
    <row r="118" spans="1:22" customFormat="1" x14ac:dyDescent="0.45">
      <c r="A118" s="2"/>
      <c r="B118" s="2"/>
      <c r="C118" s="2"/>
      <c r="D118" s="10" t="s">
        <v>942</v>
      </c>
      <c r="F118" s="2"/>
      <c r="G118" s="2"/>
      <c r="H118" s="2"/>
      <c r="I118" s="2"/>
      <c r="J118" s="2"/>
      <c r="K118" s="2"/>
      <c r="L118" s="2"/>
      <c r="M118" s="2"/>
      <c r="N118" s="2"/>
      <c r="O118" s="2"/>
      <c r="P118" s="2"/>
      <c r="Q118" s="2"/>
      <c r="R118" s="2"/>
      <c r="S118" s="2"/>
      <c r="T118" s="2"/>
      <c r="U118" s="2"/>
      <c r="V118" s="2"/>
    </row>
    <row r="119" spans="1:22" customFormat="1" x14ac:dyDescent="0.45">
      <c r="A119" s="2"/>
      <c r="B119" s="2"/>
      <c r="C119" s="2"/>
      <c r="D119" s="10" t="s">
        <v>943</v>
      </c>
      <c r="F119" s="2"/>
      <c r="G119" s="2"/>
      <c r="H119" s="2"/>
      <c r="I119" s="2"/>
      <c r="J119" s="2"/>
      <c r="K119" s="2"/>
      <c r="L119" s="2"/>
      <c r="M119" s="2"/>
      <c r="N119" s="2"/>
      <c r="O119" s="2"/>
      <c r="P119" s="2"/>
      <c r="Q119" s="2"/>
      <c r="R119" s="2"/>
      <c r="S119" s="2"/>
      <c r="T119" s="2"/>
      <c r="U119" s="2"/>
      <c r="V119" s="2"/>
    </row>
    <row r="120" spans="1:22" customFormat="1" x14ac:dyDescent="0.45">
      <c r="A120" s="2"/>
      <c r="B120" s="2"/>
      <c r="C120" s="2"/>
      <c r="D120" s="10" t="s">
        <v>944</v>
      </c>
      <c r="F120" s="2"/>
      <c r="G120" s="2"/>
      <c r="H120" s="2"/>
      <c r="I120" s="2"/>
      <c r="J120" s="2"/>
      <c r="K120" s="2"/>
      <c r="L120" s="2"/>
      <c r="M120" s="2"/>
      <c r="N120" s="2"/>
      <c r="O120" s="2"/>
      <c r="P120" s="2"/>
      <c r="Q120" s="2"/>
      <c r="R120" s="2"/>
      <c r="S120" s="2"/>
      <c r="T120" s="2"/>
      <c r="U120" s="2"/>
      <c r="V120" s="2"/>
    </row>
    <row r="121" spans="1:22" customFormat="1" x14ac:dyDescent="0.45">
      <c r="A121" s="2"/>
      <c r="B121" s="2"/>
      <c r="C121" s="2"/>
      <c r="D121" s="10" t="s">
        <v>945</v>
      </c>
      <c r="F121" s="2"/>
      <c r="G121" s="2"/>
      <c r="H121" s="2"/>
      <c r="I121" s="2"/>
      <c r="J121" s="2"/>
      <c r="K121" s="2"/>
      <c r="L121" s="2"/>
      <c r="M121" s="2"/>
      <c r="N121" s="2"/>
      <c r="O121" s="2"/>
      <c r="P121" s="2"/>
      <c r="Q121" s="2"/>
      <c r="R121" s="2"/>
      <c r="S121" s="2"/>
      <c r="T121" s="2"/>
      <c r="U121" s="2"/>
      <c r="V121" s="2"/>
    </row>
    <row r="122" spans="1:22" customFormat="1" x14ac:dyDescent="0.45">
      <c r="A122" s="2"/>
      <c r="B122" s="2"/>
      <c r="C122" s="2"/>
      <c r="D122" s="10" t="s">
        <v>946</v>
      </c>
      <c r="F122" s="2"/>
      <c r="G122" s="2"/>
      <c r="H122" s="2"/>
      <c r="I122" s="2"/>
      <c r="J122" s="2"/>
      <c r="K122" s="2"/>
      <c r="L122" s="2"/>
      <c r="M122" s="2"/>
      <c r="N122" s="2"/>
      <c r="O122" s="2"/>
      <c r="P122" s="2"/>
      <c r="Q122" s="2"/>
      <c r="R122" s="2"/>
      <c r="S122" s="2"/>
      <c r="T122" s="2"/>
      <c r="U122" s="2"/>
      <c r="V122" s="2"/>
    </row>
    <row r="123" spans="1:22" customFormat="1" x14ac:dyDescent="0.45">
      <c r="A123" s="2"/>
      <c r="B123" s="2"/>
      <c r="C123" s="2"/>
      <c r="D123" s="10" t="s">
        <v>947</v>
      </c>
      <c r="F123" s="2"/>
      <c r="G123" s="2"/>
      <c r="H123" s="2"/>
      <c r="I123" s="2"/>
      <c r="J123" s="2"/>
      <c r="K123" s="2"/>
      <c r="L123" s="2"/>
      <c r="M123" s="2"/>
      <c r="N123" s="2"/>
      <c r="O123" s="2"/>
      <c r="P123" s="2"/>
      <c r="Q123" s="2"/>
      <c r="R123" s="2"/>
      <c r="S123" s="2"/>
      <c r="T123" s="2"/>
      <c r="U123" s="2"/>
      <c r="V123" s="2"/>
    </row>
    <row r="124" spans="1:22" customFormat="1" x14ac:dyDescent="0.45">
      <c r="A124" s="2"/>
      <c r="B124" s="2"/>
      <c r="C124" s="2"/>
      <c r="D124" s="10" t="s">
        <v>948</v>
      </c>
      <c r="F124" s="2"/>
      <c r="G124" s="2"/>
      <c r="H124" s="2"/>
      <c r="I124" s="2"/>
      <c r="J124" s="2"/>
      <c r="K124" s="2"/>
      <c r="L124" s="2"/>
      <c r="M124" s="2"/>
      <c r="N124" s="2"/>
      <c r="O124" s="2"/>
      <c r="P124" s="2"/>
      <c r="Q124" s="2"/>
      <c r="R124" s="2"/>
      <c r="S124" s="2"/>
      <c r="T124" s="2"/>
      <c r="U124" s="2"/>
      <c r="V124" s="2"/>
    </row>
    <row r="125" spans="1:22" customFormat="1" x14ac:dyDescent="0.45">
      <c r="A125" s="2"/>
      <c r="B125" s="2"/>
      <c r="C125" s="2"/>
      <c r="D125" s="10" t="s">
        <v>949</v>
      </c>
      <c r="F125" s="2"/>
      <c r="G125" s="2"/>
      <c r="H125" s="2"/>
      <c r="I125" s="2"/>
      <c r="J125" s="2"/>
      <c r="K125" s="2"/>
      <c r="L125" s="2"/>
      <c r="M125" s="2"/>
      <c r="N125" s="2"/>
      <c r="O125" s="2"/>
      <c r="P125" s="2"/>
      <c r="Q125" s="2"/>
      <c r="R125" s="2"/>
      <c r="S125" s="2"/>
      <c r="T125" s="2"/>
      <c r="U125" s="2"/>
      <c r="V125" s="2"/>
    </row>
    <row r="126" spans="1:22" customFormat="1" x14ac:dyDescent="0.45">
      <c r="A126" s="2"/>
      <c r="B126" s="2"/>
      <c r="C126" s="2"/>
      <c r="D126" s="10" t="s">
        <v>950</v>
      </c>
      <c r="F126" s="2"/>
      <c r="G126" s="2"/>
      <c r="H126" s="2"/>
      <c r="I126" s="2"/>
      <c r="J126" s="2"/>
      <c r="K126" s="2"/>
      <c r="L126" s="2"/>
      <c r="M126" s="2"/>
      <c r="N126" s="2"/>
      <c r="O126" s="2"/>
      <c r="P126" s="2"/>
      <c r="Q126" s="2"/>
      <c r="R126" s="2"/>
      <c r="S126" s="2"/>
      <c r="T126" s="2"/>
      <c r="U126" s="2"/>
      <c r="V126" s="2"/>
    </row>
    <row r="127" spans="1:22" customFormat="1" x14ac:dyDescent="0.45">
      <c r="A127" s="2"/>
      <c r="B127" s="2"/>
      <c r="C127" s="2"/>
      <c r="D127" s="10" t="s">
        <v>951</v>
      </c>
      <c r="F127" s="2"/>
      <c r="G127" s="2"/>
      <c r="H127" s="2"/>
      <c r="I127" s="2"/>
      <c r="J127" s="2"/>
      <c r="K127" s="2"/>
      <c r="L127" s="2"/>
      <c r="M127" s="2"/>
      <c r="N127" s="2"/>
      <c r="O127" s="2"/>
      <c r="P127" s="2"/>
      <c r="Q127" s="2"/>
      <c r="R127" s="2"/>
      <c r="S127" s="2"/>
      <c r="T127" s="2"/>
      <c r="U127" s="2"/>
      <c r="V127" s="2"/>
    </row>
    <row r="128" spans="1:22" customFormat="1" x14ac:dyDescent="0.45">
      <c r="A128" s="2"/>
      <c r="B128" s="2"/>
      <c r="C128" s="2"/>
      <c r="D128" s="10" t="s">
        <v>952</v>
      </c>
      <c r="F128" s="2"/>
      <c r="G128" s="2"/>
      <c r="H128" s="2"/>
      <c r="I128" s="2"/>
      <c r="J128" s="2"/>
      <c r="K128" s="2"/>
      <c r="L128" s="2"/>
      <c r="M128" s="2"/>
      <c r="N128" s="2"/>
      <c r="O128" s="2"/>
      <c r="P128" s="2"/>
      <c r="Q128" s="2"/>
      <c r="R128" s="2"/>
      <c r="S128" s="2"/>
      <c r="T128" s="2"/>
      <c r="U128" s="2"/>
      <c r="V128" s="2"/>
    </row>
    <row r="129" spans="1:22" customFormat="1" x14ac:dyDescent="0.45">
      <c r="A129" s="2"/>
      <c r="B129" s="2"/>
      <c r="C129" s="2"/>
      <c r="D129" s="10" t="s">
        <v>953</v>
      </c>
      <c r="F129" s="2"/>
      <c r="G129" s="2"/>
      <c r="H129" s="2"/>
      <c r="I129" s="2"/>
      <c r="J129" s="2"/>
      <c r="K129" s="2"/>
      <c r="L129" s="2"/>
      <c r="M129" s="2"/>
      <c r="N129" s="2"/>
      <c r="O129" s="2"/>
      <c r="P129" s="2"/>
      <c r="Q129" s="2"/>
      <c r="R129" s="2"/>
      <c r="S129" s="2"/>
      <c r="T129" s="2"/>
      <c r="U129" s="2"/>
      <c r="V129" s="2"/>
    </row>
    <row r="130" spans="1:22" customFormat="1" x14ac:dyDescent="0.45">
      <c r="A130" s="2"/>
      <c r="B130" s="2"/>
      <c r="C130" s="2"/>
      <c r="D130" s="10" t="s">
        <v>954</v>
      </c>
      <c r="F130" s="2"/>
      <c r="G130" s="2"/>
      <c r="H130" s="2"/>
      <c r="I130" s="2"/>
      <c r="J130" s="2"/>
      <c r="K130" s="2"/>
      <c r="L130" s="2"/>
      <c r="M130" s="2"/>
      <c r="N130" s="2"/>
      <c r="O130" s="2"/>
      <c r="P130" s="2"/>
      <c r="Q130" s="2"/>
      <c r="R130" s="2"/>
      <c r="S130" s="2"/>
      <c r="T130" s="2"/>
      <c r="U130" s="2"/>
      <c r="V130" s="2"/>
    </row>
    <row r="131" spans="1:22" customFormat="1" x14ac:dyDescent="0.45">
      <c r="A131" s="2"/>
      <c r="B131" s="2"/>
      <c r="C131" s="2"/>
      <c r="D131" s="10" t="s">
        <v>955</v>
      </c>
      <c r="F131" s="2"/>
      <c r="G131" s="2"/>
      <c r="H131" s="2"/>
      <c r="I131" s="2"/>
      <c r="J131" s="2"/>
      <c r="K131" s="2"/>
      <c r="L131" s="2"/>
      <c r="M131" s="2"/>
      <c r="N131" s="2"/>
      <c r="O131" s="2"/>
      <c r="P131" s="2"/>
      <c r="Q131" s="2"/>
      <c r="R131" s="2"/>
      <c r="S131" s="2"/>
      <c r="T131" s="2"/>
      <c r="U131" s="2"/>
      <c r="V131" s="2"/>
    </row>
    <row r="132" spans="1:22" customFormat="1" x14ac:dyDescent="0.45">
      <c r="A132" s="2"/>
      <c r="B132" s="2"/>
      <c r="C132" s="2"/>
      <c r="D132" s="10" t="s">
        <v>956</v>
      </c>
      <c r="F132" s="2"/>
      <c r="G132" s="2"/>
      <c r="H132" s="2"/>
      <c r="I132" s="2"/>
      <c r="J132" s="2"/>
      <c r="K132" s="2"/>
      <c r="L132" s="2"/>
      <c r="M132" s="2"/>
      <c r="N132" s="2"/>
      <c r="O132" s="2"/>
      <c r="P132" s="2"/>
      <c r="Q132" s="2"/>
      <c r="R132" s="2"/>
      <c r="S132" s="2"/>
      <c r="T132" s="2"/>
      <c r="U132" s="2"/>
      <c r="V132" s="2"/>
    </row>
    <row r="133" spans="1:22" customFormat="1" x14ac:dyDescent="0.45">
      <c r="A133" s="2"/>
      <c r="B133" s="2"/>
      <c r="C133" s="2"/>
      <c r="D133" s="10" t="s">
        <v>957</v>
      </c>
      <c r="F133" s="2"/>
      <c r="G133" s="2"/>
      <c r="H133" s="2"/>
      <c r="I133" s="2"/>
      <c r="J133" s="2"/>
      <c r="K133" s="2"/>
      <c r="L133" s="2"/>
      <c r="M133" s="2"/>
      <c r="N133" s="2"/>
      <c r="O133" s="2"/>
      <c r="P133" s="2"/>
      <c r="Q133" s="2"/>
      <c r="R133" s="2"/>
      <c r="S133" s="2"/>
      <c r="T133" s="2"/>
      <c r="U133" s="2"/>
      <c r="V133" s="2"/>
    </row>
    <row r="134" spans="1:22" customFormat="1" x14ac:dyDescent="0.45">
      <c r="A134" s="2"/>
      <c r="B134" s="2"/>
      <c r="C134" s="2"/>
      <c r="D134" s="10" t="s">
        <v>958</v>
      </c>
      <c r="F134" s="2"/>
      <c r="G134" s="2"/>
      <c r="H134" s="2"/>
      <c r="I134" s="2"/>
      <c r="J134" s="2"/>
      <c r="K134" s="2"/>
      <c r="L134" s="2"/>
      <c r="M134" s="2"/>
      <c r="N134" s="2"/>
      <c r="O134" s="2"/>
      <c r="P134" s="2"/>
      <c r="Q134" s="2"/>
      <c r="R134" s="2"/>
      <c r="S134" s="2"/>
      <c r="T134" s="2"/>
      <c r="U134" s="2"/>
      <c r="V134" s="2"/>
    </row>
    <row r="135" spans="1:22" customFormat="1" x14ac:dyDescent="0.45">
      <c r="A135" s="2"/>
      <c r="B135" s="2"/>
      <c r="C135" s="2"/>
      <c r="D135" s="10" t="s">
        <v>959</v>
      </c>
      <c r="F135" s="2"/>
      <c r="G135" s="2"/>
      <c r="H135" s="2"/>
      <c r="I135" s="2"/>
      <c r="J135" s="2"/>
      <c r="K135" s="2"/>
      <c r="L135" s="2"/>
      <c r="M135" s="2"/>
      <c r="N135" s="2"/>
      <c r="O135" s="2"/>
      <c r="P135" s="2"/>
      <c r="Q135" s="2"/>
      <c r="R135" s="2"/>
      <c r="S135" s="2"/>
      <c r="T135" s="2"/>
      <c r="U135" s="2"/>
      <c r="V135" s="2"/>
    </row>
    <row r="136" spans="1:22" customFormat="1" x14ac:dyDescent="0.45">
      <c r="A136" s="2"/>
      <c r="B136" s="2"/>
      <c r="C136" s="2"/>
      <c r="D136" s="10" t="s">
        <v>960</v>
      </c>
      <c r="F136" s="2"/>
      <c r="G136" s="2"/>
      <c r="H136" s="2"/>
      <c r="I136" s="2"/>
      <c r="J136" s="2"/>
      <c r="K136" s="2"/>
      <c r="L136" s="2"/>
      <c r="M136" s="2"/>
      <c r="N136" s="2"/>
      <c r="O136" s="2"/>
      <c r="P136" s="2"/>
      <c r="Q136" s="2"/>
      <c r="R136" s="2"/>
      <c r="S136" s="2"/>
      <c r="T136" s="2"/>
      <c r="U136" s="2"/>
      <c r="V136" s="2"/>
    </row>
    <row r="137" spans="1:22" customFormat="1" x14ac:dyDescent="0.45">
      <c r="A137" s="2"/>
      <c r="B137" s="2"/>
      <c r="C137" s="2"/>
      <c r="D137" s="12" t="s">
        <v>961</v>
      </c>
      <c r="F137" s="2"/>
      <c r="G137" s="2"/>
      <c r="H137" s="2"/>
      <c r="I137" s="2"/>
      <c r="J137" s="2"/>
      <c r="K137" s="2"/>
      <c r="L137" s="2"/>
      <c r="M137" s="2"/>
      <c r="N137" s="2"/>
      <c r="O137" s="2"/>
      <c r="P137" s="2"/>
      <c r="Q137" s="2"/>
      <c r="R137" s="2"/>
      <c r="S137" s="2"/>
      <c r="T137" s="2"/>
      <c r="U137" s="2"/>
      <c r="V137" s="2"/>
    </row>
    <row r="138" spans="1:22" customFormat="1" x14ac:dyDescent="0.45">
      <c r="A138" s="2"/>
      <c r="B138" s="2"/>
      <c r="C138" s="2"/>
      <c r="D138" s="12" t="s">
        <v>495</v>
      </c>
      <c r="F138" s="2"/>
      <c r="G138" s="2"/>
      <c r="H138" s="2"/>
      <c r="I138" s="2"/>
      <c r="J138" s="2"/>
      <c r="K138" s="2"/>
      <c r="L138" s="2"/>
      <c r="M138" s="2"/>
      <c r="N138" s="2"/>
      <c r="O138" s="2"/>
      <c r="P138" s="2"/>
      <c r="Q138" s="2"/>
      <c r="R138" s="2"/>
      <c r="S138" s="2"/>
      <c r="T138" s="2"/>
      <c r="U138" s="2"/>
      <c r="V138" s="2"/>
    </row>
    <row r="139" spans="1:22" customFormat="1" x14ac:dyDescent="0.45">
      <c r="A139" s="2"/>
      <c r="B139" s="2"/>
      <c r="C139" s="2"/>
      <c r="D139" s="12" t="s">
        <v>561</v>
      </c>
      <c r="F139" s="2"/>
      <c r="G139" s="2"/>
      <c r="H139" s="2"/>
      <c r="I139" s="2"/>
      <c r="J139" s="2"/>
      <c r="K139" s="2"/>
      <c r="L139" s="2"/>
      <c r="M139" s="2"/>
      <c r="N139" s="2"/>
      <c r="O139" s="2"/>
      <c r="P139" s="2"/>
      <c r="Q139" s="2"/>
      <c r="R139" s="2"/>
      <c r="S139" s="2"/>
      <c r="T139" s="2"/>
      <c r="U139" s="2"/>
      <c r="V139" s="2"/>
    </row>
    <row r="140" spans="1:22" customFormat="1" x14ac:dyDescent="0.45">
      <c r="A140" s="2"/>
      <c r="B140" s="2"/>
      <c r="C140" s="2"/>
      <c r="D140" s="12" t="s">
        <v>962</v>
      </c>
      <c r="F140" s="2"/>
      <c r="G140" s="2"/>
      <c r="H140" s="2"/>
      <c r="I140" s="2"/>
      <c r="J140" s="2"/>
      <c r="K140" s="2"/>
      <c r="L140" s="2"/>
      <c r="M140" s="2"/>
      <c r="N140" s="2"/>
      <c r="O140" s="2"/>
      <c r="P140" s="2"/>
      <c r="Q140" s="2"/>
      <c r="R140" s="2"/>
      <c r="S140" s="2"/>
      <c r="T140" s="2"/>
      <c r="U140" s="2"/>
      <c r="V140" s="2"/>
    </row>
    <row r="141" spans="1:22" customFormat="1" x14ac:dyDescent="0.45">
      <c r="A141" s="2"/>
      <c r="B141" s="2"/>
      <c r="C141" s="2"/>
      <c r="D141" s="12" t="s">
        <v>273</v>
      </c>
      <c r="F141" s="2"/>
      <c r="G141" s="2"/>
      <c r="H141" s="2"/>
      <c r="I141" s="2"/>
      <c r="J141" s="2"/>
      <c r="K141" s="2"/>
      <c r="L141" s="2"/>
      <c r="M141" s="2"/>
      <c r="N141" s="2"/>
      <c r="O141" s="2"/>
      <c r="P141" s="2"/>
      <c r="Q141" s="2"/>
      <c r="R141" s="2"/>
      <c r="S141" s="2"/>
      <c r="T141" s="2"/>
      <c r="U141" s="2"/>
      <c r="V141" s="2"/>
    </row>
    <row r="142" spans="1:22" customFormat="1" x14ac:dyDescent="0.45">
      <c r="A142" s="2"/>
      <c r="B142" s="2"/>
      <c r="C142" s="2"/>
      <c r="D142" s="12" t="s">
        <v>572</v>
      </c>
      <c r="F142" s="2"/>
      <c r="G142" s="2"/>
      <c r="H142" s="2"/>
      <c r="I142" s="2"/>
      <c r="J142" s="2"/>
      <c r="K142" s="2"/>
      <c r="L142" s="2"/>
      <c r="M142" s="2"/>
      <c r="N142" s="2"/>
      <c r="O142" s="2"/>
      <c r="P142" s="2"/>
      <c r="Q142" s="2"/>
      <c r="R142" s="2"/>
      <c r="S142" s="2"/>
      <c r="T142" s="2"/>
      <c r="U142" s="2"/>
      <c r="V142" s="2"/>
    </row>
    <row r="143" spans="1:22" customFormat="1" x14ac:dyDescent="0.45">
      <c r="A143" s="2"/>
      <c r="B143" s="2"/>
      <c r="C143" s="2"/>
      <c r="D143" s="12" t="s">
        <v>963</v>
      </c>
      <c r="F143" s="2"/>
      <c r="G143" s="2"/>
      <c r="H143" s="2"/>
      <c r="I143" s="2"/>
      <c r="J143" s="2"/>
      <c r="K143" s="2"/>
      <c r="L143" s="2"/>
      <c r="M143" s="2"/>
      <c r="N143" s="2"/>
      <c r="O143" s="2"/>
      <c r="P143" s="2"/>
      <c r="Q143" s="2"/>
      <c r="R143" s="2"/>
      <c r="S143" s="2"/>
      <c r="T143" s="2"/>
      <c r="U143" s="2"/>
      <c r="V143" s="2"/>
    </row>
    <row r="144" spans="1:22" customFormat="1" x14ac:dyDescent="0.45">
      <c r="A144" s="2"/>
      <c r="B144" s="2"/>
      <c r="C144" s="2"/>
      <c r="D144" s="12" t="s">
        <v>355</v>
      </c>
      <c r="F144" s="2"/>
      <c r="G144" s="2"/>
      <c r="H144" s="2"/>
      <c r="I144" s="2"/>
      <c r="J144" s="2"/>
      <c r="K144" s="2"/>
      <c r="L144" s="2"/>
      <c r="M144" s="2"/>
      <c r="N144" s="2"/>
      <c r="O144" s="2"/>
      <c r="P144" s="2"/>
      <c r="Q144" s="2"/>
      <c r="R144" s="2"/>
      <c r="S144" s="2"/>
      <c r="T144" s="2"/>
      <c r="U144" s="2"/>
      <c r="V144" s="2"/>
    </row>
    <row r="145" spans="1:22" customFormat="1" x14ac:dyDescent="0.45">
      <c r="A145" s="2"/>
      <c r="B145" s="2"/>
      <c r="C145" s="2"/>
      <c r="D145" s="12" t="s">
        <v>964</v>
      </c>
      <c r="F145" s="2"/>
      <c r="G145" s="2"/>
      <c r="H145" s="2"/>
      <c r="I145" s="2"/>
      <c r="J145" s="2"/>
      <c r="K145" s="2"/>
      <c r="L145" s="2"/>
      <c r="M145" s="2"/>
      <c r="N145" s="2"/>
      <c r="O145" s="2"/>
      <c r="P145" s="2"/>
      <c r="Q145" s="2"/>
      <c r="R145" s="2"/>
      <c r="S145" s="2"/>
      <c r="T145" s="2"/>
      <c r="U145" s="2"/>
      <c r="V145" s="2"/>
    </row>
    <row r="146" spans="1:22" customFormat="1" x14ac:dyDescent="0.45">
      <c r="A146" s="2"/>
      <c r="B146" s="2"/>
      <c r="C146" s="2"/>
      <c r="D146" s="12" t="s">
        <v>965</v>
      </c>
      <c r="F146" s="2"/>
      <c r="G146" s="2"/>
      <c r="H146" s="2"/>
      <c r="I146" s="2"/>
      <c r="J146" s="2"/>
      <c r="K146" s="2"/>
      <c r="L146" s="2"/>
      <c r="M146" s="2"/>
      <c r="N146" s="2"/>
      <c r="O146" s="2"/>
      <c r="P146" s="2"/>
      <c r="Q146" s="2"/>
      <c r="R146" s="2"/>
      <c r="S146" s="2"/>
      <c r="T146" s="2"/>
      <c r="U146" s="2"/>
      <c r="V146" s="2"/>
    </row>
    <row r="147" spans="1:22" customFormat="1" x14ac:dyDescent="0.45">
      <c r="A147" s="2"/>
      <c r="B147" s="2"/>
      <c r="C147" s="2"/>
      <c r="D147" s="12" t="s">
        <v>966</v>
      </c>
      <c r="F147" s="2"/>
      <c r="G147" s="2"/>
      <c r="H147" s="2"/>
      <c r="I147" s="2"/>
      <c r="J147" s="2"/>
      <c r="K147" s="2"/>
      <c r="L147" s="2"/>
      <c r="M147" s="2"/>
      <c r="N147" s="2"/>
      <c r="O147" s="2"/>
      <c r="P147" s="2"/>
      <c r="Q147" s="2"/>
      <c r="R147" s="2"/>
      <c r="S147" s="2"/>
      <c r="T147" s="2"/>
      <c r="U147" s="2"/>
      <c r="V147" s="2"/>
    </row>
    <row r="148" spans="1:22" customFormat="1" x14ac:dyDescent="0.45">
      <c r="A148" s="2"/>
      <c r="B148" s="2"/>
      <c r="C148" s="2"/>
      <c r="D148" s="12" t="s">
        <v>733</v>
      </c>
      <c r="F148" s="2"/>
      <c r="G148" s="2"/>
      <c r="H148" s="2"/>
      <c r="I148" s="2"/>
      <c r="J148" s="2"/>
      <c r="K148" s="2"/>
      <c r="L148" s="2"/>
      <c r="M148" s="2"/>
      <c r="N148" s="2"/>
      <c r="O148" s="2"/>
      <c r="P148" s="2"/>
      <c r="Q148" s="2"/>
      <c r="R148" s="2"/>
      <c r="S148" s="2"/>
      <c r="T148" s="2"/>
      <c r="U148" s="2"/>
      <c r="V148" s="2"/>
    </row>
    <row r="149" spans="1:22" customFormat="1" x14ac:dyDescent="0.45">
      <c r="A149" s="2"/>
      <c r="B149" s="2"/>
      <c r="C149" s="2"/>
      <c r="D149" s="12" t="s">
        <v>967</v>
      </c>
      <c r="F149" s="2"/>
      <c r="G149" s="2"/>
      <c r="H149" s="2"/>
      <c r="I149" s="2"/>
      <c r="J149" s="2"/>
      <c r="K149" s="2"/>
      <c r="L149" s="2"/>
      <c r="M149" s="2"/>
      <c r="N149" s="2"/>
      <c r="O149" s="2"/>
      <c r="P149" s="2"/>
      <c r="Q149" s="2"/>
      <c r="R149" s="2"/>
      <c r="S149" s="2"/>
      <c r="T149" s="2"/>
      <c r="U149" s="2"/>
      <c r="V149" s="2"/>
    </row>
    <row r="150" spans="1:22" customFormat="1" x14ac:dyDescent="0.45">
      <c r="A150" s="2"/>
      <c r="B150" s="2"/>
      <c r="C150" s="2"/>
      <c r="D150" s="12" t="s">
        <v>968</v>
      </c>
      <c r="F150" s="2"/>
      <c r="G150" s="2"/>
      <c r="H150" s="2"/>
      <c r="I150" s="2"/>
      <c r="J150" s="2"/>
      <c r="K150" s="2"/>
      <c r="L150" s="2"/>
      <c r="M150" s="2"/>
      <c r="N150" s="2"/>
      <c r="O150" s="2"/>
      <c r="P150" s="2"/>
      <c r="Q150" s="2"/>
      <c r="R150" s="2"/>
      <c r="S150" s="2"/>
      <c r="T150" s="2"/>
      <c r="U150" s="2"/>
      <c r="V150" s="2"/>
    </row>
    <row r="151" spans="1:22" customFormat="1" x14ac:dyDescent="0.45">
      <c r="A151" s="2"/>
      <c r="B151" s="2"/>
      <c r="C151" s="2"/>
      <c r="D151" s="12" t="s">
        <v>402</v>
      </c>
      <c r="F151" s="2"/>
      <c r="G151" s="2"/>
      <c r="H151" s="2"/>
      <c r="I151" s="2"/>
      <c r="J151" s="2"/>
      <c r="K151" s="2"/>
      <c r="L151" s="2"/>
      <c r="M151" s="2"/>
      <c r="N151" s="2"/>
      <c r="O151" s="2"/>
      <c r="P151" s="2"/>
      <c r="Q151" s="2"/>
      <c r="R151" s="2"/>
      <c r="S151" s="2"/>
      <c r="T151" s="2"/>
      <c r="U151" s="2"/>
      <c r="V151" s="2"/>
    </row>
    <row r="152" spans="1:22" customFormat="1" x14ac:dyDescent="0.45">
      <c r="A152" s="2"/>
      <c r="B152" s="2"/>
      <c r="C152" s="2"/>
      <c r="D152" s="12" t="s">
        <v>969</v>
      </c>
      <c r="F152" s="2"/>
      <c r="G152" s="2"/>
      <c r="H152" s="2"/>
      <c r="I152" s="2"/>
      <c r="J152" s="2"/>
      <c r="K152" s="2"/>
      <c r="L152" s="2"/>
      <c r="M152" s="2"/>
      <c r="N152" s="2"/>
      <c r="O152" s="2"/>
      <c r="P152" s="2"/>
      <c r="Q152" s="2"/>
      <c r="R152" s="2"/>
      <c r="S152" s="2"/>
      <c r="T152" s="2"/>
      <c r="U152" s="2"/>
      <c r="V152" s="2"/>
    </row>
    <row r="153" spans="1:22" customFormat="1" x14ac:dyDescent="0.45">
      <c r="A153" s="2"/>
      <c r="B153" s="2"/>
      <c r="C153" s="2"/>
      <c r="D153" s="12" t="s">
        <v>577</v>
      </c>
      <c r="F153" s="2"/>
      <c r="G153" s="2"/>
      <c r="H153" s="2"/>
      <c r="I153" s="2"/>
      <c r="J153" s="2"/>
      <c r="K153" s="2"/>
      <c r="L153" s="2"/>
      <c r="M153" s="2"/>
      <c r="N153" s="2"/>
      <c r="O153" s="2"/>
      <c r="P153" s="2"/>
      <c r="Q153" s="2"/>
      <c r="R153" s="2"/>
      <c r="S153" s="2"/>
      <c r="T153" s="2"/>
      <c r="U153" s="2"/>
      <c r="V153" s="2"/>
    </row>
    <row r="154" spans="1:22" customFormat="1" x14ac:dyDescent="0.45">
      <c r="A154" s="2"/>
      <c r="B154" s="2"/>
      <c r="C154" s="2"/>
      <c r="D154" s="12" t="s">
        <v>418</v>
      </c>
      <c r="F154" s="2"/>
      <c r="G154" s="2"/>
      <c r="H154" s="2"/>
      <c r="I154" s="2"/>
      <c r="J154" s="2"/>
      <c r="K154" s="2"/>
      <c r="L154" s="2"/>
      <c r="M154" s="2"/>
      <c r="N154" s="2"/>
      <c r="O154" s="2"/>
      <c r="P154" s="2"/>
      <c r="Q154" s="2"/>
      <c r="R154" s="2"/>
      <c r="S154" s="2"/>
      <c r="T154" s="2"/>
      <c r="U154" s="2"/>
      <c r="V154" s="2"/>
    </row>
    <row r="155" spans="1:22" customFormat="1" x14ac:dyDescent="0.45">
      <c r="A155" s="2"/>
      <c r="B155" s="2"/>
      <c r="C155" s="2"/>
      <c r="D155" s="12" t="s">
        <v>970</v>
      </c>
      <c r="F155" s="2"/>
      <c r="G155" s="2"/>
      <c r="H155" s="2"/>
      <c r="I155" s="2"/>
      <c r="J155" s="2"/>
      <c r="K155" s="2"/>
      <c r="L155" s="2"/>
      <c r="M155" s="2"/>
      <c r="N155" s="2"/>
      <c r="O155" s="2"/>
      <c r="P155" s="2"/>
      <c r="Q155" s="2"/>
      <c r="R155" s="2"/>
      <c r="S155" s="2"/>
      <c r="T155" s="2"/>
      <c r="U155" s="2"/>
      <c r="V155" s="2"/>
    </row>
    <row r="156" spans="1:22" customFormat="1" x14ac:dyDescent="0.45">
      <c r="A156" s="2"/>
      <c r="B156" s="2"/>
      <c r="C156" s="2"/>
      <c r="D156" s="6" t="s">
        <v>405</v>
      </c>
      <c r="F156" s="2"/>
      <c r="G156" s="2"/>
      <c r="H156" s="2"/>
      <c r="I156" s="2"/>
      <c r="J156" s="2"/>
      <c r="K156" s="2"/>
      <c r="L156" s="2"/>
      <c r="M156" s="2"/>
      <c r="N156" s="2"/>
      <c r="O156" s="2"/>
      <c r="P156" s="2"/>
      <c r="Q156" s="2"/>
      <c r="R156" s="2"/>
      <c r="S156" s="2"/>
      <c r="T156" s="2"/>
      <c r="U156" s="2"/>
      <c r="V156" s="2"/>
    </row>
    <row r="157" spans="1:22" customFormat="1" x14ac:dyDescent="0.45">
      <c r="A157" s="2"/>
      <c r="B157" s="2"/>
      <c r="C157" s="2"/>
      <c r="D157" s="6" t="s">
        <v>143</v>
      </c>
      <c r="F157" s="2"/>
      <c r="G157" s="2"/>
      <c r="H157" s="2"/>
      <c r="I157" s="2"/>
      <c r="J157" s="2"/>
      <c r="K157" s="2"/>
      <c r="L157" s="2"/>
      <c r="M157" s="2"/>
      <c r="N157" s="2"/>
      <c r="O157" s="2"/>
      <c r="P157" s="2"/>
      <c r="Q157" s="2"/>
      <c r="R157" s="2"/>
      <c r="S157" s="2"/>
      <c r="T157" s="2"/>
      <c r="U157" s="2"/>
      <c r="V157" s="2"/>
    </row>
    <row r="158" spans="1:22" customFormat="1" x14ac:dyDescent="0.45">
      <c r="A158" s="2"/>
      <c r="B158" s="2"/>
      <c r="C158" s="2"/>
      <c r="D158" s="14" t="s">
        <v>971</v>
      </c>
      <c r="F158" s="2"/>
      <c r="G158" s="2"/>
      <c r="H158" s="2"/>
      <c r="I158" s="2"/>
      <c r="J158" s="2"/>
      <c r="K158" s="2"/>
      <c r="L158" s="2"/>
      <c r="M158" s="2"/>
      <c r="N158" s="2"/>
      <c r="O158" s="2"/>
      <c r="P158" s="2"/>
      <c r="Q158" s="2"/>
      <c r="R158" s="2"/>
      <c r="S158" s="2"/>
      <c r="T158" s="2"/>
      <c r="U158" s="2"/>
      <c r="V158" s="2"/>
    </row>
    <row r="159" spans="1:22" customFormat="1" x14ac:dyDescent="0.45">
      <c r="A159" s="2"/>
      <c r="B159" s="2"/>
      <c r="C159" s="2"/>
      <c r="D159" s="14" t="s">
        <v>972</v>
      </c>
      <c r="F159" s="2"/>
      <c r="G159" s="2"/>
      <c r="H159" s="2"/>
      <c r="I159" s="2"/>
      <c r="J159" s="2"/>
      <c r="K159" s="2"/>
      <c r="L159" s="2"/>
      <c r="M159" s="2"/>
      <c r="N159" s="2"/>
      <c r="O159" s="2"/>
      <c r="P159" s="2"/>
      <c r="Q159" s="2"/>
      <c r="R159" s="2"/>
      <c r="S159" s="2"/>
      <c r="T159" s="2"/>
      <c r="U159" s="2"/>
      <c r="V159" s="2"/>
    </row>
    <row r="160" spans="1:22" customFormat="1" x14ac:dyDescent="0.45">
      <c r="A160" s="2"/>
      <c r="B160" s="2"/>
      <c r="C160" s="2"/>
      <c r="D160" s="14" t="s">
        <v>973</v>
      </c>
      <c r="F160" s="2"/>
      <c r="G160" s="2"/>
      <c r="H160" s="2"/>
      <c r="I160" s="2"/>
      <c r="J160" s="2"/>
      <c r="K160" s="2"/>
      <c r="L160" s="2"/>
      <c r="M160" s="2"/>
      <c r="N160" s="2"/>
      <c r="O160" s="2"/>
      <c r="P160" s="2"/>
      <c r="Q160" s="2"/>
      <c r="R160" s="2"/>
      <c r="S160" s="2"/>
      <c r="T160" s="2"/>
      <c r="U160" s="2"/>
      <c r="V160" s="2"/>
    </row>
    <row r="161" spans="1:22" customFormat="1" x14ac:dyDescent="0.45">
      <c r="A161" s="2"/>
      <c r="B161" s="2"/>
      <c r="C161" s="2"/>
      <c r="D161" s="14" t="s">
        <v>974</v>
      </c>
      <c r="F161" s="2"/>
      <c r="G161" s="2"/>
      <c r="H161" s="2"/>
      <c r="I161" s="2"/>
      <c r="J161" s="2"/>
      <c r="K161" s="2"/>
      <c r="L161" s="2"/>
      <c r="M161" s="2"/>
      <c r="N161" s="2"/>
      <c r="O161" s="2"/>
      <c r="P161" s="2"/>
      <c r="Q161" s="2"/>
      <c r="R161" s="2"/>
      <c r="S161" s="2"/>
      <c r="T161" s="2"/>
      <c r="U161" s="2"/>
      <c r="V161" s="2"/>
    </row>
    <row r="162" spans="1:22" customFormat="1" x14ac:dyDescent="0.45">
      <c r="A162" s="2"/>
      <c r="B162" s="2"/>
      <c r="C162" s="2"/>
      <c r="D162" s="14" t="s">
        <v>975</v>
      </c>
      <c r="F162" s="2"/>
      <c r="G162" s="2"/>
      <c r="H162" s="2"/>
      <c r="I162" s="2"/>
      <c r="J162" s="2"/>
      <c r="K162" s="2"/>
      <c r="L162" s="2"/>
      <c r="M162" s="2"/>
      <c r="N162" s="2"/>
      <c r="O162" s="2"/>
      <c r="P162" s="2"/>
      <c r="Q162" s="2"/>
      <c r="R162" s="2"/>
      <c r="S162" s="2"/>
      <c r="T162" s="2"/>
      <c r="U162" s="2"/>
      <c r="V162" s="2"/>
    </row>
    <row r="163" spans="1:22" customFormat="1" x14ac:dyDescent="0.45">
      <c r="A163" s="2"/>
      <c r="B163" s="2"/>
      <c r="C163" s="2"/>
      <c r="D163" s="14" t="s">
        <v>976</v>
      </c>
      <c r="F163" s="2"/>
      <c r="G163" s="2"/>
      <c r="H163" s="2"/>
      <c r="I163" s="2"/>
      <c r="J163" s="2"/>
      <c r="K163" s="2"/>
      <c r="L163" s="2"/>
      <c r="M163" s="2"/>
      <c r="N163" s="2"/>
      <c r="O163" s="2"/>
      <c r="P163" s="2"/>
      <c r="Q163" s="2"/>
      <c r="R163" s="2"/>
      <c r="S163" s="2"/>
      <c r="T163" s="2"/>
      <c r="U163" s="2"/>
      <c r="V163" s="2"/>
    </row>
    <row r="164" spans="1:22" customFormat="1" x14ac:dyDescent="0.45">
      <c r="A164" s="2"/>
      <c r="B164" s="2"/>
      <c r="C164" s="2"/>
      <c r="D164" s="14" t="s">
        <v>977</v>
      </c>
      <c r="F164" s="2"/>
      <c r="G164" s="2"/>
      <c r="H164" s="2"/>
      <c r="I164" s="2"/>
      <c r="J164" s="2"/>
      <c r="K164" s="2"/>
      <c r="L164" s="2"/>
      <c r="M164" s="2"/>
      <c r="N164" s="2"/>
      <c r="O164" s="2"/>
      <c r="P164" s="2"/>
      <c r="Q164" s="2"/>
      <c r="R164" s="2"/>
      <c r="S164" s="2"/>
      <c r="T164" s="2"/>
      <c r="U164" s="2"/>
      <c r="V164" s="2"/>
    </row>
    <row r="165" spans="1:22" customFormat="1" x14ac:dyDescent="0.45">
      <c r="A165" s="2"/>
      <c r="B165" s="2"/>
      <c r="C165" s="2"/>
      <c r="D165" s="14" t="s">
        <v>978</v>
      </c>
      <c r="F165" s="2"/>
      <c r="G165" s="2"/>
      <c r="H165" s="2"/>
      <c r="I165" s="2"/>
      <c r="J165" s="2"/>
      <c r="K165" s="2"/>
      <c r="L165" s="2"/>
      <c r="M165" s="2"/>
      <c r="N165" s="2"/>
      <c r="O165" s="2"/>
      <c r="P165" s="2"/>
      <c r="Q165" s="2"/>
      <c r="R165" s="2"/>
      <c r="S165" s="2"/>
      <c r="T165" s="2"/>
      <c r="U165" s="2"/>
      <c r="V165" s="2"/>
    </row>
    <row r="166" spans="1:22" customFormat="1" x14ac:dyDescent="0.45">
      <c r="A166" s="2"/>
      <c r="B166" s="2"/>
      <c r="C166" s="2"/>
      <c r="D166" s="14" t="s">
        <v>979</v>
      </c>
      <c r="F166" s="2"/>
      <c r="G166" s="2"/>
      <c r="H166" s="2"/>
      <c r="I166" s="2"/>
      <c r="J166" s="2"/>
      <c r="K166" s="2"/>
      <c r="L166" s="2"/>
      <c r="M166" s="2"/>
      <c r="N166" s="2"/>
      <c r="O166" s="2"/>
      <c r="P166" s="2"/>
      <c r="Q166" s="2"/>
      <c r="R166" s="2"/>
      <c r="S166" s="2"/>
      <c r="T166" s="2"/>
      <c r="U166" s="2"/>
      <c r="V166" s="2"/>
    </row>
    <row r="167" spans="1:22" customFormat="1" x14ac:dyDescent="0.45">
      <c r="A167" s="2"/>
      <c r="B167" s="2"/>
      <c r="C167" s="2"/>
      <c r="D167" s="14" t="s">
        <v>980</v>
      </c>
      <c r="F167" s="2"/>
      <c r="G167" s="2"/>
      <c r="H167" s="2"/>
      <c r="I167" s="2"/>
      <c r="J167" s="2"/>
      <c r="K167" s="2"/>
      <c r="L167" s="2"/>
      <c r="M167" s="2"/>
      <c r="N167" s="2"/>
      <c r="O167" s="2"/>
      <c r="P167" s="2"/>
      <c r="Q167" s="2"/>
      <c r="R167" s="2"/>
      <c r="S167" s="2"/>
      <c r="T167" s="2"/>
      <c r="U167" s="2"/>
      <c r="V167" s="2"/>
    </row>
    <row r="168" spans="1:22" customFormat="1" x14ac:dyDescent="0.45">
      <c r="A168" s="2"/>
      <c r="B168" s="2"/>
      <c r="C168" s="2"/>
      <c r="D168" s="15" t="s">
        <v>562</v>
      </c>
      <c r="F168" s="2"/>
      <c r="G168" s="2"/>
      <c r="H168" s="2"/>
      <c r="I168" s="2"/>
      <c r="J168" s="2"/>
      <c r="K168" s="2"/>
      <c r="L168" s="2"/>
      <c r="M168" s="2"/>
      <c r="N168" s="2"/>
      <c r="O168" s="2"/>
      <c r="P168" s="2"/>
      <c r="Q168" s="2"/>
      <c r="R168" s="2"/>
      <c r="S168" s="2"/>
      <c r="T168" s="2"/>
      <c r="U168" s="2"/>
      <c r="V168" s="2"/>
    </row>
    <row r="169" spans="1:22" customFormat="1" x14ac:dyDescent="0.45">
      <c r="A169" s="2"/>
      <c r="B169" s="2"/>
      <c r="C169" s="2"/>
      <c r="D169" s="15" t="s">
        <v>981</v>
      </c>
      <c r="F169" s="2"/>
      <c r="G169" s="2"/>
      <c r="H169" s="2"/>
      <c r="I169" s="2"/>
      <c r="J169" s="2"/>
      <c r="K169" s="2"/>
      <c r="L169" s="2"/>
      <c r="M169" s="2"/>
      <c r="N169" s="2"/>
      <c r="O169" s="2"/>
      <c r="P169" s="2"/>
      <c r="Q169" s="2"/>
      <c r="R169" s="2"/>
      <c r="S169" s="2"/>
      <c r="T169" s="2"/>
      <c r="U169" s="2"/>
      <c r="V169" s="2"/>
    </row>
    <row r="170" spans="1:22" customFormat="1" x14ac:dyDescent="0.45">
      <c r="A170" s="2"/>
      <c r="B170" s="2"/>
      <c r="C170" s="2"/>
      <c r="D170" s="15" t="s">
        <v>390</v>
      </c>
      <c r="F170" s="2"/>
      <c r="G170" s="2"/>
      <c r="H170" s="2"/>
      <c r="I170" s="2"/>
      <c r="J170" s="2"/>
      <c r="K170" s="2"/>
      <c r="L170" s="2"/>
      <c r="M170" s="2"/>
      <c r="N170" s="2"/>
      <c r="O170" s="2"/>
      <c r="P170" s="2"/>
      <c r="Q170" s="2"/>
      <c r="R170" s="2"/>
      <c r="S170" s="2"/>
      <c r="T170" s="2"/>
      <c r="U170" s="2"/>
      <c r="V170" s="2"/>
    </row>
    <row r="171" spans="1:22" customFormat="1" x14ac:dyDescent="0.45">
      <c r="A171" s="2"/>
      <c r="B171" s="2"/>
      <c r="C171" s="2"/>
      <c r="D171" s="15" t="s">
        <v>982</v>
      </c>
      <c r="F171" s="2"/>
      <c r="G171" s="2"/>
      <c r="H171" s="2"/>
      <c r="I171" s="2"/>
      <c r="J171" s="2"/>
      <c r="K171" s="2"/>
      <c r="L171" s="2"/>
      <c r="M171" s="2"/>
      <c r="N171" s="2"/>
      <c r="O171" s="2"/>
      <c r="P171" s="2"/>
      <c r="Q171" s="2"/>
      <c r="R171" s="2"/>
      <c r="S171" s="2"/>
      <c r="T171" s="2"/>
      <c r="U171" s="2"/>
      <c r="V171" s="2"/>
    </row>
    <row r="172" spans="1:22" customFormat="1" x14ac:dyDescent="0.45">
      <c r="A172" s="2"/>
      <c r="B172" s="2"/>
      <c r="C172" s="2"/>
      <c r="D172" s="15" t="s">
        <v>713</v>
      </c>
      <c r="F172" s="2"/>
      <c r="G172" s="2"/>
      <c r="H172" s="2"/>
      <c r="I172" s="2"/>
      <c r="J172" s="2"/>
      <c r="K172" s="2"/>
      <c r="L172" s="2"/>
      <c r="M172" s="2"/>
      <c r="N172" s="2"/>
      <c r="O172" s="2"/>
      <c r="P172" s="2"/>
      <c r="Q172" s="2"/>
      <c r="R172" s="2"/>
      <c r="S172" s="2"/>
      <c r="T172" s="2"/>
      <c r="U172" s="2"/>
      <c r="V172" s="2"/>
    </row>
    <row r="173" spans="1:22" customFormat="1" x14ac:dyDescent="0.45">
      <c r="A173" s="2"/>
      <c r="B173" s="2"/>
      <c r="C173" s="2"/>
      <c r="D173" s="15" t="s">
        <v>983</v>
      </c>
      <c r="F173" s="2"/>
      <c r="G173" s="2"/>
      <c r="H173" s="2"/>
      <c r="I173" s="2"/>
      <c r="J173" s="2"/>
      <c r="K173" s="2"/>
      <c r="L173" s="2"/>
      <c r="M173" s="2"/>
      <c r="N173" s="2"/>
      <c r="O173" s="2"/>
      <c r="P173" s="2"/>
      <c r="Q173" s="2"/>
      <c r="R173" s="2"/>
      <c r="S173" s="2"/>
      <c r="T173" s="2"/>
      <c r="U173" s="2"/>
      <c r="V173" s="2"/>
    </row>
    <row r="174" spans="1:22" customFormat="1" x14ac:dyDescent="0.45">
      <c r="A174" s="2"/>
      <c r="B174" s="2"/>
      <c r="C174" s="2"/>
      <c r="D174" s="15" t="s">
        <v>984</v>
      </c>
      <c r="F174" s="2"/>
      <c r="G174" s="2"/>
      <c r="H174" s="2"/>
      <c r="I174" s="2"/>
      <c r="J174" s="2"/>
      <c r="K174" s="2"/>
      <c r="L174" s="2"/>
      <c r="M174" s="2"/>
      <c r="N174" s="2"/>
      <c r="O174" s="2"/>
      <c r="P174" s="2"/>
      <c r="Q174" s="2"/>
      <c r="R174" s="2"/>
      <c r="S174" s="2"/>
      <c r="T174" s="2"/>
      <c r="U174" s="2"/>
      <c r="V174" s="2"/>
    </row>
    <row r="175" spans="1:22" customFormat="1" x14ac:dyDescent="0.45">
      <c r="A175" s="2"/>
      <c r="B175" s="2"/>
      <c r="C175" s="2"/>
      <c r="D175" s="2" t="s">
        <v>985</v>
      </c>
      <c r="F175" s="2"/>
      <c r="G175" s="2"/>
      <c r="H175" s="2"/>
      <c r="I175" s="2"/>
      <c r="J175" s="2"/>
      <c r="K175" s="2"/>
      <c r="L175" s="2"/>
      <c r="M175" s="2"/>
      <c r="N175" s="2"/>
      <c r="O175" s="2"/>
      <c r="P175" s="2"/>
      <c r="Q175" s="2"/>
      <c r="R175" s="2"/>
      <c r="S175" s="2"/>
      <c r="T175" s="2"/>
      <c r="U175" s="2"/>
      <c r="V175" s="2"/>
    </row>
    <row r="176" spans="1:22" customFormat="1" x14ac:dyDescent="0.45">
      <c r="A176" s="2"/>
      <c r="B176" s="2"/>
      <c r="C176" s="2"/>
      <c r="D176" s="2" t="s">
        <v>986</v>
      </c>
      <c r="F176" s="2"/>
      <c r="G176" s="2"/>
      <c r="H176" s="2"/>
      <c r="I176" s="2"/>
      <c r="J176" s="2"/>
      <c r="K176" s="2"/>
      <c r="L176" s="2"/>
      <c r="M176" s="2"/>
      <c r="N176" s="2"/>
      <c r="O176" s="2"/>
      <c r="P176" s="2"/>
      <c r="Q176" s="2"/>
      <c r="R176" s="2"/>
      <c r="S176" s="2"/>
      <c r="T176" s="2"/>
      <c r="U176" s="2"/>
      <c r="V176" s="2"/>
    </row>
    <row r="177" spans="1:22" customFormat="1" x14ac:dyDescent="0.45">
      <c r="A177" s="2"/>
      <c r="B177" s="2"/>
      <c r="C177" s="2"/>
      <c r="D177" s="2" t="s">
        <v>987</v>
      </c>
      <c r="F177" s="2"/>
      <c r="G177" s="2"/>
      <c r="H177" s="2"/>
      <c r="I177" s="2"/>
      <c r="J177" s="2"/>
      <c r="K177" s="2"/>
      <c r="L177" s="2"/>
      <c r="M177" s="2"/>
      <c r="N177" s="2"/>
      <c r="O177" s="2"/>
      <c r="P177" s="2"/>
      <c r="Q177" s="2"/>
      <c r="R177" s="2"/>
      <c r="S177" s="2"/>
      <c r="T177" s="2"/>
      <c r="U177" s="2"/>
      <c r="V177" s="2"/>
    </row>
    <row r="178" spans="1:22" customFormat="1" x14ac:dyDescent="0.45">
      <c r="A178" s="2"/>
      <c r="B178" s="2"/>
      <c r="C178" s="2"/>
      <c r="D178" s="2" t="s">
        <v>988</v>
      </c>
      <c r="F178" s="2"/>
      <c r="G178" s="2"/>
      <c r="H178" s="2"/>
      <c r="I178" s="2"/>
      <c r="J178" s="2"/>
      <c r="K178" s="2"/>
      <c r="L178" s="2"/>
      <c r="M178" s="2"/>
      <c r="N178" s="2"/>
      <c r="O178" s="2"/>
      <c r="P178" s="2"/>
      <c r="Q178" s="2"/>
      <c r="R178" s="2"/>
      <c r="S178" s="2"/>
      <c r="T178" s="2"/>
      <c r="U178" s="2"/>
      <c r="V178" s="2"/>
    </row>
    <row r="179" spans="1:22" customFormat="1" x14ac:dyDescent="0.45">
      <c r="A179" s="2"/>
      <c r="B179" s="2"/>
      <c r="C179" s="2"/>
      <c r="D179" s="2" t="s">
        <v>989</v>
      </c>
      <c r="F179" s="2"/>
      <c r="G179" s="2"/>
      <c r="H179" s="2"/>
      <c r="I179" s="2"/>
      <c r="J179" s="2"/>
      <c r="K179" s="2"/>
      <c r="L179" s="2"/>
      <c r="M179" s="2"/>
      <c r="N179" s="2"/>
      <c r="O179" s="2"/>
      <c r="P179" s="2"/>
      <c r="Q179" s="2"/>
      <c r="R179" s="2"/>
      <c r="S179" s="2"/>
      <c r="T179" s="2"/>
      <c r="U179" s="2"/>
      <c r="V179" s="2"/>
    </row>
    <row r="180" spans="1:22" customFormat="1" x14ac:dyDescent="0.45">
      <c r="A180" s="2"/>
      <c r="B180" s="2"/>
      <c r="C180" s="2"/>
      <c r="D180" s="2" t="s">
        <v>990</v>
      </c>
      <c r="F180" s="2"/>
      <c r="G180" s="2"/>
      <c r="H180" s="2"/>
      <c r="I180" s="2"/>
      <c r="J180" s="2"/>
      <c r="K180" s="2"/>
      <c r="L180" s="2"/>
      <c r="M180" s="2"/>
      <c r="N180" s="2"/>
      <c r="O180" s="2"/>
      <c r="P180" s="2"/>
      <c r="Q180" s="2"/>
      <c r="R180" s="2"/>
      <c r="S180" s="2"/>
      <c r="T180" s="2"/>
      <c r="U180" s="2"/>
      <c r="V180" s="2"/>
    </row>
    <row r="181" spans="1:22" customFormat="1" x14ac:dyDescent="0.45">
      <c r="A181" s="2"/>
      <c r="B181" s="2"/>
      <c r="C181" s="2"/>
      <c r="D181" s="2" t="s">
        <v>991</v>
      </c>
      <c r="F181" s="2"/>
      <c r="G181" s="2"/>
      <c r="H181" s="2"/>
      <c r="I181" s="2"/>
      <c r="J181" s="2"/>
      <c r="K181" s="2"/>
      <c r="L181" s="2"/>
      <c r="M181" s="2"/>
      <c r="N181" s="2"/>
      <c r="O181" s="2"/>
      <c r="P181" s="2"/>
      <c r="Q181" s="2"/>
      <c r="R181" s="2"/>
      <c r="S181" s="2"/>
      <c r="T181" s="2"/>
      <c r="U181" s="2"/>
      <c r="V181" s="2"/>
    </row>
    <row r="182" spans="1:22" customFormat="1" x14ac:dyDescent="0.45">
      <c r="A182" s="2"/>
      <c r="B182" s="2"/>
      <c r="C182" s="2"/>
      <c r="D182" s="2" t="s">
        <v>992</v>
      </c>
      <c r="F182" s="2"/>
      <c r="G182" s="2"/>
      <c r="H182" s="2"/>
      <c r="I182" s="2"/>
      <c r="J182" s="2"/>
      <c r="K182" s="2"/>
      <c r="L182" s="2"/>
      <c r="M182" s="2"/>
      <c r="N182" s="2"/>
      <c r="O182" s="2"/>
      <c r="P182" s="2"/>
      <c r="Q182" s="2"/>
      <c r="R182" s="2"/>
      <c r="S182" s="2"/>
      <c r="T182" s="2"/>
      <c r="U182" s="2"/>
      <c r="V182" s="2"/>
    </row>
    <row r="183" spans="1:22" customFormat="1" x14ac:dyDescent="0.45">
      <c r="A183" s="2"/>
      <c r="B183" s="2"/>
      <c r="C183" s="2"/>
      <c r="D183" s="2" t="s">
        <v>993</v>
      </c>
      <c r="F183" s="2"/>
      <c r="G183" s="2"/>
      <c r="H183" s="2"/>
      <c r="I183" s="2"/>
      <c r="J183" s="2"/>
      <c r="K183" s="2"/>
      <c r="L183" s="2"/>
      <c r="M183" s="2"/>
      <c r="N183" s="2"/>
      <c r="O183" s="2"/>
      <c r="P183" s="2"/>
      <c r="Q183" s="2"/>
      <c r="R183" s="2"/>
      <c r="S183" s="2"/>
      <c r="T183" s="2"/>
      <c r="U183" s="2"/>
      <c r="V183" s="2"/>
    </row>
    <row r="184" spans="1:22" customFormat="1" x14ac:dyDescent="0.45">
      <c r="A184" s="2"/>
      <c r="B184" s="2"/>
      <c r="C184" s="2"/>
      <c r="D184" s="2" t="s">
        <v>994</v>
      </c>
      <c r="F184" s="2"/>
      <c r="G184" s="2"/>
      <c r="H184" s="2"/>
      <c r="I184" s="2"/>
      <c r="J184" s="2"/>
      <c r="K184" s="2"/>
      <c r="L184" s="2"/>
      <c r="M184" s="2"/>
      <c r="N184" s="2"/>
      <c r="O184" s="2"/>
      <c r="P184" s="2"/>
      <c r="Q184" s="2"/>
      <c r="R184" s="2"/>
      <c r="S184" s="2"/>
      <c r="T184" s="2"/>
      <c r="U184" s="2"/>
      <c r="V184" s="2"/>
    </row>
    <row r="185" spans="1:22" customFormat="1" x14ac:dyDescent="0.45">
      <c r="A185" s="2"/>
      <c r="B185" s="2"/>
      <c r="C185" s="2"/>
      <c r="D185" s="2" t="s">
        <v>995</v>
      </c>
      <c r="F185" s="2"/>
      <c r="G185" s="2"/>
      <c r="H185" s="2"/>
      <c r="I185" s="2"/>
      <c r="J185" s="2"/>
      <c r="K185" s="2"/>
      <c r="L185" s="2"/>
      <c r="M185" s="2"/>
      <c r="N185" s="2"/>
      <c r="O185" s="2"/>
      <c r="P185" s="2"/>
      <c r="Q185" s="2"/>
      <c r="R185" s="2"/>
      <c r="S185" s="2"/>
      <c r="T185" s="2"/>
      <c r="U185" s="2"/>
      <c r="V185" s="2"/>
    </row>
    <row r="186" spans="1:22" customFormat="1" x14ac:dyDescent="0.45">
      <c r="A186" s="2"/>
      <c r="B186" s="2"/>
      <c r="C186" s="2"/>
      <c r="D186" s="2" t="s">
        <v>996</v>
      </c>
      <c r="F186" s="2"/>
      <c r="G186" s="2"/>
      <c r="H186" s="2"/>
      <c r="I186" s="2"/>
      <c r="J186" s="2"/>
      <c r="K186" s="2"/>
      <c r="L186" s="2"/>
      <c r="M186" s="2"/>
      <c r="N186" s="2"/>
      <c r="O186" s="2"/>
      <c r="P186" s="2"/>
      <c r="Q186" s="2"/>
      <c r="R186" s="2"/>
      <c r="S186" s="2"/>
      <c r="T186" s="2"/>
      <c r="U186" s="2"/>
      <c r="V186" s="2"/>
    </row>
    <row r="187" spans="1:22" customFormat="1" x14ac:dyDescent="0.45">
      <c r="A187" s="2"/>
      <c r="B187" s="2"/>
      <c r="C187" s="2"/>
      <c r="D187" s="2" t="s">
        <v>997</v>
      </c>
      <c r="F187" s="2"/>
      <c r="G187" s="2"/>
      <c r="H187" s="2"/>
      <c r="I187" s="2"/>
      <c r="J187" s="2"/>
      <c r="K187" s="2"/>
      <c r="L187" s="2"/>
      <c r="M187" s="2"/>
      <c r="N187" s="2"/>
      <c r="O187" s="2"/>
      <c r="P187" s="2"/>
      <c r="Q187" s="2"/>
      <c r="R187" s="2"/>
      <c r="S187" s="2"/>
      <c r="T187" s="2"/>
      <c r="U187" s="2"/>
      <c r="V187" s="2"/>
    </row>
    <row r="188" spans="1:22" customFormat="1" x14ac:dyDescent="0.45">
      <c r="A188" s="2"/>
      <c r="B188" s="2"/>
      <c r="C188" s="2"/>
      <c r="D188" s="2" t="s">
        <v>998</v>
      </c>
      <c r="F188" s="2"/>
      <c r="G188" s="2"/>
      <c r="H188" s="2"/>
      <c r="I188" s="2"/>
      <c r="J188" s="2"/>
      <c r="K188" s="2"/>
      <c r="L188" s="2"/>
      <c r="M188" s="2"/>
      <c r="N188" s="2"/>
      <c r="O188" s="2"/>
      <c r="P188" s="2"/>
      <c r="Q188" s="2"/>
      <c r="R188" s="2"/>
      <c r="S188" s="2"/>
      <c r="T188" s="2"/>
      <c r="U188" s="2"/>
      <c r="V188" s="2"/>
    </row>
    <row r="189" spans="1:22" customFormat="1" x14ac:dyDescent="0.45">
      <c r="A189" s="2"/>
      <c r="B189" s="2"/>
      <c r="C189" s="2"/>
      <c r="D189" s="2" t="s">
        <v>999</v>
      </c>
      <c r="F189" s="2"/>
      <c r="G189" s="2"/>
      <c r="H189" s="2"/>
      <c r="I189" s="2"/>
      <c r="J189" s="2"/>
      <c r="K189" s="2"/>
      <c r="L189" s="2"/>
      <c r="M189" s="2"/>
      <c r="N189" s="2"/>
      <c r="O189" s="2"/>
      <c r="P189" s="2"/>
      <c r="Q189" s="2"/>
      <c r="R189" s="2"/>
      <c r="S189" s="2"/>
      <c r="T189" s="2"/>
      <c r="U189" s="2"/>
      <c r="V189" s="2"/>
    </row>
    <row r="190" spans="1:22" customFormat="1" x14ac:dyDescent="0.45">
      <c r="A190" s="2"/>
      <c r="B190" s="2"/>
      <c r="C190" s="2"/>
      <c r="D190" s="2" t="s">
        <v>1000</v>
      </c>
      <c r="F190" s="2"/>
      <c r="G190" s="2"/>
      <c r="H190" s="2"/>
      <c r="I190" s="2"/>
      <c r="J190" s="2"/>
      <c r="K190" s="2"/>
      <c r="L190" s="2"/>
      <c r="M190" s="2"/>
      <c r="N190" s="2"/>
      <c r="O190" s="2"/>
      <c r="P190" s="2"/>
      <c r="Q190" s="2"/>
      <c r="R190" s="2"/>
      <c r="S190" s="2"/>
      <c r="T190" s="2"/>
      <c r="U190" s="2"/>
      <c r="V190" s="2"/>
    </row>
    <row r="191" spans="1:22" customFormat="1" x14ac:dyDescent="0.45">
      <c r="A191" s="2"/>
      <c r="B191" s="2"/>
      <c r="C191" s="2"/>
      <c r="D191" s="2" t="s">
        <v>1001</v>
      </c>
      <c r="F191" s="2"/>
      <c r="G191" s="2"/>
      <c r="H191" s="2"/>
      <c r="I191" s="2"/>
      <c r="J191" s="2"/>
      <c r="K191" s="2"/>
      <c r="L191" s="2"/>
      <c r="M191" s="2"/>
      <c r="N191" s="2"/>
      <c r="O191" s="2"/>
      <c r="P191" s="2"/>
      <c r="Q191" s="2"/>
      <c r="R191" s="2"/>
      <c r="S191" s="2"/>
      <c r="T191" s="2"/>
      <c r="U191" s="2"/>
      <c r="V191" s="2"/>
    </row>
    <row r="192" spans="1:22" customFormat="1" x14ac:dyDescent="0.45">
      <c r="A192" s="2"/>
      <c r="B192" s="2"/>
      <c r="C192" s="2"/>
      <c r="D192" s="2" t="s">
        <v>1002</v>
      </c>
      <c r="F192" s="2"/>
      <c r="G192" s="2"/>
      <c r="H192" s="2"/>
      <c r="I192" s="2"/>
      <c r="J192" s="2"/>
      <c r="K192" s="2"/>
      <c r="L192" s="2"/>
      <c r="M192" s="2"/>
      <c r="N192" s="2"/>
      <c r="O192" s="2"/>
      <c r="P192" s="2"/>
      <c r="Q192" s="2"/>
      <c r="R192" s="2"/>
      <c r="S192" s="2"/>
      <c r="T192" s="2"/>
      <c r="U192" s="2"/>
      <c r="V192" s="2"/>
    </row>
    <row r="193" spans="1:22" customFormat="1" x14ac:dyDescent="0.45">
      <c r="A193" s="2"/>
      <c r="B193" s="2"/>
      <c r="C193" s="2"/>
      <c r="D193" s="2" t="s">
        <v>1003</v>
      </c>
      <c r="F193" s="2"/>
      <c r="G193" s="2"/>
      <c r="H193" s="2"/>
      <c r="I193" s="2"/>
      <c r="J193" s="2"/>
      <c r="K193" s="2"/>
      <c r="L193" s="2"/>
      <c r="M193" s="2"/>
      <c r="N193" s="2"/>
      <c r="O193" s="2"/>
      <c r="P193" s="2"/>
      <c r="Q193" s="2"/>
      <c r="R193" s="2"/>
      <c r="S193" s="2"/>
      <c r="T193" s="2"/>
      <c r="U193" s="2"/>
      <c r="V193" s="2"/>
    </row>
    <row r="194" spans="1:22" customFormat="1" x14ac:dyDescent="0.45">
      <c r="A194" s="2"/>
      <c r="B194" s="2"/>
      <c r="C194" s="2"/>
      <c r="D194" s="2" t="s">
        <v>1004</v>
      </c>
      <c r="F194" s="2"/>
      <c r="G194" s="2"/>
      <c r="H194" s="2"/>
      <c r="I194" s="2"/>
      <c r="J194" s="2"/>
      <c r="K194" s="2"/>
      <c r="L194" s="2"/>
      <c r="M194" s="2"/>
      <c r="N194" s="2"/>
      <c r="O194" s="2"/>
      <c r="P194" s="2"/>
      <c r="Q194" s="2"/>
      <c r="R194" s="2"/>
      <c r="S194" s="2"/>
      <c r="T194" s="2"/>
      <c r="U194" s="2"/>
      <c r="V194" s="2"/>
    </row>
    <row r="195" spans="1:22" customFormat="1" x14ac:dyDescent="0.45">
      <c r="A195" s="2"/>
      <c r="B195" s="2"/>
      <c r="C195" s="2"/>
      <c r="D195" s="2" t="s">
        <v>1005</v>
      </c>
      <c r="F195" s="2"/>
      <c r="G195" s="2"/>
      <c r="H195" s="2"/>
      <c r="I195" s="2"/>
      <c r="J195" s="2"/>
      <c r="K195" s="2"/>
      <c r="L195" s="2"/>
      <c r="M195" s="2"/>
      <c r="N195" s="2"/>
      <c r="O195" s="2"/>
      <c r="P195" s="2"/>
      <c r="Q195" s="2"/>
      <c r="R195" s="2"/>
      <c r="S195" s="2"/>
      <c r="T195" s="2"/>
      <c r="U195" s="2"/>
      <c r="V195" s="2"/>
    </row>
    <row r="196" spans="1:22" customFormat="1" x14ac:dyDescent="0.45">
      <c r="A196" s="2"/>
      <c r="B196" s="2"/>
      <c r="C196" s="2"/>
      <c r="D196" s="2" t="s">
        <v>1006</v>
      </c>
      <c r="F196" s="2"/>
      <c r="G196" s="2"/>
      <c r="H196" s="2"/>
      <c r="I196" s="2"/>
      <c r="J196" s="2"/>
      <c r="K196" s="2"/>
      <c r="L196" s="2"/>
      <c r="M196" s="2"/>
      <c r="N196" s="2"/>
      <c r="O196" s="2"/>
      <c r="P196" s="2"/>
      <c r="Q196" s="2"/>
      <c r="R196" s="2"/>
      <c r="S196" s="2"/>
      <c r="T196" s="2"/>
      <c r="U196" s="2"/>
      <c r="V196" s="2"/>
    </row>
    <row r="197" spans="1:22" customFormat="1" x14ac:dyDescent="0.45">
      <c r="A197" s="2"/>
      <c r="B197" s="2"/>
      <c r="C197" s="2"/>
      <c r="D197" s="2" t="s">
        <v>1007</v>
      </c>
      <c r="F197" s="2"/>
      <c r="G197" s="2"/>
      <c r="H197" s="2"/>
      <c r="I197" s="2"/>
      <c r="J197" s="2"/>
      <c r="K197" s="2"/>
      <c r="L197" s="2"/>
      <c r="M197" s="2"/>
      <c r="N197" s="2"/>
      <c r="O197" s="2"/>
      <c r="P197" s="2"/>
      <c r="Q197" s="2"/>
      <c r="R197" s="2"/>
      <c r="S197" s="2"/>
      <c r="T197" s="2"/>
      <c r="U197" s="2"/>
      <c r="V197" s="2"/>
    </row>
    <row r="198" spans="1:22" customFormat="1" x14ac:dyDescent="0.45">
      <c r="A198" s="2"/>
      <c r="B198" s="2"/>
      <c r="C198" s="2"/>
      <c r="D198" s="2" t="s">
        <v>1008</v>
      </c>
      <c r="F198" s="2"/>
      <c r="G198" s="2"/>
      <c r="H198" s="2"/>
      <c r="I198" s="2"/>
      <c r="J198" s="2"/>
      <c r="K198" s="2"/>
      <c r="L198" s="2"/>
      <c r="M198" s="2"/>
      <c r="N198" s="2"/>
      <c r="O198" s="2"/>
      <c r="P198" s="2"/>
      <c r="Q198" s="2"/>
      <c r="R198" s="2"/>
      <c r="S198" s="2"/>
      <c r="T198" s="2"/>
      <c r="U198" s="2"/>
      <c r="V198" s="2"/>
    </row>
    <row r="199" spans="1:22" customFormat="1" x14ac:dyDescent="0.45">
      <c r="A199" s="2"/>
      <c r="B199" s="2"/>
      <c r="C199" s="2"/>
      <c r="D199" s="2" t="s">
        <v>1009</v>
      </c>
      <c r="F199" s="2"/>
      <c r="G199" s="2"/>
      <c r="H199" s="2"/>
      <c r="I199" s="2"/>
      <c r="J199" s="2"/>
      <c r="K199" s="2"/>
      <c r="L199" s="2"/>
      <c r="M199" s="2"/>
      <c r="N199" s="2"/>
      <c r="O199" s="2"/>
      <c r="P199" s="2"/>
      <c r="Q199" s="2"/>
      <c r="R199" s="2"/>
      <c r="S199" s="2"/>
      <c r="T199" s="2"/>
      <c r="U199" s="2"/>
      <c r="V199" s="2"/>
    </row>
    <row r="200" spans="1:22" customFormat="1" x14ac:dyDescent="0.45">
      <c r="A200" s="2"/>
      <c r="B200" s="2"/>
      <c r="C200" s="2"/>
      <c r="D200" s="2" t="s">
        <v>1010</v>
      </c>
      <c r="F200" s="2"/>
      <c r="G200" s="2"/>
      <c r="H200" s="2"/>
      <c r="I200" s="2"/>
      <c r="J200" s="2"/>
      <c r="K200" s="2"/>
      <c r="L200" s="2"/>
      <c r="M200" s="2"/>
      <c r="N200" s="2"/>
      <c r="O200" s="2"/>
      <c r="P200" s="2"/>
      <c r="Q200" s="2"/>
      <c r="R200" s="2"/>
      <c r="S200" s="2"/>
      <c r="T200" s="2"/>
      <c r="U200" s="2"/>
      <c r="V200" s="2"/>
    </row>
    <row r="201" spans="1:22" customFormat="1" x14ac:dyDescent="0.45">
      <c r="A201" s="2"/>
      <c r="B201" s="2"/>
      <c r="C201" s="2"/>
      <c r="D201" s="2" t="s">
        <v>152</v>
      </c>
      <c r="F201" s="2"/>
      <c r="G201" s="2"/>
      <c r="H201" s="2"/>
      <c r="I201" s="2"/>
      <c r="J201" s="2"/>
      <c r="K201" s="2"/>
      <c r="L201" s="2"/>
      <c r="M201" s="2"/>
      <c r="N201" s="2"/>
      <c r="O201" s="2"/>
      <c r="P201" s="2"/>
      <c r="Q201" s="2"/>
      <c r="R201" s="2"/>
      <c r="S201" s="2"/>
      <c r="T201" s="2"/>
      <c r="U201" s="2"/>
      <c r="V201" s="2"/>
    </row>
    <row r="202" spans="1:22" customFormat="1" x14ac:dyDescent="0.45">
      <c r="A202" s="2"/>
      <c r="B202" s="2"/>
      <c r="C202" s="2"/>
      <c r="D202" s="2" t="s">
        <v>1011</v>
      </c>
      <c r="F202" s="2"/>
      <c r="G202" s="2"/>
      <c r="H202" s="2"/>
      <c r="I202" s="2"/>
      <c r="J202" s="2"/>
      <c r="K202" s="2"/>
      <c r="L202" s="2"/>
      <c r="M202" s="2"/>
      <c r="N202" s="2"/>
      <c r="O202" s="2"/>
      <c r="P202" s="2"/>
      <c r="Q202" s="2"/>
      <c r="R202" s="2"/>
      <c r="S202" s="2"/>
      <c r="T202" s="2"/>
      <c r="U202" s="2"/>
      <c r="V202" s="2"/>
    </row>
    <row r="203" spans="1:22" customFormat="1" x14ac:dyDescent="0.45">
      <c r="A203" s="2"/>
      <c r="B203" s="2"/>
      <c r="C203" s="2"/>
      <c r="D203" s="2" t="s">
        <v>1012</v>
      </c>
      <c r="F203" s="2"/>
      <c r="G203" s="2"/>
      <c r="H203" s="2"/>
      <c r="I203" s="2"/>
      <c r="J203" s="2"/>
      <c r="K203" s="2"/>
      <c r="L203" s="2"/>
      <c r="M203" s="2"/>
      <c r="N203" s="2"/>
      <c r="O203" s="2"/>
      <c r="P203" s="2"/>
      <c r="Q203" s="2"/>
      <c r="R203" s="2"/>
      <c r="S203" s="2"/>
      <c r="T203" s="2"/>
      <c r="U203" s="2"/>
      <c r="V203" s="2"/>
    </row>
    <row r="204" spans="1:22" ht="14.5" x14ac:dyDescent="0.4">
      <c r="D204" s="2" t="s">
        <v>1013</v>
      </c>
      <c r="E204" s="2"/>
    </row>
    <row r="205" spans="1:22" ht="14.5" x14ac:dyDescent="0.4">
      <c r="E205" s="2"/>
    </row>
  </sheetData>
  <pageMargins left="0.70000000000000007" right="0.70000000000000007" top="0.75" bottom="0.75" header="0.30000000000000004" footer="0.30000000000000004"/>
  <pageSetup fitToWidth="0" fitToHeight="0" orientation="portrait" r:id="rId1"/>
  <headerFooter alignWithMargins="0">
    <oddFooter>&amp;L_x000D_&amp;1#&amp;"Calibri"&amp;9&amp;K0078D7 Information Classification: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147"/>
  <sheetViews>
    <sheetView topLeftCell="D1" zoomScale="80" zoomScaleNormal="80" workbookViewId="0">
      <selection activeCell="Y22" sqref="Y22"/>
    </sheetView>
  </sheetViews>
  <sheetFormatPr defaultRowHeight="16.5" x14ac:dyDescent="0.45"/>
  <cols>
    <col min="1" max="1" width="18.3046875" style="2" customWidth="1"/>
    <col min="2" max="2" width="23.765625" style="2" customWidth="1"/>
    <col min="3" max="5" width="30" style="2" customWidth="1"/>
    <col min="6" max="9" width="30" customWidth="1"/>
    <col min="10" max="10" width="33.69140625" customWidth="1"/>
    <col min="11" max="11" width="10.69140625" customWidth="1"/>
    <col min="12" max="12" width="11.07421875" customWidth="1"/>
    <col min="13" max="13" width="17" customWidth="1"/>
    <col min="14" max="14" width="24" customWidth="1"/>
    <col min="15" max="15" width="37" customWidth="1"/>
    <col min="16" max="16" width="18.765625" customWidth="1"/>
    <col min="17" max="17" width="25.69140625" customWidth="1"/>
    <col min="18" max="18" width="13.4609375" customWidth="1"/>
    <col min="19" max="19" width="13.765625" customWidth="1"/>
    <col min="21" max="21" width="10.4609375" customWidth="1"/>
    <col min="22" max="22" width="16.765625" customWidth="1"/>
    <col min="25" max="25" width="19" customWidth="1"/>
    <col min="26" max="26" width="14.765625" customWidth="1"/>
    <col min="31" max="31" width="15.765625" customWidth="1"/>
    <col min="32" max="32" width="31.69140625" customWidth="1"/>
    <col min="33" max="33" width="21.765625" customWidth="1"/>
    <col min="35" max="35" width="20.07421875" customWidth="1"/>
    <col min="36" max="38" width="22.4609375" customWidth="1"/>
    <col min="39" max="39" width="21.69140625" customWidth="1"/>
    <col min="40" max="40" width="16.4609375" customWidth="1"/>
    <col min="41" max="42" width="12.765625" customWidth="1"/>
    <col min="43" max="43" width="13.23046875" customWidth="1"/>
    <col min="45" max="45" width="14.765625" customWidth="1"/>
    <col min="46" max="46" width="19.23046875" customWidth="1"/>
    <col min="48" max="49" width="10.07421875" customWidth="1"/>
    <col min="50" max="50" width="11.765625" customWidth="1"/>
  </cols>
  <sheetData>
    <row r="1" spans="1:11" x14ac:dyDescent="0.45">
      <c r="A1" s="3" t="s">
        <v>120</v>
      </c>
      <c r="B1" s="3"/>
      <c r="C1" s="36" t="s">
        <v>160</v>
      </c>
      <c r="D1" s="44" t="s">
        <v>190</v>
      </c>
      <c r="E1" s="44" t="s">
        <v>146</v>
      </c>
      <c r="F1" s="36" t="s">
        <v>172</v>
      </c>
      <c r="G1" s="36" t="s">
        <v>182</v>
      </c>
      <c r="H1" s="36" t="s">
        <v>176</v>
      </c>
      <c r="I1" s="36" t="s">
        <v>167</v>
      </c>
      <c r="J1" s="2" t="s">
        <v>206</v>
      </c>
      <c r="K1" s="98" t="s">
        <v>152</v>
      </c>
    </row>
    <row r="2" spans="1:11" x14ac:dyDescent="0.45">
      <c r="A2" s="4" t="s">
        <v>160</v>
      </c>
      <c r="C2" s="41" t="s">
        <v>161</v>
      </c>
      <c r="D2" s="45" t="s">
        <v>317</v>
      </c>
      <c r="E2" s="47" t="s">
        <v>236</v>
      </c>
      <c r="F2" s="51" t="s">
        <v>536</v>
      </c>
      <c r="G2" s="37" t="s">
        <v>307</v>
      </c>
      <c r="H2" s="54" t="s">
        <v>259</v>
      </c>
      <c r="I2" s="37" t="s">
        <v>403</v>
      </c>
      <c r="J2" s="2" t="s">
        <v>270</v>
      </c>
      <c r="K2" s="2" t="s">
        <v>171</v>
      </c>
    </row>
    <row r="3" spans="1:11" x14ac:dyDescent="0.45">
      <c r="A3" s="6" t="s">
        <v>190</v>
      </c>
      <c r="C3" s="42" t="s">
        <v>221</v>
      </c>
      <c r="D3" s="46" t="s">
        <v>238</v>
      </c>
      <c r="E3" s="48" t="s">
        <v>231</v>
      </c>
      <c r="F3" s="52" t="s">
        <v>173</v>
      </c>
      <c r="G3" s="38" t="s">
        <v>200</v>
      </c>
      <c r="H3" s="55" t="s">
        <v>244</v>
      </c>
      <c r="I3" s="38" t="s">
        <v>274</v>
      </c>
      <c r="J3" s="2" t="s">
        <v>211</v>
      </c>
      <c r="K3" s="2"/>
    </row>
    <row r="4" spans="1:11" x14ac:dyDescent="0.45">
      <c r="A4" s="5" t="s">
        <v>146</v>
      </c>
      <c r="C4" s="43" t="s">
        <v>1014</v>
      </c>
      <c r="D4" s="46" t="s">
        <v>191</v>
      </c>
      <c r="E4" s="48" t="s">
        <v>697</v>
      </c>
      <c r="F4" s="33" t="s">
        <v>458</v>
      </c>
      <c r="G4" s="37" t="s">
        <v>368</v>
      </c>
      <c r="H4" s="55" t="s">
        <v>342</v>
      </c>
      <c r="I4" s="37" t="s">
        <v>444</v>
      </c>
      <c r="J4" s="2" t="s">
        <v>207</v>
      </c>
      <c r="K4" s="2"/>
    </row>
    <row r="5" spans="1:11" x14ac:dyDescent="0.45">
      <c r="A5" s="2" t="s">
        <v>172</v>
      </c>
      <c r="C5" s="2" t="s">
        <v>171</v>
      </c>
      <c r="D5" s="46" t="s">
        <v>1015</v>
      </c>
      <c r="E5" s="48" t="s">
        <v>251</v>
      </c>
      <c r="F5" t="s">
        <v>207</v>
      </c>
      <c r="G5" s="38" t="s">
        <v>484</v>
      </c>
      <c r="H5" s="55" t="s">
        <v>844</v>
      </c>
      <c r="I5" s="38" t="s">
        <v>441</v>
      </c>
      <c r="J5" s="2" t="s">
        <v>171</v>
      </c>
      <c r="K5" s="2"/>
    </row>
    <row r="6" spans="1:11" x14ac:dyDescent="0.45">
      <c r="A6" s="29" t="s">
        <v>182</v>
      </c>
      <c r="D6" s="46" t="s">
        <v>19</v>
      </c>
      <c r="E6" s="49" t="s">
        <v>195</v>
      </c>
      <c r="F6" t="s">
        <v>171</v>
      </c>
      <c r="G6" s="37" t="s">
        <v>235</v>
      </c>
      <c r="H6" s="55" t="s">
        <v>215</v>
      </c>
      <c r="I6" s="37" t="s">
        <v>764</v>
      </c>
      <c r="J6" s="2"/>
      <c r="K6" s="2"/>
    </row>
    <row r="7" spans="1:11" x14ac:dyDescent="0.45">
      <c r="A7" s="27" t="s">
        <v>176</v>
      </c>
      <c r="D7" s="46" t="s">
        <v>171</v>
      </c>
      <c r="E7" s="49" t="s">
        <v>147</v>
      </c>
      <c r="G7" t="s">
        <v>567</v>
      </c>
      <c r="H7" s="56" t="s">
        <v>177</v>
      </c>
      <c r="I7" s="38" t="s">
        <v>752</v>
      </c>
      <c r="J7" s="2"/>
      <c r="K7" s="2"/>
    </row>
    <row r="8" spans="1:11" x14ac:dyDescent="0.45">
      <c r="A8" s="32" t="s">
        <v>167</v>
      </c>
      <c r="D8" s="13"/>
      <c r="E8" s="2" t="s">
        <v>202</v>
      </c>
      <c r="G8" s="38" t="s">
        <v>183</v>
      </c>
      <c r="H8" t="s">
        <v>17</v>
      </c>
      <c r="I8" s="39" t="s">
        <v>372</v>
      </c>
      <c r="J8" s="2"/>
      <c r="K8" s="2"/>
    </row>
    <row r="9" spans="1:11" x14ac:dyDescent="0.45">
      <c r="A9" s="2" t="s">
        <v>206</v>
      </c>
      <c r="D9" s="13"/>
      <c r="E9" s="50" t="s">
        <v>171</v>
      </c>
      <c r="G9" s="53" t="s">
        <v>278</v>
      </c>
      <c r="H9" t="s">
        <v>591</v>
      </c>
      <c r="I9" s="38" t="s">
        <v>213</v>
      </c>
      <c r="J9" s="2"/>
      <c r="K9" s="2"/>
    </row>
    <row r="10" spans="1:11" x14ac:dyDescent="0.45">
      <c r="A10" s="2" t="s">
        <v>152</v>
      </c>
      <c r="D10" s="13"/>
      <c r="G10" t="s">
        <v>186</v>
      </c>
      <c r="H10" t="s">
        <v>226</v>
      </c>
      <c r="I10" s="38" t="s">
        <v>209</v>
      </c>
      <c r="J10" s="2"/>
      <c r="K10" s="2"/>
    </row>
    <row r="11" spans="1:11" x14ac:dyDescent="0.45">
      <c r="D11" s="46"/>
      <c r="G11" t="s">
        <v>228</v>
      </c>
      <c r="H11" t="s">
        <v>746</v>
      </c>
      <c r="I11" s="38" t="s">
        <v>168</v>
      </c>
      <c r="J11" s="2"/>
      <c r="K11" s="2"/>
    </row>
    <row r="12" spans="1:11" x14ac:dyDescent="0.45">
      <c r="D12" s="46"/>
      <c r="G12" t="s">
        <v>386</v>
      </c>
      <c r="H12" t="s">
        <v>207</v>
      </c>
      <c r="I12" s="38" t="s">
        <v>396</v>
      </c>
      <c r="J12" s="2"/>
      <c r="K12" s="2"/>
    </row>
    <row r="13" spans="1:11" x14ac:dyDescent="0.45">
      <c r="A13" s="2" t="s">
        <v>1016</v>
      </c>
      <c r="D13" s="46"/>
      <c r="G13" t="s">
        <v>171</v>
      </c>
      <c r="H13" t="s">
        <v>171</v>
      </c>
      <c r="I13" s="38" t="s">
        <v>207</v>
      </c>
      <c r="J13" s="2"/>
      <c r="K13" s="2"/>
    </row>
    <row r="14" spans="1:11" x14ac:dyDescent="0.45">
      <c r="A14" s="2" t="s">
        <v>149</v>
      </c>
      <c r="D14" s="46"/>
      <c r="I14" s="38" t="s">
        <v>171</v>
      </c>
      <c r="J14" s="2"/>
      <c r="K14" s="2"/>
    </row>
    <row r="15" spans="1:11" x14ac:dyDescent="0.45">
      <c r="A15" s="2" t="s">
        <v>179</v>
      </c>
    </row>
    <row r="16" spans="1:11" x14ac:dyDescent="0.45">
      <c r="A16" s="2" t="s">
        <v>187</v>
      </c>
      <c r="E16"/>
    </row>
    <row r="17" spans="1:57" x14ac:dyDescent="0.45">
      <c r="A17" s="2" t="s">
        <v>171</v>
      </c>
      <c r="E17"/>
    </row>
    <row r="18" spans="1:57" x14ac:dyDescent="0.45">
      <c r="E18"/>
    </row>
    <row r="19" spans="1:57" x14ac:dyDescent="0.45">
      <c r="E19"/>
    </row>
    <row r="20" spans="1:57" x14ac:dyDescent="0.45">
      <c r="E20"/>
    </row>
    <row r="21" spans="1:57" x14ac:dyDescent="0.45">
      <c r="E21"/>
    </row>
    <row r="22" spans="1:57" x14ac:dyDescent="0.45">
      <c r="E22"/>
    </row>
    <row r="23" spans="1:57" x14ac:dyDescent="0.45">
      <c r="E23"/>
    </row>
    <row r="25" spans="1:57" x14ac:dyDescent="0.45">
      <c r="C25" s="67" t="s">
        <v>161</v>
      </c>
      <c r="D25" s="36" t="s">
        <v>221</v>
      </c>
      <c r="E25" s="36" t="s">
        <v>1014</v>
      </c>
      <c r="F25" s="57" t="s">
        <v>317</v>
      </c>
      <c r="G25" s="58" t="s">
        <v>238</v>
      </c>
      <c r="H25" s="58" t="s">
        <v>191</v>
      </c>
      <c r="I25" s="58" t="s">
        <v>1015</v>
      </c>
      <c r="J25" s="58" t="s">
        <v>19</v>
      </c>
      <c r="K25" s="58" t="s">
        <v>171</v>
      </c>
      <c r="L25" s="59" t="s">
        <v>236</v>
      </c>
      <c r="M25" s="60" t="s">
        <v>231</v>
      </c>
      <c r="N25" s="60" t="s">
        <v>697</v>
      </c>
      <c r="O25" s="60" t="s">
        <v>251</v>
      </c>
      <c r="P25" s="61" t="s">
        <v>195</v>
      </c>
      <c r="Q25" s="61" t="s">
        <v>147</v>
      </c>
      <c r="R25" s="62" t="s">
        <v>202</v>
      </c>
      <c r="S25" s="33" t="s">
        <v>536</v>
      </c>
      <c r="T25" s="34" t="s">
        <v>173</v>
      </c>
      <c r="U25" s="33" t="s">
        <v>458</v>
      </c>
      <c r="V25" s="53" t="s">
        <v>307</v>
      </c>
      <c r="W25" s="40" t="s">
        <v>200</v>
      </c>
      <c r="X25" s="53" t="s">
        <v>368</v>
      </c>
      <c r="Y25" s="40" t="s">
        <v>484</v>
      </c>
      <c r="Z25" s="53" t="s">
        <v>235</v>
      </c>
      <c r="AA25" s="53" t="s">
        <v>567</v>
      </c>
      <c r="AB25" s="40" t="s">
        <v>183</v>
      </c>
      <c r="AC25" s="40" t="s">
        <v>228</v>
      </c>
      <c r="AD25" s="40" t="s">
        <v>386</v>
      </c>
      <c r="AE25" s="40" t="s">
        <v>186</v>
      </c>
      <c r="AF25" s="53" t="s">
        <v>278</v>
      </c>
      <c r="AG25" s="63" t="s">
        <v>259</v>
      </c>
      <c r="AH25" s="56" t="s">
        <v>244</v>
      </c>
      <c r="AI25" s="56" t="s">
        <v>342</v>
      </c>
      <c r="AJ25" s="56" t="s">
        <v>844</v>
      </c>
      <c r="AK25" s="56" t="s">
        <v>215</v>
      </c>
      <c r="AL25" s="56" t="s">
        <v>746</v>
      </c>
      <c r="AM25" s="56" t="s">
        <v>226</v>
      </c>
      <c r="AN25" s="56" t="s">
        <v>591</v>
      </c>
      <c r="AO25" s="85" t="s">
        <v>17</v>
      </c>
      <c r="AP25" s="56" t="s">
        <v>177</v>
      </c>
      <c r="AQ25" s="53" t="s">
        <v>403</v>
      </c>
      <c r="AR25" s="40" t="s">
        <v>274</v>
      </c>
      <c r="AS25" s="53" t="s">
        <v>444</v>
      </c>
      <c r="AT25" s="40" t="s">
        <v>441</v>
      </c>
      <c r="AU25" s="53" t="s">
        <v>764</v>
      </c>
      <c r="AV25" s="40" t="s">
        <v>752</v>
      </c>
      <c r="AW25" s="64" t="s">
        <v>372</v>
      </c>
      <c r="AX25" s="64" t="s">
        <v>168</v>
      </c>
      <c r="AY25" s="64" t="s">
        <v>209</v>
      </c>
      <c r="AZ25" s="64" t="s">
        <v>213</v>
      </c>
      <c r="BA25" s="64" t="s">
        <v>207</v>
      </c>
      <c r="BB25" s="40" t="s">
        <v>396</v>
      </c>
      <c r="BC25" s="65" t="s">
        <v>270</v>
      </c>
      <c r="BD25" s="66" t="s">
        <v>211</v>
      </c>
      <c r="BE25" s="2" t="s">
        <v>1017</v>
      </c>
    </row>
    <row r="26" spans="1:57" x14ac:dyDescent="0.45">
      <c r="C26" s="68" t="s">
        <v>218</v>
      </c>
      <c r="D26" s="37" t="s">
        <v>261</v>
      </c>
      <c r="E26" s="37" t="s">
        <v>359</v>
      </c>
      <c r="F26" t="s">
        <v>318</v>
      </c>
      <c r="G26" t="s">
        <v>239</v>
      </c>
      <c r="H26" s="100" t="s">
        <v>670</v>
      </c>
      <c r="I26" t="s">
        <v>171</v>
      </c>
      <c r="J26" t="s">
        <v>38</v>
      </c>
      <c r="K26" t="s">
        <v>171</v>
      </c>
      <c r="L26" t="s">
        <v>883</v>
      </c>
      <c r="M26" t="s">
        <v>62</v>
      </c>
      <c r="N26" t="s">
        <v>720</v>
      </c>
      <c r="O26" t="s">
        <v>500</v>
      </c>
      <c r="P26" t="s">
        <v>281</v>
      </c>
      <c r="Q26" t="s">
        <v>426</v>
      </c>
      <c r="R26" t="s">
        <v>1018</v>
      </c>
      <c r="S26" s="33" t="s">
        <v>536</v>
      </c>
      <c r="T26" s="34" t="s">
        <v>173</v>
      </c>
      <c r="U26" s="33" t="s">
        <v>458</v>
      </c>
      <c r="V26" t="s">
        <v>308</v>
      </c>
      <c r="W26" t="s">
        <v>305</v>
      </c>
      <c r="X26" t="s">
        <v>368</v>
      </c>
      <c r="Y26" t="s">
        <v>485</v>
      </c>
      <c r="Z26" t="s">
        <v>363</v>
      </c>
      <c r="AA26" t="s">
        <v>171</v>
      </c>
      <c r="AB26" t="s">
        <v>184</v>
      </c>
      <c r="AC26" t="s">
        <v>228</v>
      </c>
      <c r="AD26" t="s">
        <v>412</v>
      </c>
      <c r="AE26" t="s">
        <v>186</v>
      </c>
      <c r="AF26" t="s">
        <v>279</v>
      </c>
      <c r="AG26" t="s">
        <v>331</v>
      </c>
      <c r="AH26" s="84" t="s">
        <v>620</v>
      </c>
      <c r="AI26" t="s">
        <v>343</v>
      </c>
      <c r="AJ26" t="s">
        <v>200</v>
      </c>
      <c r="AK26" t="s">
        <v>351</v>
      </c>
      <c r="AL26" t="s">
        <v>1019</v>
      </c>
      <c r="AM26" t="s">
        <v>226</v>
      </c>
      <c r="AN26" t="s">
        <v>1020</v>
      </c>
      <c r="AO26" t="s">
        <v>379</v>
      </c>
      <c r="AP26" t="s">
        <v>178</v>
      </c>
      <c r="AQ26" t="s">
        <v>171</v>
      </c>
      <c r="AR26" t="s">
        <v>171</v>
      </c>
      <c r="AS26" t="s">
        <v>171</v>
      </c>
      <c r="AT26" t="s">
        <v>171</v>
      </c>
      <c r="AU26" t="s">
        <v>171</v>
      </c>
      <c r="AV26" t="s">
        <v>171</v>
      </c>
      <c r="AW26" t="s">
        <v>171</v>
      </c>
      <c r="AX26" t="s">
        <v>171</v>
      </c>
      <c r="AY26" t="s">
        <v>171</v>
      </c>
      <c r="AZ26" t="s">
        <v>171</v>
      </c>
      <c r="BA26" t="s">
        <v>171</v>
      </c>
      <c r="BB26" t="s">
        <v>171</v>
      </c>
      <c r="BC26" t="s">
        <v>171</v>
      </c>
      <c r="BD26" t="s">
        <v>171</v>
      </c>
      <c r="BE26" t="s">
        <v>171</v>
      </c>
    </row>
    <row r="27" spans="1:57" x14ac:dyDescent="0.45">
      <c r="C27" s="69" t="s">
        <v>47</v>
      </c>
      <c r="D27" s="38" t="s">
        <v>337</v>
      </c>
      <c r="E27" s="38" t="s">
        <v>840</v>
      </c>
      <c r="F27" t="s">
        <v>756</v>
      </c>
      <c r="G27" s="100" t="s">
        <v>1021</v>
      </c>
      <c r="H27" s="100" t="s">
        <v>1022</v>
      </c>
      <c r="J27" t="s">
        <v>207</v>
      </c>
      <c r="L27" t="s">
        <v>243</v>
      </c>
      <c r="M27" t="s">
        <v>508</v>
      </c>
      <c r="N27" t="s">
        <v>698</v>
      </c>
      <c r="O27" t="s">
        <v>252</v>
      </c>
      <c r="P27" t="s">
        <v>295</v>
      </c>
      <c r="Q27" t="s">
        <v>901</v>
      </c>
      <c r="R27" t="s">
        <v>202</v>
      </c>
      <c r="S27" t="s">
        <v>171</v>
      </c>
      <c r="T27" t="s">
        <v>647</v>
      </c>
      <c r="U27" t="s">
        <v>171</v>
      </c>
      <c r="V27" t="s">
        <v>490</v>
      </c>
      <c r="W27" t="s">
        <v>456</v>
      </c>
      <c r="X27" t="s">
        <v>171</v>
      </c>
      <c r="Y27" t="s">
        <v>171</v>
      </c>
      <c r="Z27" t="s">
        <v>297</v>
      </c>
      <c r="AB27" t="s">
        <v>1023</v>
      </c>
      <c r="AC27" t="s">
        <v>171</v>
      </c>
      <c r="AD27" t="s">
        <v>207</v>
      </c>
      <c r="AE27" t="s">
        <v>171</v>
      </c>
      <c r="AF27" t="s">
        <v>171</v>
      </c>
      <c r="AG27" t="s">
        <v>264</v>
      </c>
      <c r="AH27" t="s">
        <v>245</v>
      </c>
      <c r="AI27" t="s">
        <v>634</v>
      </c>
      <c r="AJ27" t="s">
        <v>913</v>
      </c>
      <c r="AK27" t="s">
        <v>419</v>
      </c>
      <c r="AL27" t="s">
        <v>747</v>
      </c>
      <c r="AM27" t="s">
        <v>207</v>
      </c>
      <c r="AN27" t="s">
        <v>1024</v>
      </c>
      <c r="AO27" t="s">
        <v>237</v>
      </c>
      <c r="AP27" t="s">
        <v>283</v>
      </c>
    </row>
    <row r="28" spans="1:57" x14ac:dyDescent="0.45">
      <c r="C28" s="68" t="s">
        <v>447</v>
      </c>
      <c r="D28" s="37" t="s">
        <v>1025</v>
      </c>
      <c r="E28" s="53" t="s">
        <v>842</v>
      </c>
      <c r="F28" t="s">
        <v>849</v>
      </c>
      <c r="G28" s="100" t="s">
        <v>241</v>
      </c>
      <c r="H28" s="100" t="s">
        <v>1026</v>
      </c>
      <c r="J28" t="s">
        <v>171</v>
      </c>
      <c r="L28" t="s">
        <v>207</v>
      </c>
      <c r="M28" t="s">
        <v>301</v>
      </c>
      <c r="N28" t="s">
        <v>893</v>
      </c>
      <c r="O28" t="s">
        <v>494</v>
      </c>
      <c r="P28" t="s">
        <v>285</v>
      </c>
      <c r="Q28" t="s">
        <v>903</v>
      </c>
      <c r="R28" t="s">
        <v>171</v>
      </c>
      <c r="T28" t="s">
        <v>207</v>
      </c>
      <c r="V28" t="s">
        <v>207</v>
      </c>
      <c r="W28" t="s">
        <v>234</v>
      </c>
      <c r="Z28" t="s">
        <v>365</v>
      </c>
      <c r="AB28" t="s">
        <v>926</v>
      </c>
      <c r="AD28" t="s">
        <v>171</v>
      </c>
      <c r="AG28" t="s">
        <v>345</v>
      </c>
      <c r="AH28" t="s">
        <v>197</v>
      </c>
      <c r="AI28" t="s">
        <v>207</v>
      </c>
      <c r="AJ28" t="s">
        <v>915</v>
      </c>
      <c r="AK28" t="s">
        <v>639</v>
      </c>
      <c r="AL28" t="s">
        <v>207</v>
      </c>
      <c r="AM28" t="s">
        <v>171</v>
      </c>
      <c r="AN28" t="s">
        <v>592</v>
      </c>
      <c r="AO28" t="s">
        <v>1027</v>
      </c>
      <c r="AP28" t="s">
        <v>207</v>
      </c>
    </row>
    <row r="29" spans="1:57" x14ac:dyDescent="0.45">
      <c r="C29" s="69" t="s">
        <v>814</v>
      </c>
      <c r="D29" s="38" t="s">
        <v>222</v>
      </c>
      <c r="E29" s="2" t="s">
        <v>171</v>
      </c>
      <c r="F29" t="s">
        <v>207</v>
      </c>
      <c r="G29" s="100" t="s">
        <v>315</v>
      </c>
      <c r="H29" s="100" t="s">
        <v>1028</v>
      </c>
      <c r="L29" t="s">
        <v>171</v>
      </c>
      <c r="M29" t="s">
        <v>548</v>
      </c>
      <c r="N29" t="s">
        <v>207</v>
      </c>
      <c r="O29" t="s">
        <v>207</v>
      </c>
      <c r="P29" t="s">
        <v>296</v>
      </c>
      <c r="Q29" t="s">
        <v>445</v>
      </c>
      <c r="T29" t="s">
        <v>171</v>
      </c>
      <c r="V29" t="s">
        <v>171</v>
      </c>
      <c r="W29" t="s">
        <v>611</v>
      </c>
      <c r="Z29" t="s">
        <v>207</v>
      </c>
      <c r="AB29" t="s">
        <v>207</v>
      </c>
      <c r="AG29" t="s">
        <v>303</v>
      </c>
      <c r="AH29" t="s">
        <v>480</v>
      </c>
      <c r="AI29" t="s">
        <v>171</v>
      </c>
      <c r="AJ29" t="s">
        <v>917</v>
      </c>
      <c r="AK29" t="s">
        <v>1029</v>
      </c>
      <c r="AL29" t="s">
        <v>171</v>
      </c>
      <c r="AN29" t="s">
        <v>1030</v>
      </c>
      <c r="AO29" t="s">
        <v>434</v>
      </c>
      <c r="AP29" t="s">
        <v>171</v>
      </c>
    </row>
    <row r="30" spans="1:57" x14ac:dyDescent="0.45">
      <c r="C30" s="68" t="s">
        <v>247</v>
      </c>
      <c r="D30" s="53" t="s">
        <v>429</v>
      </c>
      <c r="F30" t="s">
        <v>171</v>
      </c>
      <c r="G30" s="100" t="s">
        <v>300</v>
      </c>
      <c r="H30" s="100" t="s">
        <v>192</v>
      </c>
      <c r="M30" t="s">
        <v>232</v>
      </c>
      <c r="N30" t="s">
        <v>171</v>
      </c>
      <c r="O30" t="s">
        <v>171</v>
      </c>
      <c r="P30" t="s">
        <v>294</v>
      </c>
      <c r="Q30" t="s">
        <v>464</v>
      </c>
      <c r="W30" t="s">
        <v>922</v>
      </c>
      <c r="Z30" t="s">
        <v>171</v>
      </c>
      <c r="AB30" t="s">
        <v>171</v>
      </c>
      <c r="AG30" t="s">
        <v>269</v>
      </c>
      <c r="AH30" t="s">
        <v>207</v>
      </c>
      <c r="AJ30" t="s">
        <v>207</v>
      </c>
      <c r="AK30" t="s">
        <v>288</v>
      </c>
      <c r="AN30" t="s">
        <v>171</v>
      </c>
      <c r="AO30" t="s">
        <v>437</v>
      </c>
    </row>
    <row r="31" spans="1:57" x14ac:dyDescent="0.45">
      <c r="C31" s="69" t="s">
        <v>280</v>
      </c>
      <c r="D31" s="2" t="s">
        <v>321</v>
      </c>
      <c r="G31" s="100" t="s">
        <v>51</v>
      </c>
      <c r="H31" s="100" t="s">
        <v>169</v>
      </c>
      <c r="M31" t="s">
        <v>682</v>
      </c>
      <c r="P31" t="s">
        <v>207</v>
      </c>
      <c r="Q31" t="s">
        <v>905</v>
      </c>
      <c r="W31" t="s">
        <v>201</v>
      </c>
      <c r="AG31" t="s">
        <v>703</v>
      </c>
      <c r="AH31" t="s">
        <v>171</v>
      </c>
      <c r="AJ31" t="s">
        <v>171</v>
      </c>
      <c r="AK31" t="s">
        <v>225</v>
      </c>
      <c r="AO31" t="s">
        <v>675</v>
      </c>
    </row>
    <row r="32" spans="1:57" x14ac:dyDescent="0.45">
      <c r="C32" s="68" t="s">
        <v>263</v>
      </c>
      <c r="D32" s="2" t="s">
        <v>313</v>
      </c>
      <c r="G32" t="s">
        <v>866</v>
      </c>
      <c r="H32" s="100" t="s">
        <v>522</v>
      </c>
      <c r="M32" t="s">
        <v>171</v>
      </c>
      <c r="P32" t="s">
        <v>171</v>
      </c>
      <c r="Q32" t="s">
        <v>148</v>
      </c>
      <c r="W32" t="s">
        <v>207</v>
      </c>
      <c r="AG32" t="s">
        <v>587</v>
      </c>
      <c r="AK32" t="s">
        <v>374</v>
      </c>
      <c r="AO32" t="s">
        <v>207</v>
      </c>
    </row>
    <row r="33" spans="3:41" x14ac:dyDescent="0.45">
      <c r="C33" s="69" t="s">
        <v>313</v>
      </c>
      <c r="D33" s="2" t="s">
        <v>171</v>
      </c>
      <c r="G33" t="s">
        <v>207</v>
      </c>
      <c r="H33" s="100" t="s">
        <v>1031</v>
      </c>
      <c r="Q33" t="s">
        <v>171</v>
      </c>
      <c r="W33" t="s">
        <v>171</v>
      </c>
      <c r="AG33" t="s">
        <v>701</v>
      </c>
      <c r="AK33" t="s">
        <v>207</v>
      </c>
      <c r="AO33" t="s">
        <v>171</v>
      </c>
    </row>
    <row r="34" spans="3:41" x14ac:dyDescent="0.45">
      <c r="C34" s="68" t="s">
        <v>321</v>
      </c>
      <c r="G34" t="s">
        <v>171</v>
      </c>
      <c r="H34" s="100" t="s">
        <v>432</v>
      </c>
      <c r="AG34" t="s">
        <v>420</v>
      </c>
      <c r="AK34" t="s">
        <v>171</v>
      </c>
    </row>
    <row r="35" spans="3:41" x14ac:dyDescent="0.45">
      <c r="C35" s="68" t="s">
        <v>95</v>
      </c>
      <c r="H35" t="s">
        <v>207</v>
      </c>
      <c r="AG35" s="84" t="s">
        <v>260</v>
      </c>
    </row>
    <row r="36" spans="3:41" x14ac:dyDescent="0.45">
      <c r="C36" s="68" t="s">
        <v>162</v>
      </c>
      <c r="H36" t="s">
        <v>171</v>
      </c>
      <c r="AG36" t="s">
        <v>207</v>
      </c>
    </row>
    <row r="37" spans="3:41" x14ac:dyDescent="0.45">
      <c r="C37" s="68" t="s">
        <v>217</v>
      </c>
      <c r="AG37" t="s">
        <v>171</v>
      </c>
    </row>
    <row r="38" spans="3:41" x14ac:dyDescent="0.45">
      <c r="C38" s="68" t="s">
        <v>267</v>
      </c>
    </row>
    <row r="39" spans="3:41" x14ac:dyDescent="0.45">
      <c r="C39" s="68" t="s">
        <v>171</v>
      </c>
    </row>
    <row r="52" spans="7:7" x14ac:dyDescent="0.45">
      <c r="G52" s="3" t="s">
        <v>795</v>
      </c>
    </row>
    <row r="53" spans="7:7" x14ac:dyDescent="0.45">
      <c r="G53" s="4" t="s">
        <v>218</v>
      </c>
    </row>
    <row r="54" spans="7:7" x14ac:dyDescent="0.45">
      <c r="G54" s="4" t="s">
        <v>47</v>
      </c>
    </row>
    <row r="55" spans="7:7" x14ac:dyDescent="0.45">
      <c r="G55" s="4" t="s">
        <v>447</v>
      </c>
    </row>
    <row r="56" spans="7:7" x14ac:dyDescent="0.45">
      <c r="G56" s="4" t="s">
        <v>814</v>
      </c>
    </row>
    <row r="57" spans="7:7" x14ac:dyDescent="0.45">
      <c r="G57" s="4" t="s">
        <v>247</v>
      </c>
    </row>
    <row r="58" spans="7:7" x14ac:dyDescent="0.45">
      <c r="G58" s="4" t="s">
        <v>818</v>
      </c>
    </row>
    <row r="59" spans="7:7" x14ac:dyDescent="0.45">
      <c r="G59" s="4" t="s">
        <v>263</v>
      </c>
    </row>
    <row r="60" spans="7:7" x14ac:dyDescent="0.45">
      <c r="G60" s="4" t="s">
        <v>313</v>
      </c>
    </row>
    <row r="61" spans="7:7" x14ac:dyDescent="0.45">
      <c r="G61" s="4" t="s">
        <v>321</v>
      </c>
    </row>
    <row r="62" spans="7:7" x14ac:dyDescent="0.45">
      <c r="G62" s="4" t="s">
        <v>162</v>
      </c>
    </row>
    <row r="63" spans="7:7" x14ac:dyDescent="0.45">
      <c r="G63" s="4" t="s">
        <v>827</v>
      </c>
    </row>
    <row r="64" spans="7:7" x14ac:dyDescent="0.45">
      <c r="G64" s="7" t="s">
        <v>829</v>
      </c>
    </row>
    <row r="65" spans="7:7" x14ac:dyDescent="0.45">
      <c r="G65" s="7" t="s">
        <v>831</v>
      </c>
    </row>
    <row r="66" spans="7:7" x14ac:dyDescent="0.45">
      <c r="G66" s="7" t="s">
        <v>833</v>
      </c>
    </row>
    <row r="67" spans="7:7" x14ac:dyDescent="0.45">
      <c r="G67" s="7" t="s">
        <v>835</v>
      </c>
    </row>
    <row r="68" spans="7:7" x14ac:dyDescent="0.45">
      <c r="G68" s="7" t="s">
        <v>837</v>
      </c>
    </row>
    <row r="69" spans="7:7" x14ac:dyDescent="0.45">
      <c r="G69" s="9" t="s">
        <v>359</v>
      </c>
    </row>
    <row r="70" spans="7:7" x14ac:dyDescent="0.45">
      <c r="G70" s="9" t="s">
        <v>840</v>
      </c>
    </row>
    <row r="71" spans="7:7" x14ac:dyDescent="0.45">
      <c r="G71" s="9" t="s">
        <v>842</v>
      </c>
    </row>
    <row r="72" spans="7:7" x14ac:dyDescent="0.45">
      <c r="G72" s="6" t="s">
        <v>845</v>
      </c>
    </row>
    <row r="73" spans="7:7" x14ac:dyDescent="0.45">
      <c r="G73" s="6" t="s">
        <v>847</v>
      </c>
    </row>
    <row r="74" spans="7:7" x14ac:dyDescent="0.45">
      <c r="G74" s="6" t="s">
        <v>849</v>
      </c>
    </row>
    <row r="75" spans="7:7" x14ac:dyDescent="0.45">
      <c r="G75" s="6" t="s">
        <v>851</v>
      </c>
    </row>
    <row r="76" spans="7:7" x14ac:dyDescent="0.45">
      <c r="G76" s="13" t="s">
        <v>853</v>
      </c>
    </row>
    <row r="77" spans="7:7" x14ac:dyDescent="0.45">
      <c r="G77" s="13" t="s">
        <v>855</v>
      </c>
    </row>
    <row r="78" spans="7:7" x14ac:dyDescent="0.45">
      <c r="G78" s="13" t="s">
        <v>857</v>
      </c>
    </row>
    <row r="79" spans="7:7" x14ac:dyDescent="0.45">
      <c r="G79" s="13" t="s">
        <v>859</v>
      </c>
    </row>
    <row r="80" spans="7:7" x14ac:dyDescent="0.45">
      <c r="G80" s="13" t="s">
        <v>861</v>
      </c>
    </row>
    <row r="81" spans="7:7" x14ac:dyDescent="0.45">
      <c r="G81" s="13" t="s">
        <v>863</v>
      </c>
    </row>
    <row r="82" spans="7:7" x14ac:dyDescent="0.45">
      <c r="G82" s="13" t="s">
        <v>866</v>
      </c>
    </row>
    <row r="83" spans="7:7" x14ac:dyDescent="0.45">
      <c r="G83" s="13" t="s">
        <v>868</v>
      </c>
    </row>
    <row r="84" spans="7:7" x14ac:dyDescent="0.45">
      <c r="G84" s="13" t="s">
        <v>870</v>
      </c>
    </row>
    <row r="85" spans="7:7" x14ac:dyDescent="0.45">
      <c r="G85" s="13" t="s">
        <v>872</v>
      </c>
    </row>
    <row r="86" spans="7:7" x14ac:dyDescent="0.45">
      <c r="G86" s="13" t="s">
        <v>874</v>
      </c>
    </row>
    <row r="87" spans="7:7" x14ac:dyDescent="0.45">
      <c r="G87" s="13" t="s">
        <v>876</v>
      </c>
    </row>
    <row r="88" spans="7:7" x14ac:dyDescent="0.45">
      <c r="G88" s="13" t="s">
        <v>878</v>
      </c>
    </row>
    <row r="89" spans="7:7" x14ac:dyDescent="0.45">
      <c r="G89" s="13" t="s">
        <v>823</v>
      </c>
    </row>
    <row r="90" spans="7:7" x14ac:dyDescent="0.45">
      <c r="G90" s="13" t="s">
        <v>660</v>
      </c>
    </row>
    <row r="91" spans="7:7" x14ac:dyDescent="0.45">
      <c r="G91" s="13" t="s">
        <v>38</v>
      </c>
    </row>
    <row r="92" spans="7:7" x14ac:dyDescent="0.45">
      <c r="G92" s="16" t="s">
        <v>883</v>
      </c>
    </row>
    <row r="93" spans="7:7" x14ac:dyDescent="0.45">
      <c r="G93" s="16" t="s">
        <v>243</v>
      </c>
    </row>
    <row r="94" spans="7:7" x14ac:dyDescent="0.45">
      <c r="G94" s="5" t="s">
        <v>62</v>
      </c>
    </row>
    <row r="95" spans="7:7" x14ac:dyDescent="0.45">
      <c r="G95" s="5" t="s">
        <v>508</v>
      </c>
    </row>
    <row r="96" spans="7:7" x14ac:dyDescent="0.45">
      <c r="G96" s="5" t="s">
        <v>301</v>
      </c>
    </row>
    <row r="97" spans="7:7" x14ac:dyDescent="0.45">
      <c r="G97" s="5" t="s">
        <v>548</v>
      </c>
    </row>
    <row r="98" spans="7:7" x14ac:dyDescent="0.45">
      <c r="G98" s="5" t="s">
        <v>232</v>
      </c>
    </row>
    <row r="99" spans="7:7" x14ac:dyDescent="0.45">
      <c r="G99" s="5" t="s">
        <v>682</v>
      </c>
    </row>
    <row r="100" spans="7:7" x14ac:dyDescent="0.45">
      <c r="G100" s="5" t="s">
        <v>720</v>
      </c>
    </row>
    <row r="101" spans="7:7" x14ac:dyDescent="0.45">
      <c r="G101" s="5" t="s">
        <v>698</v>
      </c>
    </row>
    <row r="102" spans="7:7" x14ac:dyDescent="0.45">
      <c r="G102" s="5" t="s">
        <v>893</v>
      </c>
    </row>
    <row r="103" spans="7:7" x14ac:dyDescent="0.45">
      <c r="G103" s="5" t="s">
        <v>500</v>
      </c>
    </row>
    <row r="104" spans="7:7" x14ac:dyDescent="0.45">
      <c r="G104" s="5" t="s">
        <v>252</v>
      </c>
    </row>
    <row r="105" spans="7:7" x14ac:dyDescent="0.45">
      <c r="G105" s="5" t="s">
        <v>494</v>
      </c>
    </row>
    <row r="106" spans="7:7" x14ac:dyDescent="0.45">
      <c r="G106" s="1" t="s">
        <v>281</v>
      </c>
    </row>
    <row r="107" spans="7:7" x14ac:dyDescent="0.45">
      <c r="G107" s="1" t="s">
        <v>295</v>
      </c>
    </row>
    <row r="108" spans="7:7" x14ac:dyDescent="0.45">
      <c r="G108" s="1" t="s">
        <v>285</v>
      </c>
    </row>
    <row r="109" spans="7:7" x14ac:dyDescent="0.45">
      <c r="G109" s="1" t="s">
        <v>296</v>
      </c>
    </row>
    <row r="110" spans="7:7" x14ac:dyDescent="0.45">
      <c r="G110" s="1" t="s">
        <v>426</v>
      </c>
    </row>
    <row r="111" spans="7:7" x14ac:dyDescent="0.45">
      <c r="G111" s="1" t="s">
        <v>901</v>
      </c>
    </row>
    <row r="112" spans="7:7" x14ac:dyDescent="0.45">
      <c r="G112" s="1" t="s">
        <v>903</v>
      </c>
    </row>
    <row r="113" spans="7:7" x14ac:dyDescent="0.45">
      <c r="G113" s="1" t="s">
        <v>445</v>
      </c>
    </row>
    <row r="114" spans="7:7" x14ac:dyDescent="0.45">
      <c r="G114" s="1" t="s">
        <v>464</v>
      </c>
    </row>
    <row r="115" spans="7:7" x14ac:dyDescent="0.45">
      <c r="G115" s="1" t="s">
        <v>905</v>
      </c>
    </row>
    <row r="116" spans="7:7" x14ac:dyDescent="0.45">
      <c r="G116" s="1" t="s">
        <v>148</v>
      </c>
    </row>
    <row r="117" spans="7:7" x14ac:dyDescent="0.45">
      <c r="G117" s="17" t="s">
        <v>202</v>
      </c>
    </row>
    <row r="118" spans="7:7" x14ac:dyDescent="0.45">
      <c r="G118" s="27" t="s">
        <v>331</v>
      </c>
    </row>
    <row r="119" spans="7:7" x14ac:dyDescent="0.45">
      <c r="G119" s="27" t="s">
        <v>264</v>
      </c>
    </row>
    <row r="120" spans="7:7" x14ac:dyDescent="0.45">
      <c r="G120" s="27" t="s">
        <v>345</v>
      </c>
    </row>
    <row r="121" spans="7:7" x14ac:dyDescent="0.45">
      <c r="G121" s="27" t="s">
        <v>303</v>
      </c>
    </row>
    <row r="122" spans="7:7" x14ac:dyDescent="0.45">
      <c r="G122" s="27" t="s">
        <v>269</v>
      </c>
    </row>
    <row r="123" spans="7:7" x14ac:dyDescent="0.45">
      <c r="G123" s="27" t="s">
        <v>703</v>
      </c>
    </row>
    <row r="124" spans="7:7" x14ac:dyDescent="0.45">
      <c r="G124" s="27" t="s">
        <v>587</v>
      </c>
    </row>
    <row r="125" spans="7:7" x14ac:dyDescent="0.45">
      <c r="G125" s="27" t="s">
        <v>701</v>
      </c>
    </row>
    <row r="126" spans="7:7" x14ac:dyDescent="0.45">
      <c r="G126" s="27" t="s">
        <v>420</v>
      </c>
    </row>
    <row r="127" spans="7:7" x14ac:dyDescent="0.45">
      <c r="G127" s="28" t="s">
        <v>620</v>
      </c>
    </row>
    <row r="128" spans="7:7" x14ac:dyDescent="0.45">
      <c r="G128" s="28" t="s">
        <v>245</v>
      </c>
    </row>
    <row r="129" spans="7:7" x14ac:dyDescent="0.45">
      <c r="G129" s="28" t="s">
        <v>343</v>
      </c>
    </row>
    <row r="130" spans="7:7" x14ac:dyDescent="0.45">
      <c r="G130" s="28" t="s">
        <v>634</v>
      </c>
    </row>
    <row r="131" spans="7:7" x14ac:dyDescent="0.45">
      <c r="G131" s="28" t="s">
        <v>200</v>
      </c>
    </row>
    <row r="132" spans="7:7" x14ac:dyDescent="0.45">
      <c r="G132" s="28" t="s">
        <v>913</v>
      </c>
    </row>
    <row r="133" spans="7:7" x14ac:dyDescent="0.45">
      <c r="G133" s="28" t="s">
        <v>915</v>
      </c>
    </row>
    <row r="134" spans="7:7" x14ac:dyDescent="0.45">
      <c r="G134" s="28" t="s">
        <v>917</v>
      </c>
    </row>
    <row r="135" spans="7:7" x14ac:dyDescent="0.45">
      <c r="G135" s="29" t="s">
        <v>305</v>
      </c>
    </row>
    <row r="136" spans="7:7" x14ac:dyDescent="0.45">
      <c r="G136" s="29" t="s">
        <v>456</v>
      </c>
    </row>
    <row r="137" spans="7:7" x14ac:dyDescent="0.45">
      <c r="G137" s="29" t="s">
        <v>234</v>
      </c>
    </row>
    <row r="138" spans="7:7" x14ac:dyDescent="0.45">
      <c r="G138" s="29" t="s">
        <v>611</v>
      </c>
    </row>
    <row r="139" spans="7:7" x14ac:dyDescent="0.45">
      <c r="G139" s="29" t="s">
        <v>922</v>
      </c>
    </row>
    <row r="140" spans="7:7" x14ac:dyDescent="0.45">
      <c r="G140" s="30" t="s">
        <v>308</v>
      </c>
    </row>
    <row r="141" spans="7:7" x14ac:dyDescent="0.45">
      <c r="G141" s="30" t="s">
        <v>490</v>
      </c>
    </row>
    <row r="142" spans="7:7" x14ac:dyDescent="0.45">
      <c r="G142" s="30" t="s">
        <v>363</v>
      </c>
    </row>
    <row r="143" spans="7:7" x14ac:dyDescent="0.45">
      <c r="G143" s="30" t="s">
        <v>297</v>
      </c>
    </row>
    <row r="144" spans="7:7" x14ac:dyDescent="0.45">
      <c r="G144" s="30" t="s">
        <v>365</v>
      </c>
    </row>
    <row r="145" spans="7:7" x14ac:dyDescent="0.45">
      <c r="G145" s="31" t="s">
        <v>485</v>
      </c>
    </row>
    <row r="146" spans="7:7" x14ac:dyDescent="0.45">
      <c r="G146" s="2" t="s">
        <v>926</v>
      </c>
    </row>
    <row r="147" spans="7:7" x14ac:dyDescent="0.45">
      <c r="G147" s="2" t="s">
        <v>927</v>
      </c>
    </row>
  </sheetData>
  <pageMargins left="0.7" right="0.7" top="0.75" bottom="0.75" header="0.3" footer="0.3"/>
  <pageSetup orientation="portrait" r:id="rId1"/>
  <headerFooter>
    <oddFooter>&amp;L_x000D_&amp;1#&amp;"Calibri"&amp;9&amp;K0078D7 Information Classification: General</oddFooter>
  </headerFooter>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831"/>
  <sheetViews>
    <sheetView topLeftCell="A2" zoomScale="80" zoomScaleNormal="80" workbookViewId="0">
      <selection activeCell="A1831" sqref="A1831"/>
    </sheetView>
  </sheetViews>
  <sheetFormatPr defaultRowHeight="16.5" x14ac:dyDescent="0.45"/>
  <cols>
    <col min="1" max="1" width="7" customWidth="1"/>
  </cols>
  <sheetData>
    <row r="1" spans="1:2" x14ac:dyDescent="0.45">
      <c r="A1" t="s">
        <v>1032</v>
      </c>
      <c r="B1" t="s">
        <v>1033</v>
      </c>
    </row>
    <row r="2" spans="1:2" x14ac:dyDescent="0.45">
      <c r="A2" t="s">
        <v>1034</v>
      </c>
    </row>
    <row r="3" spans="1:2" x14ac:dyDescent="0.45">
      <c r="A3" t="s">
        <v>1035</v>
      </c>
    </row>
    <row r="4" spans="1:2" x14ac:dyDescent="0.45">
      <c r="A4" t="s">
        <v>1036</v>
      </c>
    </row>
    <row r="5" spans="1:2" x14ac:dyDescent="0.45">
      <c r="A5" t="s">
        <v>612</v>
      </c>
    </row>
    <row r="6" spans="1:2" x14ac:dyDescent="0.45">
      <c r="A6" t="s">
        <v>1037</v>
      </c>
    </row>
    <row r="7" spans="1:2" x14ac:dyDescent="0.45">
      <c r="A7" t="s">
        <v>1038</v>
      </c>
    </row>
    <row r="8" spans="1:2" x14ac:dyDescent="0.45">
      <c r="A8" t="s">
        <v>1039</v>
      </c>
    </row>
    <row r="9" spans="1:2" x14ac:dyDescent="0.45">
      <c r="A9" t="s">
        <v>1040</v>
      </c>
    </row>
    <row r="10" spans="1:2" x14ac:dyDescent="0.45">
      <c r="A10" t="s">
        <v>1041</v>
      </c>
    </row>
    <row r="11" spans="1:2" x14ac:dyDescent="0.45">
      <c r="A11" t="s">
        <v>1042</v>
      </c>
    </row>
    <row r="12" spans="1:2" x14ac:dyDescent="0.45">
      <c r="A12" t="s">
        <v>1043</v>
      </c>
    </row>
    <row r="13" spans="1:2" x14ac:dyDescent="0.45">
      <c r="A13" t="s">
        <v>1044</v>
      </c>
    </row>
    <row r="14" spans="1:2" x14ac:dyDescent="0.45">
      <c r="A14" t="s">
        <v>1045</v>
      </c>
    </row>
    <row r="15" spans="1:2" x14ac:dyDescent="0.45">
      <c r="A15" t="s">
        <v>1046</v>
      </c>
    </row>
    <row r="16" spans="1:2" x14ac:dyDescent="0.45">
      <c r="A16" t="s">
        <v>1047</v>
      </c>
    </row>
    <row r="17" spans="1:1" x14ac:dyDescent="0.45">
      <c r="A17" t="s">
        <v>534</v>
      </c>
    </row>
    <row r="18" spans="1:1" x14ac:dyDescent="0.45">
      <c r="A18" t="s">
        <v>1048</v>
      </c>
    </row>
    <row r="19" spans="1:1" x14ac:dyDescent="0.45">
      <c r="A19" t="s">
        <v>1049</v>
      </c>
    </row>
    <row r="20" spans="1:1" x14ac:dyDescent="0.45">
      <c r="A20" t="s">
        <v>1050</v>
      </c>
    </row>
    <row r="21" spans="1:1" x14ac:dyDescent="0.45">
      <c r="A21" t="s">
        <v>1051</v>
      </c>
    </row>
    <row r="22" spans="1:1" x14ac:dyDescent="0.45">
      <c r="A22" t="s">
        <v>1052</v>
      </c>
    </row>
    <row r="23" spans="1:1" x14ac:dyDescent="0.45">
      <c r="A23" t="s">
        <v>1053</v>
      </c>
    </row>
    <row r="24" spans="1:1" x14ac:dyDescent="0.45">
      <c r="A24" t="s">
        <v>1054</v>
      </c>
    </row>
    <row r="25" spans="1:1" x14ac:dyDescent="0.45">
      <c r="A25" t="s">
        <v>1055</v>
      </c>
    </row>
    <row r="26" spans="1:1" x14ac:dyDescent="0.45">
      <c r="A26" t="s">
        <v>1056</v>
      </c>
    </row>
    <row r="27" spans="1:1" x14ac:dyDescent="0.45">
      <c r="A27" t="s">
        <v>1057</v>
      </c>
    </row>
    <row r="28" spans="1:1" x14ac:dyDescent="0.45">
      <c r="A28" t="s">
        <v>1058</v>
      </c>
    </row>
    <row r="29" spans="1:1" x14ac:dyDescent="0.45">
      <c r="A29" t="s">
        <v>1059</v>
      </c>
    </row>
    <row r="30" spans="1:1" x14ac:dyDescent="0.45">
      <c r="A30" t="s">
        <v>1060</v>
      </c>
    </row>
    <row r="31" spans="1:1" x14ac:dyDescent="0.45">
      <c r="A31" t="s">
        <v>1061</v>
      </c>
    </row>
    <row r="32" spans="1:1" x14ac:dyDescent="0.45">
      <c r="A32" t="s">
        <v>1062</v>
      </c>
    </row>
    <row r="33" spans="1:1" x14ac:dyDescent="0.45">
      <c r="A33" t="s">
        <v>1063</v>
      </c>
    </row>
    <row r="34" spans="1:1" x14ac:dyDescent="0.45">
      <c r="A34" t="s">
        <v>1064</v>
      </c>
    </row>
    <row r="35" spans="1:1" x14ac:dyDescent="0.45">
      <c r="A35" t="s">
        <v>1065</v>
      </c>
    </row>
    <row r="36" spans="1:1" x14ac:dyDescent="0.45">
      <c r="A36" t="s">
        <v>1066</v>
      </c>
    </row>
    <row r="37" spans="1:1" x14ac:dyDescent="0.45">
      <c r="A37" t="s">
        <v>1067</v>
      </c>
    </row>
    <row r="38" spans="1:1" x14ac:dyDescent="0.45">
      <c r="A38" t="s">
        <v>1068</v>
      </c>
    </row>
    <row r="39" spans="1:1" x14ac:dyDescent="0.45">
      <c r="A39" t="s">
        <v>1069</v>
      </c>
    </row>
    <row r="40" spans="1:1" x14ac:dyDescent="0.45">
      <c r="A40" t="s">
        <v>1070</v>
      </c>
    </row>
    <row r="41" spans="1:1" x14ac:dyDescent="0.45">
      <c r="A41" t="s">
        <v>691</v>
      </c>
    </row>
    <row r="42" spans="1:1" x14ac:dyDescent="0.45">
      <c r="A42" t="s">
        <v>1071</v>
      </c>
    </row>
    <row r="43" spans="1:1" x14ac:dyDescent="0.45">
      <c r="A43" t="s">
        <v>1072</v>
      </c>
    </row>
    <row r="44" spans="1:1" x14ac:dyDescent="0.45">
      <c r="A44" t="s">
        <v>1073</v>
      </c>
    </row>
    <row r="45" spans="1:1" x14ac:dyDescent="0.45">
      <c r="A45" t="s">
        <v>1074</v>
      </c>
    </row>
    <row r="46" spans="1:1" x14ac:dyDescent="0.45">
      <c r="A46" t="s">
        <v>1075</v>
      </c>
    </row>
    <row r="47" spans="1:1" x14ac:dyDescent="0.45">
      <c r="A47" t="s">
        <v>1076</v>
      </c>
    </row>
    <row r="48" spans="1:1" x14ac:dyDescent="0.45">
      <c r="A48" t="s">
        <v>1077</v>
      </c>
    </row>
    <row r="49" spans="1:1" x14ac:dyDescent="0.45">
      <c r="A49" t="s">
        <v>1078</v>
      </c>
    </row>
    <row r="50" spans="1:1" x14ac:dyDescent="0.45">
      <c r="A50" t="s">
        <v>481</v>
      </c>
    </row>
    <row r="51" spans="1:1" x14ac:dyDescent="0.45">
      <c r="A51" t="s">
        <v>1079</v>
      </c>
    </row>
    <row r="52" spans="1:1" x14ac:dyDescent="0.45">
      <c r="A52" t="s">
        <v>1080</v>
      </c>
    </row>
    <row r="53" spans="1:1" x14ac:dyDescent="0.45">
      <c r="A53" t="s">
        <v>1081</v>
      </c>
    </row>
    <row r="54" spans="1:1" x14ac:dyDescent="0.45">
      <c r="A54" t="s">
        <v>1082</v>
      </c>
    </row>
    <row r="55" spans="1:1" x14ac:dyDescent="0.45">
      <c r="A55" t="s">
        <v>1083</v>
      </c>
    </row>
    <row r="56" spans="1:1" x14ac:dyDescent="0.45">
      <c r="A56" t="s">
        <v>1084</v>
      </c>
    </row>
    <row r="57" spans="1:1" x14ac:dyDescent="0.45">
      <c r="A57" t="s">
        <v>1085</v>
      </c>
    </row>
    <row r="58" spans="1:1" x14ac:dyDescent="0.45">
      <c r="A58" t="s">
        <v>1086</v>
      </c>
    </row>
    <row r="59" spans="1:1" x14ac:dyDescent="0.45">
      <c r="A59" t="s">
        <v>1087</v>
      </c>
    </row>
    <row r="60" spans="1:1" x14ac:dyDescent="0.45">
      <c r="A60" t="s">
        <v>1088</v>
      </c>
    </row>
    <row r="61" spans="1:1" x14ac:dyDescent="0.45">
      <c r="A61" t="s">
        <v>1089</v>
      </c>
    </row>
    <row r="62" spans="1:1" x14ac:dyDescent="0.45">
      <c r="A62" t="s">
        <v>304</v>
      </c>
    </row>
    <row r="63" spans="1:1" x14ac:dyDescent="0.45">
      <c r="A63" t="s">
        <v>1090</v>
      </c>
    </row>
    <row r="64" spans="1:1" x14ac:dyDescent="0.45">
      <c r="A64" t="s">
        <v>1091</v>
      </c>
    </row>
    <row r="65" spans="1:1" x14ac:dyDescent="0.45">
      <c r="A65" t="s">
        <v>1092</v>
      </c>
    </row>
    <row r="66" spans="1:1" x14ac:dyDescent="0.45">
      <c r="A66" t="s">
        <v>615</v>
      </c>
    </row>
    <row r="67" spans="1:1" x14ac:dyDescent="0.45">
      <c r="A67" t="s">
        <v>1093</v>
      </c>
    </row>
    <row r="68" spans="1:1" x14ac:dyDescent="0.45">
      <c r="A68" t="s">
        <v>1094</v>
      </c>
    </row>
    <row r="69" spans="1:1" x14ac:dyDescent="0.45">
      <c r="A69" t="s">
        <v>1095</v>
      </c>
    </row>
    <row r="70" spans="1:1" x14ac:dyDescent="0.45">
      <c r="A70" t="s">
        <v>1096</v>
      </c>
    </row>
    <row r="71" spans="1:1" x14ac:dyDescent="0.45">
      <c r="A71" t="s">
        <v>1097</v>
      </c>
    </row>
    <row r="72" spans="1:1" x14ac:dyDescent="0.45">
      <c r="A72" t="s">
        <v>1098</v>
      </c>
    </row>
    <row r="73" spans="1:1" x14ac:dyDescent="0.45">
      <c r="A73" t="s">
        <v>1099</v>
      </c>
    </row>
    <row r="74" spans="1:1" x14ac:dyDescent="0.45">
      <c r="A74" t="s">
        <v>1100</v>
      </c>
    </row>
    <row r="75" spans="1:1" x14ac:dyDescent="0.45">
      <c r="A75" t="s">
        <v>1101</v>
      </c>
    </row>
    <row r="76" spans="1:1" x14ac:dyDescent="0.45">
      <c r="A76" t="s">
        <v>1102</v>
      </c>
    </row>
    <row r="77" spans="1:1" x14ac:dyDescent="0.45">
      <c r="A77" t="s">
        <v>284</v>
      </c>
    </row>
    <row r="78" spans="1:1" x14ac:dyDescent="0.45">
      <c r="A78" t="s">
        <v>687</v>
      </c>
    </row>
    <row r="79" spans="1:1" x14ac:dyDescent="0.45">
      <c r="A79" t="s">
        <v>564</v>
      </c>
    </row>
    <row r="80" spans="1:1" x14ac:dyDescent="0.45">
      <c r="A80" t="s">
        <v>1103</v>
      </c>
    </row>
    <row r="81" spans="1:1" x14ac:dyDescent="0.45">
      <c r="A81" t="s">
        <v>1104</v>
      </c>
    </row>
    <row r="82" spans="1:1" x14ac:dyDescent="0.45">
      <c r="A82" t="s">
        <v>1105</v>
      </c>
    </row>
    <row r="83" spans="1:1" x14ac:dyDescent="0.45">
      <c r="A83" t="s">
        <v>1106</v>
      </c>
    </row>
    <row r="84" spans="1:1" x14ac:dyDescent="0.45">
      <c r="A84" t="s">
        <v>1107</v>
      </c>
    </row>
    <row r="85" spans="1:1" x14ac:dyDescent="0.45">
      <c r="A85" t="s">
        <v>1108</v>
      </c>
    </row>
    <row r="86" spans="1:1" x14ac:dyDescent="0.45">
      <c r="A86" t="s">
        <v>672</v>
      </c>
    </row>
    <row r="87" spans="1:1" x14ac:dyDescent="0.45">
      <c r="A87" t="s">
        <v>1109</v>
      </c>
    </row>
    <row r="88" spans="1:1" x14ac:dyDescent="0.45">
      <c r="A88" t="s">
        <v>293</v>
      </c>
    </row>
    <row r="89" spans="1:1" x14ac:dyDescent="0.45">
      <c r="A89" t="s">
        <v>1110</v>
      </c>
    </row>
    <row r="90" spans="1:1" x14ac:dyDescent="0.45">
      <c r="A90" t="s">
        <v>1111</v>
      </c>
    </row>
    <row r="91" spans="1:1" x14ac:dyDescent="0.45">
      <c r="A91" t="s">
        <v>1112</v>
      </c>
    </row>
    <row r="92" spans="1:1" x14ac:dyDescent="0.45">
      <c r="A92" t="s">
        <v>640</v>
      </c>
    </row>
    <row r="93" spans="1:1" x14ac:dyDescent="0.45">
      <c r="A93" t="s">
        <v>1113</v>
      </c>
    </row>
    <row r="94" spans="1:1" x14ac:dyDescent="0.45">
      <c r="A94" t="s">
        <v>1114</v>
      </c>
    </row>
    <row r="95" spans="1:1" x14ac:dyDescent="0.45">
      <c r="A95" t="s">
        <v>1115</v>
      </c>
    </row>
    <row r="96" spans="1:1" x14ac:dyDescent="0.45">
      <c r="A96" t="s">
        <v>1116</v>
      </c>
    </row>
    <row r="97" spans="1:1" x14ac:dyDescent="0.45">
      <c r="A97" t="s">
        <v>1117</v>
      </c>
    </row>
    <row r="98" spans="1:1" x14ac:dyDescent="0.45">
      <c r="A98" t="s">
        <v>227</v>
      </c>
    </row>
    <row r="99" spans="1:1" x14ac:dyDescent="0.45">
      <c r="A99" t="s">
        <v>1118</v>
      </c>
    </row>
    <row r="100" spans="1:1" x14ac:dyDescent="0.45">
      <c r="A100" t="s">
        <v>1119</v>
      </c>
    </row>
    <row r="101" spans="1:1" x14ac:dyDescent="0.45">
      <c r="A101" t="s">
        <v>1120</v>
      </c>
    </row>
    <row r="102" spans="1:1" x14ac:dyDescent="0.45">
      <c r="A102" t="s">
        <v>1121</v>
      </c>
    </row>
    <row r="103" spans="1:1" x14ac:dyDescent="0.45">
      <c r="A103" t="s">
        <v>1122</v>
      </c>
    </row>
    <row r="104" spans="1:1" x14ac:dyDescent="0.45">
      <c r="A104" t="s">
        <v>1123</v>
      </c>
    </row>
    <row r="105" spans="1:1" x14ac:dyDescent="0.45">
      <c r="A105" t="s">
        <v>1124</v>
      </c>
    </row>
    <row r="106" spans="1:1" x14ac:dyDescent="0.45">
      <c r="A106" t="s">
        <v>607</v>
      </c>
    </row>
    <row r="107" spans="1:1" x14ac:dyDescent="0.45">
      <c r="A107" t="s">
        <v>1125</v>
      </c>
    </row>
    <row r="108" spans="1:1" x14ac:dyDescent="0.45">
      <c r="A108" t="s">
        <v>1126</v>
      </c>
    </row>
    <row r="109" spans="1:1" x14ac:dyDescent="0.45">
      <c r="A109" t="s">
        <v>1127</v>
      </c>
    </row>
    <row r="110" spans="1:1" x14ac:dyDescent="0.45">
      <c r="A110" t="s">
        <v>1128</v>
      </c>
    </row>
    <row r="111" spans="1:1" x14ac:dyDescent="0.45">
      <c r="A111" t="s">
        <v>705</v>
      </c>
    </row>
    <row r="112" spans="1:1" x14ac:dyDescent="0.45">
      <c r="A112" t="s">
        <v>1129</v>
      </c>
    </row>
    <row r="113" spans="1:1" x14ac:dyDescent="0.45">
      <c r="A113" t="s">
        <v>1130</v>
      </c>
    </row>
    <row r="114" spans="1:1" x14ac:dyDescent="0.45">
      <c r="A114" t="s">
        <v>1131</v>
      </c>
    </row>
    <row r="115" spans="1:1" x14ac:dyDescent="0.45">
      <c r="A115" t="s">
        <v>1132</v>
      </c>
    </row>
    <row r="116" spans="1:1" x14ac:dyDescent="0.45">
      <c r="A116" t="s">
        <v>1133</v>
      </c>
    </row>
    <row r="117" spans="1:1" x14ac:dyDescent="0.45">
      <c r="A117" t="s">
        <v>1134</v>
      </c>
    </row>
    <row r="118" spans="1:1" x14ac:dyDescent="0.45">
      <c r="A118" t="s">
        <v>1135</v>
      </c>
    </row>
    <row r="119" spans="1:1" x14ac:dyDescent="0.45">
      <c r="A119" t="s">
        <v>1136</v>
      </c>
    </row>
    <row r="120" spans="1:1" x14ac:dyDescent="0.45">
      <c r="A120" t="s">
        <v>1137</v>
      </c>
    </row>
    <row r="121" spans="1:1" x14ac:dyDescent="0.45">
      <c r="A121" t="s">
        <v>442</v>
      </c>
    </row>
    <row r="122" spans="1:1" x14ac:dyDescent="0.45">
      <c r="A122" t="s">
        <v>1138</v>
      </c>
    </row>
    <row r="123" spans="1:1" x14ac:dyDescent="0.45">
      <c r="A123" t="s">
        <v>1139</v>
      </c>
    </row>
    <row r="124" spans="1:1" x14ac:dyDescent="0.45">
      <c r="A124" t="s">
        <v>1140</v>
      </c>
    </row>
    <row r="125" spans="1:1" x14ac:dyDescent="0.45">
      <c r="A125" t="s">
        <v>1141</v>
      </c>
    </row>
    <row r="126" spans="1:1" x14ac:dyDescent="0.45">
      <c r="A126" t="s">
        <v>1142</v>
      </c>
    </row>
    <row r="127" spans="1:1" x14ac:dyDescent="0.45">
      <c r="A127" t="s">
        <v>681</v>
      </c>
    </row>
    <row r="128" spans="1:1" x14ac:dyDescent="0.45">
      <c r="A128" t="s">
        <v>1143</v>
      </c>
    </row>
    <row r="129" spans="1:1" x14ac:dyDescent="0.45">
      <c r="A129" t="s">
        <v>1144</v>
      </c>
    </row>
    <row r="130" spans="1:1" x14ac:dyDescent="0.45">
      <c r="A130" t="s">
        <v>1145</v>
      </c>
    </row>
    <row r="131" spans="1:1" x14ac:dyDescent="0.45">
      <c r="A131" t="s">
        <v>1146</v>
      </c>
    </row>
    <row r="132" spans="1:1" x14ac:dyDescent="0.45">
      <c r="A132" t="s">
        <v>1147</v>
      </c>
    </row>
    <row r="133" spans="1:1" x14ac:dyDescent="0.45">
      <c r="A133" t="s">
        <v>324</v>
      </c>
    </row>
    <row r="134" spans="1:1" x14ac:dyDescent="0.45">
      <c r="A134" t="s">
        <v>1148</v>
      </c>
    </row>
    <row r="135" spans="1:1" x14ac:dyDescent="0.45">
      <c r="A135" t="s">
        <v>1149</v>
      </c>
    </row>
    <row r="136" spans="1:1" x14ac:dyDescent="0.45">
      <c r="A136" t="s">
        <v>1150</v>
      </c>
    </row>
    <row r="137" spans="1:1" x14ac:dyDescent="0.45">
      <c r="A137" t="s">
        <v>467</v>
      </c>
    </row>
    <row r="138" spans="1:1" x14ac:dyDescent="0.45">
      <c r="A138" t="s">
        <v>1151</v>
      </c>
    </row>
    <row r="139" spans="1:1" x14ac:dyDescent="0.45">
      <c r="A139" t="s">
        <v>1152</v>
      </c>
    </row>
    <row r="140" spans="1:1" x14ac:dyDescent="0.45">
      <c r="A140" t="s">
        <v>1153</v>
      </c>
    </row>
    <row r="141" spans="1:1" x14ac:dyDescent="0.45">
      <c r="A141" t="s">
        <v>1154</v>
      </c>
    </row>
    <row r="142" spans="1:1" x14ac:dyDescent="0.45">
      <c r="A142" t="s">
        <v>1155</v>
      </c>
    </row>
    <row r="143" spans="1:1" x14ac:dyDescent="0.45">
      <c r="A143" t="s">
        <v>1156</v>
      </c>
    </row>
    <row r="144" spans="1:1" x14ac:dyDescent="0.45">
      <c r="A144" t="s">
        <v>1157</v>
      </c>
    </row>
    <row r="145" spans="1:1" x14ac:dyDescent="0.45">
      <c r="A145" t="s">
        <v>1158</v>
      </c>
    </row>
    <row r="146" spans="1:1" x14ac:dyDescent="0.45">
      <c r="A146" t="s">
        <v>1159</v>
      </c>
    </row>
    <row r="147" spans="1:1" x14ac:dyDescent="0.45">
      <c r="A147" t="s">
        <v>1160</v>
      </c>
    </row>
    <row r="148" spans="1:1" x14ac:dyDescent="0.45">
      <c r="A148" t="s">
        <v>1161</v>
      </c>
    </row>
    <row r="149" spans="1:1" x14ac:dyDescent="0.45">
      <c r="A149" t="s">
        <v>1162</v>
      </c>
    </row>
    <row r="150" spans="1:1" x14ac:dyDescent="0.45">
      <c r="A150" t="s">
        <v>1163</v>
      </c>
    </row>
    <row r="151" spans="1:1" x14ac:dyDescent="0.45">
      <c r="A151" t="s">
        <v>1164</v>
      </c>
    </row>
    <row r="152" spans="1:1" x14ac:dyDescent="0.45">
      <c r="A152" t="s">
        <v>1165</v>
      </c>
    </row>
    <row r="153" spans="1:1" x14ac:dyDescent="0.45">
      <c r="A153" t="s">
        <v>1166</v>
      </c>
    </row>
    <row r="154" spans="1:1" x14ac:dyDescent="0.45">
      <c r="A154" t="s">
        <v>1167</v>
      </c>
    </row>
    <row r="155" spans="1:1" x14ac:dyDescent="0.45">
      <c r="A155" t="s">
        <v>1168</v>
      </c>
    </row>
    <row r="156" spans="1:1" x14ac:dyDescent="0.45">
      <c r="A156" t="s">
        <v>1169</v>
      </c>
    </row>
    <row r="157" spans="1:1" x14ac:dyDescent="0.45">
      <c r="A157" t="s">
        <v>1170</v>
      </c>
    </row>
    <row r="158" spans="1:1" x14ac:dyDescent="0.45">
      <c r="A158" t="s">
        <v>1171</v>
      </c>
    </row>
    <row r="159" spans="1:1" x14ac:dyDescent="0.45">
      <c r="A159" t="s">
        <v>1172</v>
      </c>
    </row>
    <row r="160" spans="1:1" x14ac:dyDescent="0.45">
      <c r="A160" t="s">
        <v>1173</v>
      </c>
    </row>
    <row r="161" spans="1:1" x14ac:dyDescent="0.45">
      <c r="A161" t="s">
        <v>622</v>
      </c>
    </row>
    <row r="162" spans="1:1" x14ac:dyDescent="0.45">
      <c r="A162" t="s">
        <v>1174</v>
      </c>
    </row>
    <row r="163" spans="1:1" x14ac:dyDescent="0.45">
      <c r="A163" t="s">
        <v>1175</v>
      </c>
    </row>
    <row r="164" spans="1:1" x14ac:dyDescent="0.45">
      <c r="A164" t="s">
        <v>229</v>
      </c>
    </row>
    <row r="165" spans="1:1" x14ac:dyDescent="0.45">
      <c r="A165" t="s">
        <v>1176</v>
      </c>
    </row>
    <row r="166" spans="1:1" x14ac:dyDescent="0.45">
      <c r="A166" t="s">
        <v>1177</v>
      </c>
    </row>
    <row r="167" spans="1:1" x14ac:dyDescent="0.45">
      <c r="A167" t="s">
        <v>1178</v>
      </c>
    </row>
    <row r="168" spans="1:1" x14ac:dyDescent="0.45">
      <c r="A168" t="s">
        <v>1179</v>
      </c>
    </row>
    <row r="169" spans="1:1" x14ac:dyDescent="0.45">
      <c r="A169" t="s">
        <v>1180</v>
      </c>
    </row>
    <row r="170" spans="1:1" x14ac:dyDescent="0.45">
      <c r="A170" t="s">
        <v>1181</v>
      </c>
    </row>
    <row r="171" spans="1:1" x14ac:dyDescent="0.45">
      <c r="A171" t="s">
        <v>585</v>
      </c>
    </row>
    <row r="172" spans="1:1" x14ac:dyDescent="0.45">
      <c r="A172" t="s">
        <v>1182</v>
      </c>
    </row>
    <row r="173" spans="1:1" x14ac:dyDescent="0.45">
      <c r="A173" t="s">
        <v>1183</v>
      </c>
    </row>
    <row r="174" spans="1:1" x14ac:dyDescent="0.45">
      <c r="A174" t="s">
        <v>1184</v>
      </c>
    </row>
    <row r="175" spans="1:1" x14ac:dyDescent="0.45">
      <c r="A175" t="s">
        <v>1185</v>
      </c>
    </row>
    <row r="176" spans="1:1" x14ac:dyDescent="0.45">
      <c r="A176" t="s">
        <v>1186</v>
      </c>
    </row>
    <row r="177" spans="1:1" x14ac:dyDescent="0.45">
      <c r="A177" t="s">
        <v>1187</v>
      </c>
    </row>
    <row r="178" spans="1:1" x14ac:dyDescent="0.45">
      <c r="A178" t="s">
        <v>1188</v>
      </c>
    </row>
    <row r="179" spans="1:1" x14ac:dyDescent="0.45">
      <c r="A179" t="s">
        <v>1189</v>
      </c>
    </row>
    <row r="180" spans="1:1" x14ac:dyDescent="0.45">
      <c r="A180" t="s">
        <v>455</v>
      </c>
    </row>
    <row r="181" spans="1:1" x14ac:dyDescent="0.45">
      <c r="A181" t="s">
        <v>1190</v>
      </c>
    </row>
    <row r="182" spans="1:1" x14ac:dyDescent="0.45">
      <c r="A182" t="s">
        <v>1191</v>
      </c>
    </row>
    <row r="183" spans="1:1" x14ac:dyDescent="0.45">
      <c r="A183" t="s">
        <v>1192</v>
      </c>
    </row>
    <row r="184" spans="1:1" x14ac:dyDescent="0.45">
      <c r="A184" t="s">
        <v>1193</v>
      </c>
    </row>
    <row r="185" spans="1:1" x14ac:dyDescent="0.45">
      <c r="A185" t="s">
        <v>1194</v>
      </c>
    </row>
    <row r="186" spans="1:1" x14ac:dyDescent="0.45">
      <c r="A186" t="s">
        <v>1195</v>
      </c>
    </row>
    <row r="187" spans="1:1" x14ac:dyDescent="0.45">
      <c r="A187" t="s">
        <v>1196</v>
      </c>
    </row>
    <row r="188" spans="1:1" x14ac:dyDescent="0.45">
      <c r="A188" t="s">
        <v>1197</v>
      </c>
    </row>
    <row r="189" spans="1:1" x14ac:dyDescent="0.45">
      <c r="A189" t="s">
        <v>1198</v>
      </c>
    </row>
    <row r="190" spans="1:1" x14ac:dyDescent="0.45">
      <c r="A190" t="s">
        <v>1199</v>
      </c>
    </row>
    <row r="191" spans="1:1" x14ac:dyDescent="0.45">
      <c r="A191" t="s">
        <v>1200</v>
      </c>
    </row>
    <row r="192" spans="1:1" x14ac:dyDescent="0.45">
      <c r="A192" t="s">
        <v>1201</v>
      </c>
    </row>
    <row r="193" spans="1:1" x14ac:dyDescent="0.45">
      <c r="A193" t="s">
        <v>1202</v>
      </c>
    </row>
    <row r="194" spans="1:1" x14ac:dyDescent="0.45">
      <c r="A194" t="s">
        <v>1203</v>
      </c>
    </row>
    <row r="195" spans="1:1" x14ac:dyDescent="0.45">
      <c r="A195" t="s">
        <v>1204</v>
      </c>
    </row>
    <row r="196" spans="1:1" x14ac:dyDescent="0.45">
      <c r="A196" t="s">
        <v>1205</v>
      </c>
    </row>
    <row r="197" spans="1:1" x14ac:dyDescent="0.45">
      <c r="A197" t="s">
        <v>196</v>
      </c>
    </row>
    <row r="198" spans="1:1" x14ac:dyDescent="0.45">
      <c r="A198" t="s">
        <v>1206</v>
      </c>
    </row>
    <row r="199" spans="1:1" x14ac:dyDescent="0.45">
      <c r="A199" t="s">
        <v>1207</v>
      </c>
    </row>
    <row r="200" spans="1:1" x14ac:dyDescent="0.45">
      <c r="A200" t="s">
        <v>1208</v>
      </c>
    </row>
    <row r="201" spans="1:1" x14ac:dyDescent="0.45">
      <c r="A201" t="s">
        <v>1209</v>
      </c>
    </row>
    <row r="202" spans="1:1" x14ac:dyDescent="0.45">
      <c r="A202" t="s">
        <v>1210</v>
      </c>
    </row>
    <row r="203" spans="1:1" x14ac:dyDescent="0.45">
      <c r="A203" t="s">
        <v>1211</v>
      </c>
    </row>
    <row r="204" spans="1:1" x14ac:dyDescent="0.45">
      <c r="A204" t="s">
        <v>1212</v>
      </c>
    </row>
    <row r="205" spans="1:1" x14ac:dyDescent="0.45">
      <c r="A205" t="s">
        <v>570</v>
      </c>
    </row>
    <row r="206" spans="1:1" x14ac:dyDescent="0.45">
      <c r="A206" t="s">
        <v>510</v>
      </c>
    </row>
    <row r="207" spans="1:1" x14ac:dyDescent="0.45">
      <c r="A207" t="s">
        <v>1213</v>
      </c>
    </row>
    <row r="208" spans="1:1" x14ac:dyDescent="0.45">
      <c r="A208" t="s">
        <v>1214</v>
      </c>
    </row>
    <row r="209" spans="1:1" x14ac:dyDescent="0.45">
      <c r="A209" t="s">
        <v>346</v>
      </c>
    </row>
    <row r="210" spans="1:1" x14ac:dyDescent="0.45">
      <c r="A210" t="s">
        <v>1215</v>
      </c>
    </row>
    <row r="211" spans="1:1" x14ac:dyDescent="0.45">
      <c r="A211" t="s">
        <v>1216</v>
      </c>
    </row>
    <row r="212" spans="1:1" x14ac:dyDescent="0.45">
      <c r="A212" t="s">
        <v>1217</v>
      </c>
    </row>
    <row r="213" spans="1:1" x14ac:dyDescent="0.45">
      <c r="A213" t="s">
        <v>1218</v>
      </c>
    </row>
    <row r="214" spans="1:1" x14ac:dyDescent="0.45">
      <c r="A214" t="s">
        <v>1219</v>
      </c>
    </row>
    <row r="215" spans="1:1" x14ac:dyDescent="0.45">
      <c r="A215" t="s">
        <v>249</v>
      </c>
    </row>
    <row r="216" spans="1:1" x14ac:dyDescent="0.45">
      <c r="A216" t="s">
        <v>693</v>
      </c>
    </row>
    <row r="217" spans="1:1" x14ac:dyDescent="0.45">
      <c r="A217" t="s">
        <v>1220</v>
      </c>
    </row>
    <row r="218" spans="1:1" x14ac:dyDescent="0.45">
      <c r="A218" t="s">
        <v>1221</v>
      </c>
    </row>
    <row r="219" spans="1:1" x14ac:dyDescent="0.45">
      <c r="A219" t="s">
        <v>1222</v>
      </c>
    </row>
    <row r="220" spans="1:1" x14ac:dyDescent="0.45">
      <c r="A220" t="s">
        <v>1223</v>
      </c>
    </row>
    <row r="221" spans="1:1" x14ac:dyDescent="0.45">
      <c r="A221" t="s">
        <v>1224</v>
      </c>
    </row>
    <row r="222" spans="1:1" x14ac:dyDescent="0.45">
      <c r="A222" t="s">
        <v>1225</v>
      </c>
    </row>
    <row r="223" spans="1:1" x14ac:dyDescent="0.45">
      <c r="A223" t="s">
        <v>1226</v>
      </c>
    </row>
    <row r="224" spans="1:1" x14ac:dyDescent="0.45">
      <c r="A224" t="s">
        <v>1227</v>
      </c>
    </row>
    <row r="225" spans="1:1" x14ac:dyDescent="0.45">
      <c r="A225" t="s">
        <v>1228</v>
      </c>
    </row>
    <row r="226" spans="1:1" x14ac:dyDescent="0.45">
      <c r="A226" t="s">
        <v>1229</v>
      </c>
    </row>
    <row r="227" spans="1:1" x14ac:dyDescent="0.45">
      <c r="A227" t="s">
        <v>1230</v>
      </c>
    </row>
    <row r="228" spans="1:1" x14ac:dyDescent="0.45">
      <c r="A228" t="s">
        <v>1231</v>
      </c>
    </row>
    <row r="229" spans="1:1" x14ac:dyDescent="0.45">
      <c r="A229" t="s">
        <v>1232</v>
      </c>
    </row>
    <row r="230" spans="1:1" x14ac:dyDescent="0.45">
      <c r="A230" t="s">
        <v>1233</v>
      </c>
    </row>
    <row r="231" spans="1:1" x14ac:dyDescent="0.45">
      <c r="A231" t="s">
        <v>1234</v>
      </c>
    </row>
    <row r="232" spans="1:1" x14ac:dyDescent="0.45">
      <c r="A232" t="s">
        <v>1235</v>
      </c>
    </row>
    <row r="233" spans="1:1" x14ac:dyDescent="0.45">
      <c r="A233" t="s">
        <v>1236</v>
      </c>
    </row>
    <row r="234" spans="1:1" x14ac:dyDescent="0.45">
      <c r="A234" t="s">
        <v>1237</v>
      </c>
    </row>
    <row r="235" spans="1:1" x14ac:dyDescent="0.45">
      <c r="A235" t="s">
        <v>1238</v>
      </c>
    </row>
    <row r="236" spans="1:1" x14ac:dyDescent="0.45">
      <c r="A236" t="s">
        <v>1239</v>
      </c>
    </row>
    <row r="237" spans="1:1" x14ac:dyDescent="0.45">
      <c r="A237" t="s">
        <v>1240</v>
      </c>
    </row>
    <row r="238" spans="1:1" x14ac:dyDescent="0.45">
      <c r="A238" t="s">
        <v>1241</v>
      </c>
    </row>
    <row r="239" spans="1:1" x14ac:dyDescent="0.45">
      <c r="A239" t="s">
        <v>1242</v>
      </c>
    </row>
    <row r="240" spans="1:1" x14ac:dyDescent="0.45">
      <c r="A240" t="s">
        <v>1243</v>
      </c>
    </row>
    <row r="241" spans="1:1" x14ac:dyDescent="0.45">
      <c r="A241" t="s">
        <v>1244</v>
      </c>
    </row>
    <row r="242" spans="1:1" x14ac:dyDescent="0.45">
      <c r="A242" t="s">
        <v>1245</v>
      </c>
    </row>
    <row r="243" spans="1:1" x14ac:dyDescent="0.45">
      <c r="A243" t="s">
        <v>1246</v>
      </c>
    </row>
    <row r="244" spans="1:1" x14ac:dyDescent="0.45">
      <c r="A244" t="s">
        <v>1247</v>
      </c>
    </row>
    <row r="245" spans="1:1" x14ac:dyDescent="0.45">
      <c r="A245" t="s">
        <v>1248</v>
      </c>
    </row>
    <row r="246" spans="1:1" x14ac:dyDescent="0.45">
      <c r="A246" t="s">
        <v>1249</v>
      </c>
    </row>
    <row r="247" spans="1:1" x14ac:dyDescent="0.45">
      <c r="A247" t="s">
        <v>262</v>
      </c>
    </row>
    <row r="248" spans="1:1" x14ac:dyDescent="0.45">
      <c r="A248" t="s">
        <v>1250</v>
      </c>
    </row>
    <row r="249" spans="1:1" x14ac:dyDescent="0.45">
      <c r="A249" t="s">
        <v>1251</v>
      </c>
    </row>
    <row r="250" spans="1:1" x14ac:dyDescent="0.45">
      <c r="A250" t="s">
        <v>1252</v>
      </c>
    </row>
    <row r="251" spans="1:1" x14ac:dyDescent="0.45">
      <c r="A251" t="s">
        <v>327</v>
      </c>
    </row>
    <row r="252" spans="1:1" x14ac:dyDescent="0.45">
      <c r="A252" t="s">
        <v>1253</v>
      </c>
    </row>
    <row r="253" spans="1:1" x14ac:dyDescent="0.45">
      <c r="A253" t="s">
        <v>1254</v>
      </c>
    </row>
    <row r="254" spans="1:1" x14ac:dyDescent="0.45">
      <c r="A254" t="s">
        <v>1255</v>
      </c>
    </row>
    <row r="255" spans="1:1" x14ac:dyDescent="0.45">
      <c r="A255" t="s">
        <v>1256</v>
      </c>
    </row>
    <row r="256" spans="1:1" x14ac:dyDescent="0.45">
      <c r="A256" t="s">
        <v>1257</v>
      </c>
    </row>
    <row r="257" spans="1:1" x14ac:dyDescent="0.45">
      <c r="A257" t="s">
        <v>1258</v>
      </c>
    </row>
    <row r="258" spans="1:1" x14ac:dyDescent="0.45">
      <c r="A258" t="s">
        <v>1259</v>
      </c>
    </row>
    <row r="259" spans="1:1" x14ac:dyDescent="0.45">
      <c r="A259" t="s">
        <v>1260</v>
      </c>
    </row>
    <row r="260" spans="1:1" x14ac:dyDescent="0.45">
      <c r="A260" t="s">
        <v>1261</v>
      </c>
    </row>
    <row r="261" spans="1:1" x14ac:dyDescent="0.45">
      <c r="A261" t="s">
        <v>1262</v>
      </c>
    </row>
    <row r="262" spans="1:1" x14ac:dyDescent="0.45">
      <c r="A262" t="s">
        <v>1263</v>
      </c>
    </row>
    <row r="263" spans="1:1" x14ac:dyDescent="0.45">
      <c r="A263" t="s">
        <v>1264</v>
      </c>
    </row>
    <row r="264" spans="1:1" x14ac:dyDescent="0.45">
      <c r="A264" t="s">
        <v>1265</v>
      </c>
    </row>
    <row r="265" spans="1:1" x14ac:dyDescent="0.45">
      <c r="A265" t="s">
        <v>1266</v>
      </c>
    </row>
    <row r="266" spans="1:1" x14ac:dyDescent="0.45">
      <c r="A266" t="s">
        <v>1267</v>
      </c>
    </row>
    <row r="267" spans="1:1" x14ac:dyDescent="0.45">
      <c r="A267" t="s">
        <v>1268</v>
      </c>
    </row>
    <row r="268" spans="1:1" x14ac:dyDescent="0.45">
      <c r="A268" t="s">
        <v>1269</v>
      </c>
    </row>
    <row r="269" spans="1:1" x14ac:dyDescent="0.45">
      <c r="A269" t="s">
        <v>1270</v>
      </c>
    </row>
    <row r="270" spans="1:1" x14ac:dyDescent="0.45">
      <c r="A270" t="s">
        <v>530</v>
      </c>
    </row>
    <row r="271" spans="1:1" x14ac:dyDescent="0.45">
      <c r="A271" t="s">
        <v>707</v>
      </c>
    </row>
    <row r="272" spans="1:1" x14ac:dyDescent="0.45">
      <c r="A272" t="s">
        <v>1271</v>
      </c>
    </row>
    <row r="273" spans="1:1" x14ac:dyDescent="0.45">
      <c r="A273" t="s">
        <v>1272</v>
      </c>
    </row>
    <row r="274" spans="1:1" x14ac:dyDescent="0.45">
      <c r="A274" t="s">
        <v>1273</v>
      </c>
    </row>
    <row r="275" spans="1:1" x14ac:dyDescent="0.45">
      <c r="A275" t="s">
        <v>1274</v>
      </c>
    </row>
    <row r="276" spans="1:1" x14ac:dyDescent="0.45">
      <c r="A276" t="s">
        <v>1275</v>
      </c>
    </row>
    <row r="277" spans="1:1" x14ac:dyDescent="0.45">
      <c r="A277" t="s">
        <v>1276</v>
      </c>
    </row>
    <row r="278" spans="1:1" x14ac:dyDescent="0.45">
      <c r="A278" t="s">
        <v>1277</v>
      </c>
    </row>
    <row r="279" spans="1:1" x14ac:dyDescent="0.45">
      <c r="A279" t="s">
        <v>1278</v>
      </c>
    </row>
    <row r="280" spans="1:1" x14ac:dyDescent="0.45">
      <c r="A280" t="s">
        <v>1279</v>
      </c>
    </row>
    <row r="281" spans="1:1" x14ac:dyDescent="0.45">
      <c r="A281" t="s">
        <v>1280</v>
      </c>
    </row>
    <row r="282" spans="1:1" x14ac:dyDescent="0.45">
      <c r="A282" t="s">
        <v>1281</v>
      </c>
    </row>
    <row r="283" spans="1:1" x14ac:dyDescent="0.45">
      <c r="A283" t="s">
        <v>1282</v>
      </c>
    </row>
    <row r="284" spans="1:1" x14ac:dyDescent="0.45">
      <c r="A284" t="s">
        <v>1283</v>
      </c>
    </row>
    <row r="285" spans="1:1" x14ac:dyDescent="0.45">
      <c r="A285" t="s">
        <v>1284</v>
      </c>
    </row>
    <row r="286" spans="1:1" x14ac:dyDescent="0.45">
      <c r="A286" t="s">
        <v>1285</v>
      </c>
    </row>
    <row r="287" spans="1:1" x14ac:dyDescent="0.45">
      <c r="A287" t="s">
        <v>1286</v>
      </c>
    </row>
    <row r="288" spans="1:1" x14ac:dyDescent="0.45">
      <c r="A288" t="s">
        <v>1287</v>
      </c>
    </row>
    <row r="289" spans="1:1" x14ac:dyDescent="0.45">
      <c r="A289" t="s">
        <v>1288</v>
      </c>
    </row>
    <row r="290" spans="1:1" x14ac:dyDescent="0.45">
      <c r="A290" t="s">
        <v>1289</v>
      </c>
    </row>
    <row r="291" spans="1:1" x14ac:dyDescent="0.45">
      <c r="A291" t="s">
        <v>1290</v>
      </c>
    </row>
    <row r="292" spans="1:1" x14ac:dyDescent="0.45">
      <c r="A292" t="s">
        <v>1291</v>
      </c>
    </row>
    <row r="293" spans="1:1" x14ac:dyDescent="0.45">
      <c r="A293" t="s">
        <v>1292</v>
      </c>
    </row>
    <row r="294" spans="1:1" x14ac:dyDescent="0.45">
      <c r="A294" t="s">
        <v>1293</v>
      </c>
    </row>
    <row r="295" spans="1:1" x14ac:dyDescent="0.45">
      <c r="A295" t="s">
        <v>1294</v>
      </c>
    </row>
    <row r="296" spans="1:1" x14ac:dyDescent="0.45">
      <c r="A296" t="s">
        <v>1295</v>
      </c>
    </row>
    <row r="297" spans="1:1" x14ac:dyDescent="0.45">
      <c r="A297" t="s">
        <v>1296</v>
      </c>
    </row>
    <row r="298" spans="1:1" x14ac:dyDescent="0.45">
      <c r="A298" t="s">
        <v>1297</v>
      </c>
    </row>
    <row r="299" spans="1:1" x14ac:dyDescent="0.45">
      <c r="A299" t="s">
        <v>1298</v>
      </c>
    </row>
    <row r="300" spans="1:1" x14ac:dyDescent="0.45">
      <c r="A300" t="s">
        <v>216</v>
      </c>
    </row>
    <row r="301" spans="1:1" x14ac:dyDescent="0.45">
      <c r="A301" t="s">
        <v>1299</v>
      </c>
    </row>
    <row r="302" spans="1:1" x14ac:dyDescent="0.45">
      <c r="A302" t="s">
        <v>613</v>
      </c>
    </row>
    <row r="303" spans="1:1" x14ac:dyDescent="0.45">
      <c r="A303" t="s">
        <v>1300</v>
      </c>
    </row>
    <row r="304" spans="1:1" x14ac:dyDescent="0.45">
      <c r="A304" t="s">
        <v>1301</v>
      </c>
    </row>
    <row r="305" spans="1:1" x14ac:dyDescent="0.45">
      <c r="A305" t="s">
        <v>1302</v>
      </c>
    </row>
    <row r="306" spans="1:1" x14ac:dyDescent="0.45">
      <c r="A306" t="s">
        <v>757</v>
      </c>
    </row>
    <row r="307" spans="1:1" x14ac:dyDescent="0.45">
      <c r="A307" t="s">
        <v>1303</v>
      </c>
    </row>
    <row r="308" spans="1:1" x14ac:dyDescent="0.45">
      <c r="A308" t="s">
        <v>583</v>
      </c>
    </row>
    <row r="309" spans="1:1" x14ac:dyDescent="0.45">
      <c r="A309" t="s">
        <v>1304</v>
      </c>
    </row>
    <row r="310" spans="1:1" x14ac:dyDescent="0.45">
      <c r="A310" t="s">
        <v>1305</v>
      </c>
    </row>
    <row r="311" spans="1:1" x14ac:dyDescent="0.45">
      <c r="A311" t="s">
        <v>1306</v>
      </c>
    </row>
    <row r="312" spans="1:1" x14ac:dyDescent="0.45">
      <c r="A312" t="s">
        <v>1307</v>
      </c>
    </row>
    <row r="313" spans="1:1" x14ac:dyDescent="0.45">
      <c r="A313" t="s">
        <v>760</v>
      </c>
    </row>
    <row r="314" spans="1:1" x14ac:dyDescent="0.45">
      <c r="A314" t="s">
        <v>1308</v>
      </c>
    </row>
    <row r="315" spans="1:1" x14ac:dyDescent="0.45">
      <c r="A315" t="s">
        <v>1309</v>
      </c>
    </row>
    <row r="316" spans="1:1" x14ac:dyDescent="0.45">
      <c r="A316" t="s">
        <v>1310</v>
      </c>
    </row>
    <row r="317" spans="1:1" x14ac:dyDescent="0.45">
      <c r="A317" t="s">
        <v>1311</v>
      </c>
    </row>
    <row r="318" spans="1:1" x14ac:dyDescent="0.45">
      <c r="A318" t="s">
        <v>1312</v>
      </c>
    </row>
    <row r="319" spans="1:1" x14ac:dyDescent="0.45">
      <c r="A319" t="s">
        <v>1313</v>
      </c>
    </row>
    <row r="320" spans="1:1" x14ac:dyDescent="0.45">
      <c r="A320" t="s">
        <v>1314</v>
      </c>
    </row>
    <row r="321" spans="1:1" x14ac:dyDescent="0.45">
      <c r="A321" t="s">
        <v>1315</v>
      </c>
    </row>
    <row r="322" spans="1:1" x14ac:dyDescent="0.45">
      <c r="A322" t="s">
        <v>1316</v>
      </c>
    </row>
    <row r="323" spans="1:1" x14ac:dyDescent="0.45">
      <c r="A323" t="s">
        <v>1317</v>
      </c>
    </row>
    <row r="324" spans="1:1" x14ac:dyDescent="0.45">
      <c r="A324" t="s">
        <v>1318</v>
      </c>
    </row>
    <row r="325" spans="1:1" x14ac:dyDescent="0.45">
      <c r="A325" t="s">
        <v>1319</v>
      </c>
    </row>
    <row r="326" spans="1:1" x14ac:dyDescent="0.45">
      <c r="A326" t="s">
        <v>306</v>
      </c>
    </row>
    <row r="327" spans="1:1" x14ac:dyDescent="0.45">
      <c r="A327" t="s">
        <v>401</v>
      </c>
    </row>
    <row r="328" spans="1:1" x14ac:dyDescent="0.45">
      <c r="A328" t="s">
        <v>545</v>
      </c>
    </row>
    <row r="329" spans="1:1" x14ac:dyDescent="0.45">
      <c r="A329" t="s">
        <v>1320</v>
      </c>
    </row>
    <row r="330" spans="1:1" x14ac:dyDescent="0.45">
      <c r="A330" t="s">
        <v>1321</v>
      </c>
    </row>
    <row r="331" spans="1:1" x14ac:dyDescent="0.45">
      <c r="A331" t="s">
        <v>1322</v>
      </c>
    </row>
    <row r="332" spans="1:1" x14ac:dyDescent="0.45">
      <c r="A332" t="s">
        <v>1323</v>
      </c>
    </row>
    <row r="333" spans="1:1" x14ac:dyDescent="0.45">
      <c r="A333" t="s">
        <v>1324</v>
      </c>
    </row>
    <row r="334" spans="1:1" x14ac:dyDescent="0.45">
      <c r="A334" t="s">
        <v>1325</v>
      </c>
    </row>
    <row r="335" spans="1:1" x14ac:dyDescent="0.45">
      <c r="A335" t="s">
        <v>1326</v>
      </c>
    </row>
    <row r="336" spans="1:1" x14ac:dyDescent="0.45">
      <c r="A336" t="s">
        <v>1327</v>
      </c>
    </row>
    <row r="337" spans="1:1" x14ac:dyDescent="0.45">
      <c r="A337" t="s">
        <v>1328</v>
      </c>
    </row>
    <row r="338" spans="1:1" x14ac:dyDescent="0.45">
      <c r="A338" t="s">
        <v>1329</v>
      </c>
    </row>
    <row r="339" spans="1:1" x14ac:dyDescent="0.45">
      <c r="A339" t="s">
        <v>1330</v>
      </c>
    </row>
    <row r="340" spans="1:1" x14ac:dyDescent="0.45">
      <c r="A340" t="s">
        <v>1331</v>
      </c>
    </row>
    <row r="341" spans="1:1" x14ac:dyDescent="0.45">
      <c r="A341" t="s">
        <v>1332</v>
      </c>
    </row>
    <row r="342" spans="1:1" x14ac:dyDescent="0.45">
      <c r="A342" t="s">
        <v>1333</v>
      </c>
    </row>
    <row r="343" spans="1:1" x14ac:dyDescent="0.45">
      <c r="A343" t="s">
        <v>1334</v>
      </c>
    </row>
    <row r="344" spans="1:1" x14ac:dyDescent="0.45">
      <c r="A344" t="s">
        <v>1335</v>
      </c>
    </row>
    <row r="345" spans="1:1" x14ac:dyDescent="0.45">
      <c r="A345" t="s">
        <v>633</v>
      </c>
    </row>
    <row r="346" spans="1:1" x14ac:dyDescent="0.45">
      <c r="A346" t="s">
        <v>1336</v>
      </c>
    </row>
    <row r="347" spans="1:1" x14ac:dyDescent="0.45">
      <c r="A347" t="s">
        <v>476</v>
      </c>
    </row>
    <row r="348" spans="1:1" x14ac:dyDescent="0.45">
      <c r="A348" t="s">
        <v>1337</v>
      </c>
    </row>
    <row r="349" spans="1:1" x14ac:dyDescent="0.45">
      <c r="A349" t="s">
        <v>1338</v>
      </c>
    </row>
    <row r="350" spans="1:1" x14ac:dyDescent="0.45">
      <c r="A350" t="s">
        <v>1339</v>
      </c>
    </row>
    <row r="351" spans="1:1" x14ac:dyDescent="0.45">
      <c r="A351" t="s">
        <v>1340</v>
      </c>
    </row>
    <row r="352" spans="1:1" x14ac:dyDescent="0.45">
      <c r="A352" t="s">
        <v>1341</v>
      </c>
    </row>
    <row r="353" spans="1:1" x14ac:dyDescent="0.45">
      <c r="A353" t="s">
        <v>1342</v>
      </c>
    </row>
    <row r="354" spans="1:1" x14ac:dyDescent="0.45">
      <c r="A354" t="s">
        <v>1343</v>
      </c>
    </row>
    <row r="355" spans="1:1" x14ac:dyDescent="0.45">
      <c r="A355" t="s">
        <v>1344</v>
      </c>
    </row>
    <row r="356" spans="1:1" x14ac:dyDescent="0.45">
      <c r="A356" t="s">
        <v>1345</v>
      </c>
    </row>
    <row r="357" spans="1:1" x14ac:dyDescent="0.45">
      <c r="A357" t="s">
        <v>1346</v>
      </c>
    </row>
    <row r="358" spans="1:1" x14ac:dyDescent="0.45">
      <c r="A358" t="s">
        <v>340</v>
      </c>
    </row>
    <row r="359" spans="1:1" x14ac:dyDescent="0.45">
      <c r="A359" t="s">
        <v>1347</v>
      </c>
    </row>
    <row r="360" spans="1:1" x14ac:dyDescent="0.45">
      <c r="A360" t="s">
        <v>1348</v>
      </c>
    </row>
    <row r="361" spans="1:1" x14ac:dyDescent="0.45">
      <c r="A361" t="s">
        <v>1349</v>
      </c>
    </row>
    <row r="362" spans="1:1" x14ac:dyDescent="0.45">
      <c r="A362" t="s">
        <v>427</v>
      </c>
    </row>
    <row r="363" spans="1:1" x14ac:dyDescent="0.45">
      <c r="A363" t="s">
        <v>1350</v>
      </c>
    </row>
    <row r="364" spans="1:1" x14ac:dyDescent="0.45">
      <c r="A364" t="s">
        <v>1351</v>
      </c>
    </row>
    <row r="365" spans="1:1" x14ac:dyDescent="0.45">
      <c r="A365" t="s">
        <v>1352</v>
      </c>
    </row>
    <row r="366" spans="1:1" x14ac:dyDescent="0.45">
      <c r="A366" t="s">
        <v>1353</v>
      </c>
    </row>
    <row r="367" spans="1:1" x14ac:dyDescent="0.45">
      <c r="A367" t="s">
        <v>212</v>
      </c>
    </row>
    <row r="368" spans="1:1" x14ac:dyDescent="0.45">
      <c r="A368" t="s">
        <v>1354</v>
      </c>
    </row>
    <row r="369" spans="1:1" x14ac:dyDescent="0.45">
      <c r="A369" t="s">
        <v>1355</v>
      </c>
    </row>
    <row r="370" spans="1:1" x14ac:dyDescent="0.45">
      <c r="A370" t="s">
        <v>1356</v>
      </c>
    </row>
    <row r="371" spans="1:1" x14ac:dyDescent="0.45">
      <c r="A371" t="s">
        <v>1357</v>
      </c>
    </row>
    <row r="372" spans="1:1" x14ac:dyDescent="0.45">
      <c r="A372" t="s">
        <v>1358</v>
      </c>
    </row>
    <row r="373" spans="1:1" x14ac:dyDescent="0.45">
      <c r="A373" t="s">
        <v>1359</v>
      </c>
    </row>
    <row r="374" spans="1:1" x14ac:dyDescent="0.45">
      <c r="A374" t="s">
        <v>1360</v>
      </c>
    </row>
    <row r="375" spans="1:1" x14ac:dyDescent="0.45">
      <c r="A375" t="s">
        <v>1361</v>
      </c>
    </row>
    <row r="376" spans="1:1" x14ac:dyDescent="0.45">
      <c r="A376" t="s">
        <v>1362</v>
      </c>
    </row>
    <row r="377" spans="1:1" x14ac:dyDescent="0.45">
      <c r="A377" t="s">
        <v>1363</v>
      </c>
    </row>
    <row r="378" spans="1:1" x14ac:dyDescent="0.45">
      <c r="A378" t="s">
        <v>1364</v>
      </c>
    </row>
    <row r="379" spans="1:1" x14ac:dyDescent="0.45">
      <c r="A379" t="s">
        <v>1365</v>
      </c>
    </row>
    <row r="380" spans="1:1" x14ac:dyDescent="0.45">
      <c r="A380" t="s">
        <v>1366</v>
      </c>
    </row>
    <row r="381" spans="1:1" x14ac:dyDescent="0.45">
      <c r="A381" t="s">
        <v>1367</v>
      </c>
    </row>
    <row r="382" spans="1:1" x14ac:dyDescent="0.45">
      <c r="A382" t="s">
        <v>1368</v>
      </c>
    </row>
    <row r="383" spans="1:1" x14ac:dyDescent="0.45">
      <c r="A383" t="s">
        <v>1369</v>
      </c>
    </row>
    <row r="384" spans="1:1" x14ac:dyDescent="0.45">
      <c r="A384" t="s">
        <v>1370</v>
      </c>
    </row>
    <row r="385" spans="1:1" x14ac:dyDescent="0.45">
      <c r="A385" t="s">
        <v>1371</v>
      </c>
    </row>
    <row r="386" spans="1:1" x14ac:dyDescent="0.45">
      <c r="A386" t="s">
        <v>1372</v>
      </c>
    </row>
    <row r="387" spans="1:1" x14ac:dyDescent="0.45">
      <c r="A387" t="s">
        <v>1373</v>
      </c>
    </row>
    <row r="388" spans="1:1" x14ac:dyDescent="0.45">
      <c r="A388" t="s">
        <v>1374</v>
      </c>
    </row>
    <row r="389" spans="1:1" x14ac:dyDescent="0.45">
      <c r="A389" t="s">
        <v>1375</v>
      </c>
    </row>
    <row r="390" spans="1:1" x14ac:dyDescent="0.45">
      <c r="A390" t="s">
        <v>1376</v>
      </c>
    </row>
    <row r="391" spans="1:1" x14ac:dyDescent="0.45">
      <c r="A391" t="s">
        <v>1377</v>
      </c>
    </row>
    <row r="392" spans="1:1" x14ac:dyDescent="0.45">
      <c r="A392" t="s">
        <v>1378</v>
      </c>
    </row>
    <row r="393" spans="1:1" x14ac:dyDescent="0.45">
      <c r="A393" t="s">
        <v>1379</v>
      </c>
    </row>
    <row r="394" spans="1:1" x14ac:dyDescent="0.45">
      <c r="A394" t="s">
        <v>1380</v>
      </c>
    </row>
    <row r="395" spans="1:1" x14ac:dyDescent="0.45">
      <c r="A395" t="s">
        <v>1381</v>
      </c>
    </row>
    <row r="396" spans="1:1" x14ac:dyDescent="0.45">
      <c r="A396" t="s">
        <v>1382</v>
      </c>
    </row>
    <row r="397" spans="1:1" x14ac:dyDescent="0.45">
      <c r="A397" t="s">
        <v>1383</v>
      </c>
    </row>
    <row r="398" spans="1:1" x14ac:dyDescent="0.45">
      <c r="A398" t="s">
        <v>1384</v>
      </c>
    </row>
    <row r="399" spans="1:1" x14ac:dyDescent="0.45">
      <c r="A399" t="s">
        <v>501</v>
      </c>
    </row>
    <row r="400" spans="1:1" x14ac:dyDescent="0.45">
      <c r="A400" t="s">
        <v>1385</v>
      </c>
    </row>
    <row r="401" spans="1:1" x14ac:dyDescent="0.45">
      <c r="A401" t="s">
        <v>1386</v>
      </c>
    </row>
    <row r="402" spans="1:1" x14ac:dyDescent="0.45">
      <c r="A402" t="s">
        <v>1387</v>
      </c>
    </row>
    <row r="403" spans="1:1" x14ac:dyDescent="0.45">
      <c r="A403" t="s">
        <v>1388</v>
      </c>
    </row>
    <row r="404" spans="1:1" x14ac:dyDescent="0.45">
      <c r="A404" t="s">
        <v>1389</v>
      </c>
    </row>
    <row r="405" spans="1:1" x14ac:dyDescent="0.45">
      <c r="A405" t="s">
        <v>1390</v>
      </c>
    </row>
    <row r="406" spans="1:1" x14ac:dyDescent="0.45">
      <c r="A406" t="s">
        <v>1391</v>
      </c>
    </row>
    <row r="407" spans="1:1" x14ac:dyDescent="0.45">
      <c r="A407" t="s">
        <v>1392</v>
      </c>
    </row>
    <row r="408" spans="1:1" x14ac:dyDescent="0.45">
      <c r="A408" t="s">
        <v>1393</v>
      </c>
    </row>
    <row r="409" spans="1:1" x14ac:dyDescent="0.45">
      <c r="A409" t="s">
        <v>1394</v>
      </c>
    </row>
    <row r="410" spans="1:1" x14ac:dyDescent="0.45">
      <c r="A410" t="s">
        <v>1395</v>
      </c>
    </row>
    <row r="411" spans="1:1" x14ac:dyDescent="0.45">
      <c r="A411" t="s">
        <v>1396</v>
      </c>
    </row>
    <row r="412" spans="1:1" x14ac:dyDescent="0.45">
      <c r="A412" t="s">
        <v>1397</v>
      </c>
    </row>
    <row r="413" spans="1:1" x14ac:dyDescent="0.45">
      <c r="A413" t="s">
        <v>1398</v>
      </c>
    </row>
    <row r="414" spans="1:1" x14ac:dyDescent="0.45">
      <c r="A414" t="s">
        <v>1399</v>
      </c>
    </row>
    <row r="415" spans="1:1" x14ac:dyDescent="0.45">
      <c r="A415" t="s">
        <v>1400</v>
      </c>
    </row>
    <row r="416" spans="1:1" x14ac:dyDescent="0.45">
      <c r="A416" t="s">
        <v>676</v>
      </c>
    </row>
    <row r="417" spans="1:1" x14ac:dyDescent="0.45">
      <c r="A417" t="s">
        <v>1401</v>
      </c>
    </row>
    <row r="418" spans="1:1" x14ac:dyDescent="0.45">
      <c r="A418" t="s">
        <v>740</v>
      </c>
    </row>
    <row r="419" spans="1:1" x14ac:dyDescent="0.45">
      <c r="A419" t="s">
        <v>1402</v>
      </c>
    </row>
    <row r="420" spans="1:1" x14ac:dyDescent="0.45">
      <c r="A420" t="s">
        <v>1403</v>
      </c>
    </row>
    <row r="421" spans="1:1" x14ac:dyDescent="0.45">
      <c r="A421" t="s">
        <v>1404</v>
      </c>
    </row>
    <row r="422" spans="1:1" x14ac:dyDescent="0.45">
      <c r="A422" t="s">
        <v>1405</v>
      </c>
    </row>
    <row r="423" spans="1:1" x14ac:dyDescent="0.45">
      <c r="A423" t="s">
        <v>1406</v>
      </c>
    </row>
    <row r="424" spans="1:1" x14ac:dyDescent="0.45">
      <c r="A424" t="s">
        <v>1407</v>
      </c>
    </row>
    <row r="425" spans="1:1" x14ac:dyDescent="0.45">
      <c r="A425" t="s">
        <v>1408</v>
      </c>
    </row>
    <row r="426" spans="1:1" x14ac:dyDescent="0.45">
      <c r="A426" t="s">
        <v>1409</v>
      </c>
    </row>
    <row r="427" spans="1:1" x14ac:dyDescent="0.45">
      <c r="A427" t="s">
        <v>1410</v>
      </c>
    </row>
    <row r="428" spans="1:1" x14ac:dyDescent="0.45">
      <c r="A428" t="s">
        <v>1411</v>
      </c>
    </row>
    <row r="429" spans="1:1" x14ac:dyDescent="0.45">
      <c r="A429" t="s">
        <v>1412</v>
      </c>
    </row>
    <row r="430" spans="1:1" x14ac:dyDescent="0.45">
      <c r="A430" t="s">
        <v>1413</v>
      </c>
    </row>
    <row r="431" spans="1:1" x14ac:dyDescent="0.45">
      <c r="A431" t="s">
        <v>1414</v>
      </c>
    </row>
    <row r="432" spans="1:1" x14ac:dyDescent="0.45">
      <c r="A432" t="s">
        <v>1415</v>
      </c>
    </row>
    <row r="433" spans="1:1" x14ac:dyDescent="0.45">
      <c r="A433" t="s">
        <v>1416</v>
      </c>
    </row>
    <row r="434" spans="1:1" x14ac:dyDescent="0.45">
      <c r="A434" t="s">
        <v>1417</v>
      </c>
    </row>
    <row r="435" spans="1:1" x14ac:dyDescent="0.45">
      <c r="A435" t="s">
        <v>1418</v>
      </c>
    </row>
    <row r="436" spans="1:1" x14ac:dyDescent="0.45">
      <c r="A436" t="s">
        <v>1419</v>
      </c>
    </row>
    <row r="437" spans="1:1" x14ac:dyDescent="0.45">
      <c r="A437" t="s">
        <v>1420</v>
      </c>
    </row>
    <row r="438" spans="1:1" x14ac:dyDescent="0.45">
      <c r="A438" t="s">
        <v>1421</v>
      </c>
    </row>
    <row r="439" spans="1:1" x14ac:dyDescent="0.45">
      <c r="A439" t="s">
        <v>1422</v>
      </c>
    </row>
    <row r="440" spans="1:1" x14ac:dyDescent="0.45">
      <c r="A440" t="s">
        <v>1423</v>
      </c>
    </row>
    <row r="441" spans="1:1" x14ac:dyDescent="0.45">
      <c r="A441" t="s">
        <v>1424</v>
      </c>
    </row>
    <row r="442" spans="1:1" x14ac:dyDescent="0.45">
      <c r="A442" t="s">
        <v>578</v>
      </c>
    </row>
    <row r="443" spans="1:1" x14ac:dyDescent="0.45">
      <c r="A443" t="s">
        <v>1425</v>
      </c>
    </row>
    <row r="444" spans="1:1" x14ac:dyDescent="0.45">
      <c r="A444" t="s">
        <v>1426</v>
      </c>
    </row>
    <row r="445" spans="1:1" x14ac:dyDescent="0.45">
      <c r="A445" t="s">
        <v>1427</v>
      </c>
    </row>
    <row r="446" spans="1:1" x14ac:dyDescent="0.45">
      <c r="A446" t="s">
        <v>1428</v>
      </c>
    </row>
    <row r="447" spans="1:1" x14ac:dyDescent="0.45">
      <c r="A447" t="s">
        <v>1429</v>
      </c>
    </row>
    <row r="448" spans="1:1" x14ac:dyDescent="0.45">
      <c r="A448" t="s">
        <v>1430</v>
      </c>
    </row>
    <row r="449" spans="1:1" x14ac:dyDescent="0.45">
      <c r="A449" t="s">
        <v>1431</v>
      </c>
    </row>
    <row r="450" spans="1:1" x14ac:dyDescent="0.45">
      <c r="A450" t="s">
        <v>1432</v>
      </c>
    </row>
    <row r="451" spans="1:1" x14ac:dyDescent="0.45">
      <c r="A451" t="s">
        <v>1433</v>
      </c>
    </row>
    <row r="452" spans="1:1" x14ac:dyDescent="0.45">
      <c r="A452" t="s">
        <v>431</v>
      </c>
    </row>
    <row r="453" spans="1:1" x14ac:dyDescent="0.45">
      <c r="A453" t="s">
        <v>608</v>
      </c>
    </row>
    <row r="454" spans="1:1" x14ac:dyDescent="0.45">
      <c r="A454" t="s">
        <v>1434</v>
      </c>
    </row>
    <row r="455" spans="1:1" x14ac:dyDescent="0.45">
      <c r="A455" t="s">
        <v>1435</v>
      </c>
    </row>
    <row r="456" spans="1:1" x14ac:dyDescent="0.45">
      <c r="A456" t="s">
        <v>1436</v>
      </c>
    </row>
    <row r="457" spans="1:1" x14ac:dyDescent="0.45">
      <c r="A457" t="s">
        <v>310</v>
      </c>
    </row>
    <row r="458" spans="1:1" x14ac:dyDescent="0.45">
      <c r="A458" t="s">
        <v>1437</v>
      </c>
    </row>
    <row r="459" spans="1:1" x14ac:dyDescent="0.45">
      <c r="A459" t="s">
        <v>1438</v>
      </c>
    </row>
    <row r="460" spans="1:1" x14ac:dyDescent="0.45">
      <c r="A460" t="s">
        <v>1439</v>
      </c>
    </row>
    <row r="461" spans="1:1" x14ac:dyDescent="0.45">
      <c r="A461" t="s">
        <v>1440</v>
      </c>
    </row>
    <row r="462" spans="1:1" x14ac:dyDescent="0.45">
      <c r="A462" t="s">
        <v>1441</v>
      </c>
    </row>
    <row r="463" spans="1:1" x14ac:dyDescent="0.45">
      <c r="A463" t="s">
        <v>1442</v>
      </c>
    </row>
    <row r="464" spans="1:1" x14ac:dyDescent="0.45">
      <c r="A464" t="s">
        <v>1443</v>
      </c>
    </row>
    <row r="465" spans="1:1" x14ac:dyDescent="0.45">
      <c r="A465" t="s">
        <v>1444</v>
      </c>
    </row>
    <row r="466" spans="1:1" x14ac:dyDescent="0.45">
      <c r="A466" t="s">
        <v>1445</v>
      </c>
    </row>
    <row r="467" spans="1:1" x14ac:dyDescent="0.45">
      <c r="A467" t="s">
        <v>1446</v>
      </c>
    </row>
    <row r="468" spans="1:1" x14ac:dyDescent="0.45">
      <c r="A468" t="s">
        <v>1447</v>
      </c>
    </row>
    <row r="469" spans="1:1" x14ac:dyDescent="0.45">
      <c r="A469" t="s">
        <v>598</v>
      </c>
    </row>
    <row r="470" spans="1:1" x14ac:dyDescent="0.45">
      <c r="A470" t="s">
        <v>1448</v>
      </c>
    </row>
    <row r="471" spans="1:1" x14ac:dyDescent="0.45">
      <c r="A471" t="s">
        <v>1449</v>
      </c>
    </row>
    <row r="472" spans="1:1" x14ac:dyDescent="0.45">
      <c r="A472" t="s">
        <v>1450</v>
      </c>
    </row>
    <row r="473" spans="1:1" x14ac:dyDescent="0.45">
      <c r="A473" t="s">
        <v>1451</v>
      </c>
    </row>
    <row r="474" spans="1:1" x14ac:dyDescent="0.45">
      <c r="A474" t="s">
        <v>1452</v>
      </c>
    </row>
    <row r="475" spans="1:1" x14ac:dyDescent="0.45">
      <c r="A475" t="s">
        <v>1453</v>
      </c>
    </row>
    <row r="476" spans="1:1" x14ac:dyDescent="0.45">
      <c r="A476" t="s">
        <v>1454</v>
      </c>
    </row>
    <row r="477" spans="1:1" x14ac:dyDescent="0.45">
      <c r="A477" t="s">
        <v>1455</v>
      </c>
    </row>
    <row r="478" spans="1:1" x14ac:dyDescent="0.45">
      <c r="A478" t="s">
        <v>1456</v>
      </c>
    </row>
    <row r="479" spans="1:1" x14ac:dyDescent="0.45">
      <c r="A479" t="s">
        <v>1457</v>
      </c>
    </row>
    <row r="480" spans="1:1" x14ac:dyDescent="0.45">
      <c r="A480" t="s">
        <v>1458</v>
      </c>
    </row>
    <row r="481" spans="1:1" x14ac:dyDescent="0.45">
      <c r="A481" t="s">
        <v>1459</v>
      </c>
    </row>
    <row r="482" spans="1:1" x14ac:dyDescent="0.45">
      <c r="A482" t="s">
        <v>1460</v>
      </c>
    </row>
    <row r="483" spans="1:1" x14ac:dyDescent="0.45">
      <c r="A483" t="s">
        <v>1461</v>
      </c>
    </row>
    <row r="484" spans="1:1" x14ac:dyDescent="0.45">
      <c r="A484" t="s">
        <v>1462</v>
      </c>
    </row>
    <row r="485" spans="1:1" x14ac:dyDescent="0.45">
      <c r="A485" t="s">
        <v>1463</v>
      </c>
    </row>
    <row r="486" spans="1:1" x14ac:dyDescent="0.45">
      <c r="A486" t="s">
        <v>1464</v>
      </c>
    </row>
    <row r="487" spans="1:1" x14ac:dyDescent="0.45">
      <c r="A487" t="s">
        <v>1465</v>
      </c>
    </row>
    <row r="488" spans="1:1" x14ac:dyDescent="0.45">
      <c r="A488" t="s">
        <v>1466</v>
      </c>
    </row>
    <row r="489" spans="1:1" x14ac:dyDescent="0.45">
      <c r="A489" t="s">
        <v>1467</v>
      </c>
    </row>
    <row r="490" spans="1:1" x14ac:dyDescent="0.45">
      <c r="A490" t="s">
        <v>1468</v>
      </c>
    </row>
    <row r="491" spans="1:1" x14ac:dyDescent="0.45">
      <c r="A491" t="s">
        <v>1469</v>
      </c>
    </row>
    <row r="492" spans="1:1" x14ac:dyDescent="0.45">
      <c r="A492" t="s">
        <v>1470</v>
      </c>
    </row>
    <row r="493" spans="1:1" x14ac:dyDescent="0.45">
      <c r="A493" t="s">
        <v>452</v>
      </c>
    </row>
    <row r="494" spans="1:1" x14ac:dyDescent="0.45">
      <c r="A494" t="s">
        <v>1471</v>
      </c>
    </row>
    <row r="495" spans="1:1" x14ac:dyDescent="0.45">
      <c r="A495" t="s">
        <v>1472</v>
      </c>
    </row>
    <row r="496" spans="1:1" x14ac:dyDescent="0.45">
      <c r="A496" t="s">
        <v>1473</v>
      </c>
    </row>
    <row r="497" spans="1:1" x14ac:dyDescent="0.45">
      <c r="A497" t="s">
        <v>642</v>
      </c>
    </row>
    <row r="498" spans="1:1" x14ac:dyDescent="0.45">
      <c r="A498" t="s">
        <v>1474</v>
      </c>
    </row>
    <row r="499" spans="1:1" x14ac:dyDescent="0.45">
      <c r="A499" t="s">
        <v>1475</v>
      </c>
    </row>
    <row r="500" spans="1:1" x14ac:dyDescent="0.45">
      <c r="A500" t="s">
        <v>1476</v>
      </c>
    </row>
    <row r="501" spans="1:1" x14ac:dyDescent="0.45">
      <c r="A501" t="s">
        <v>1477</v>
      </c>
    </row>
    <row r="502" spans="1:1" x14ac:dyDescent="0.45">
      <c r="A502" t="s">
        <v>1478</v>
      </c>
    </row>
    <row r="503" spans="1:1" x14ac:dyDescent="0.45">
      <c r="A503" t="s">
        <v>1479</v>
      </c>
    </row>
    <row r="504" spans="1:1" x14ac:dyDescent="0.45">
      <c r="A504" t="s">
        <v>1480</v>
      </c>
    </row>
    <row r="505" spans="1:1" x14ac:dyDescent="0.45">
      <c r="A505" t="s">
        <v>1481</v>
      </c>
    </row>
    <row r="506" spans="1:1" x14ac:dyDescent="0.45">
      <c r="A506" t="s">
        <v>1482</v>
      </c>
    </row>
    <row r="507" spans="1:1" x14ac:dyDescent="0.45">
      <c r="A507" t="s">
        <v>1483</v>
      </c>
    </row>
    <row r="508" spans="1:1" x14ac:dyDescent="0.45">
      <c r="A508" t="s">
        <v>1484</v>
      </c>
    </row>
    <row r="509" spans="1:1" x14ac:dyDescent="0.45">
      <c r="A509" t="s">
        <v>1485</v>
      </c>
    </row>
    <row r="510" spans="1:1" x14ac:dyDescent="0.45">
      <c r="A510" t="s">
        <v>1486</v>
      </c>
    </row>
    <row r="511" spans="1:1" x14ac:dyDescent="0.45">
      <c r="A511" t="s">
        <v>1487</v>
      </c>
    </row>
    <row r="512" spans="1:1" x14ac:dyDescent="0.45">
      <c r="A512" t="s">
        <v>1488</v>
      </c>
    </row>
    <row r="513" spans="1:1" x14ac:dyDescent="0.45">
      <c r="A513" t="s">
        <v>1489</v>
      </c>
    </row>
    <row r="514" spans="1:1" x14ac:dyDescent="0.45">
      <c r="A514" t="s">
        <v>1490</v>
      </c>
    </row>
    <row r="515" spans="1:1" x14ac:dyDescent="0.45">
      <c r="A515" t="s">
        <v>1491</v>
      </c>
    </row>
    <row r="516" spans="1:1" x14ac:dyDescent="0.45">
      <c r="A516" t="s">
        <v>1492</v>
      </c>
    </row>
    <row r="517" spans="1:1" x14ac:dyDescent="0.45">
      <c r="A517" t="s">
        <v>1493</v>
      </c>
    </row>
    <row r="518" spans="1:1" x14ac:dyDescent="0.45">
      <c r="A518" t="s">
        <v>1494</v>
      </c>
    </row>
    <row r="519" spans="1:1" x14ac:dyDescent="0.45">
      <c r="A519" t="s">
        <v>1495</v>
      </c>
    </row>
    <row r="520" spans="1:1" x14ac:dyDescent="0.45">
      <c r="A520" t="s">
        <v>1496</v>
      </c>
    </row>
    <row r="521" spans="1:1" x14ac:dyDescent="0.45">
      <c r="A521" t="s">
        <v>1497</v>
      </c>
    </row>
    <row r="522" spans="1:1" x14ac:dyDescent="0.45">
      <c r="A522" t="s">
        <v>1498</v>
      </c>
    </row>
    <row r="523" spans="1:1" x14ac:dyDescent="0.45">
      <c r="A523" t="s">
        <v>1499</v>
      </c>
    </row>
    <row r="524" spans="1:1" x14ac:dyDescent="0.45">
      <c r="A524" t="s">
        <v>1500</v>
      </c>
    </row>
    <row r="525" spans="1:1" x14ac:dyDescent="0.45">
      <c r="A525" t="s">
        <v>1501</v>
      </c>
    </row>
    <row r="526" spans="1:1" x14ac:dyDescent="0.45">
      <c r="A526" t="s">
        <v>1502</v>
      </c>
    </row>
    <row r="527" spans="1:1" x14ac:dyDescent="0.45">
      <c r="A527" t="s">
        <v>1503</v>
      </c>
    </row>
    <row r="528" spans="1:1" x14ac:dyDescent="0.45">
      <c r="A528" t="s">
        <v>1504</v>
      </c>
    </row>
    <row r="529" spans="1:1" x14ac:dyDescent="0.45">
      <c r="A529" t="s">
        <v>1505</v>
      </c>
    </row>
    <row r="530" spans="1:1" x14ac:dyDescent="0.45">
      <c r="A530" t="s">
        <v>1506</v>
      </c>
    </row>
    <row r="531" spans="1:1" x14ac:dyDescent="0.45">
      <c r="A531" t="s">
        <v>663</v>
      </c>
    </row>
    <row r="532" spans="1:1" x14ac:dyDescent="0.45">
      <c r="A532" t="s">
        <v>1507</v>
      </c>
    </row>
    <row r="533" spans="1:1" x14ac:dyDescent="0.45">
      <c r="A533" t="s">
        <v>1508</v>
      </c>
    </row>
    <row r="534" spans="1:1" x14ac:dyDescent="0.45">
      <c r="A534" t="s">
        <v>1509</v>
      </c>
    </row>
    <row r="535" spans="1:1" x14ac:dyDescent="0.45">
      <c r="A535" t="s">
        <v>1510</v>
      </c>
    </row>
    <row r="536" spans="1:1" x14ac:dyDescent="0.45">
      <c r="A536" t="s">
        <v>1511</v>
      </c>
    </row>
    <row r="537" spans="1:1" x14ac:dyDescent="0.45">
      <c r="A537" t="s">
        <v>1512</v>
      </c>
    </row>
    <row r="538" spans="1:1" x14ac:dyDescent="0.45">
      <c r="A538" t="s">
        <v>1513</v>
      </c>
    </row>
    <row r="539" spans="1:1" x14ac:dyDescent="0.45">
      <c r="A539" t="s">
        <v>1514</v>
      </c>
    </row>
    <row r="540" spans="1:1" x14ac:dyDescent="0.45">
      <c r="A540" t="s">
        <v>1515</v>
      </c>
    </row>
    <row r="541" spans="1:1" x14ac:dyDescent="0.45">
      <c r="A541" t="s">
        <v>1516</v>
      </c>
    </row>
    <row r="542" spans="1:1" x14ac:dyDescent="0.45">
      <c r="A542" t="s">
        <v>1517</v>
      </c>
    </row>
    <row r="543" spans="1:1" x14ac:dyDescent="0.45">
      <c r="A543" t="s">
        <v>616</v>
      </c>
    </row>
    <row r="544" spans="1:1" x14ac:dyDescent="0.45">
      <c r="A544" t="s">
        <v>1518</v>
      </c>
    </row>
    <row r="545" spans="1:1" x14ac:dyDescent="0.45">
      <c r="A545" t="s">
        <v>1519</v>
      </c>
    </row>
    <row r="546" spans="1:1" x14ac:dyDescent="0.45">
      <c r="A546" t="s">
        <v>1520</v>
      </c>
    </row>
    <row r="547" spans="1:1" x14ac:dyDescent="0.45">
      <c r="A547" t="s">
        <v>1521</v>
      </c>
    </row>
    <row r="548" spans="1:1" x14ac:dyDescent="0.45">
      <c r="A548" t="s">
        <v>1522</v>
      </c>
    </row>
    <row r="549" spans="1:1" x14ac:dyDescent="0.45">
      <c r="A549" t="s">
        <v>482</v>
      </c>
    </row>
    <row r="550" spans="1:1" x14ac:dyDescent="0.45">
      <c r="A550" t="s">
        <v>614</v>
      </c>
    </row>
    <row r="551" spans="1:1" x14ac:dyDescent="0.45">
      <c r="A551" t="s">
        <v>610</v>
      </c>
    </row>
    <row r="552" spans="1:1" x14ac:dyDescent="0.45">
      <c r="A552" t="s">
        <v>1523</v>
      </c>
    </row>
    <row r="553" spans="1:1" x14ac:dyDescent="0.45">
      <c r="A553" t="s">
        <v>1524</v>
      </c>
    </row>
    <row r="554" spans="1:1" x14ac:dyDescent="0.45">
      <c r="A554" t="s">
        <v>1525</v>
      </c>
    </row>
    <row r="555" spans="1:1" x14ac:dyDescent="0.45">
      <c r="A555" t="s">
        <v>1526</v>
      </c>
    </row>
    <row r="556" spans="1:1" x14ac:dyDescent="0.45">
      <c r="A556" t="s">
        <v>1527</v>
      </c>
    </row>
    <row r="557" spans="1:1" x14ac:dyDescent="0.45">
      <c r="A557" t="s">
        <v>1528</v>
      </c>
    </row>
    <row r="558" spans="1:1" x14ac:dyDescent="0.45">
      <c r="A558" t="s">
        <v>1529</v>
      </c>
    </row>
    <row r="559" spans="1:1" x14ac:dyDescent="0.45">
      <c r="A559" t="s">
        <v>1530</v>
      </c>
    </row>
    <row r="560" spans="1:1" x14ac:dyDescent="0.45">
      <c r="A560" t="s">
        <v>1531</v>
      </c>
    </row>
    <row r="561" spans="1:1" x14ac:dyDescent="0.45">
      <c r="A561" t="s">
        <v>1532</v>
      </c>
    </row>
    <row r="562" spans="1:1" x14ac:dyDescent="0.45">
      <c r="A562" t="s">
        <v>1533</v>
      </c>
    </row>
    <row r="563" spans="1:1" x14ac:dyDescent="0.45">
      <c r="A563" t="s">
        <v>1534</v>
      </c>
    </row>
    <row r="564" spans="1:1" x14ac:dyDescent="0.45">
      <c r="A564" t="s">
        <v>1535</v>
      </c>
    </row>
    <row r="565" spans="1:1" x14ac:dyDescent="0.45">
      <c r="A565" t="s">
        <v>1536</v>
      </c>
    </row>
    <row r="566" spans="1:1" x14ac:dyDescent="0.45">
      <c r="A566" t="s">
        <v>1537</v>
      </c>
    </row>
    <row r="567" spans="1:1" x14ac:dyDescent="0.45">
      <c r="A567" t="s">
        <v>1538</v>
      </c>
    </row>
    <row r="568" spans="1:1" x14ac:dyDescent="0.45">
      <c r="A568" t="s">
        <v>1539</v>
      </c>
    </row>
    <row r="569" spans="1:1" x14ac:dyDescent="0.45">
      <c r="A569" t="s">
        <v>1540</v>
      </c>
    </row>
    <row r="570" spans="1:1" x14ac:dyDescent="0.45">
      <c r="A570" t="s">
        <v>1541</v>
      </c>
    </row>
    <row r="571" spans="1:1" x14ac:dyDescent="0.45">
      <c r="A571" t="s">
        <v>1542</v>
      </c>
    </row>
    <row r="572" spans="1:1" x14ac:dyDescent="0.45">
      <c r="A572" t="s">
        <v>1543</v>
      </c>
    </row>
    <row r="573" spans="1:1" x14ac:dyDescent="0.45">
      <c r="A573" t="s">
        <v>1544</v>
      </c>
    </row>
    <row r="574" spans="1:1" x14ac:dyDescent="0.45">
      <c r="A574" t="s">
        <v>1545</v>
      </c>
    </row>
    <row r="575" spans="1:1" x14ac:dyDescent="0.45">
      <c r="A575" t="s">
        <v>453</v>
      </c>
    </row>
    <row r="576" spans="1:1" x14ac:dyDescent="0.45">
      <c r="A576" t="s">
        <v>1546</v>
      </c>
    </row>
    <row r="577" spans="1:1" x14ac:dyDescent="0.45">
      <c r="A577" t="s">
        <v>1547</v>
      </c>
    </row>
    <row r="578" spans="1:1" x14ac:dyDescent="0.45">
      <c r="A578" t="s">
        <v>1548</v>
      </c>
    </row>
    <row r="579" spans="1:1" x14ac:dyDescent="0.45">
      <c r="A579" t="s">
        <v>1549</v>
      </c>
    </row>
    <row r="580" spans="1:1" x14ac:dyDescent="0.45">
      <c r="A580" t="s">
        <v>1550</v>
      </c>
    </row>
    <row r="581" spans="1:1" x14ac:dyDescent="0.45">
      <c r="A581" t="s">
        <v>1551</v>
      </c>
    </row>
    <row r="582" spans="1:1" x14ac:dyDescent="0.45">
      <c r="A582" t="s">
        <v>1552</v>
      </c>
    </row>
    <row r="583" spans="1:1" x14ac:dyDescent="0.45">
      <c r="A583" t="s">
        <v>1553</v>
      </c>
    </row>
    <row r="584" spans="1:1" x14ac:dyDescent="0.45">
      <c r="A584" t="s">
        <v>1554</v>
      </c>
    </row>
    <row r="585" spans="1:1" x14ac:dyDescent="0.45">
      <c r="A585" t="s">
        <v>314</v>
      </c>
    </row>
    <row r="586" spans="1:1" x14ac:dyDescent="0.45">
      <c r="A586" t="s">
        <v>199</v>
      </c>
    </row>
    <row r="587" spans="1:1" x14ac:dyDescent="0.45">
      <c r="A587" t="s">
        <v>320</v>
      </c>
    </row>
    <row r="588" spans="1:1" x14ac:dyDescent="0.45">
      <c r="A588" t="s">
        <v>1555</v>
      </c>
    </row>
    <row r="589" spans="1:1" x14ac:dyDescent="0.45">
      <c r="A589" t="s">
        <v>1556</v>
      </c>
    </row>
    <row r="590" spans="1:1" x14ac:dyDescent="0.45">
      <c r="A590" t="s">
        <v>1557</v>
      </c>
    </row>
    <row r="591" spans="1:1" x14ac:dyDescent="0.45">
      <c r="A591" t="s">
        <v>208</v>
      </c>
    </row>
    <row r="592" spans="1:1" x14ac:dyDescent="0.45">
      <c r="A592" t="s">
        <v>1558</v>
      </c>
    </row>
    <row r="593" spans="1:1" x14ac:dyDescent="0.45">
      <c r="A593" t="s">
        <v>1559</v>
      </c>
    </row>
    <row r="594" spans="1:1" x14ac:dyDescent="0.45">
      <c r="A594" t="s">
        <v>1560</v>
      </c>
    </row>
    <row r="595" spans="1:1" x14ac:dyDescent="0.45">
      <c r="A595" t="s">
        <v>1561</v>
      </c>
    </row>
    <row r="596" spans="1:1" x14ac:dyDescent="0.45">
      <c r="A596" t="s">
        <v>1562</v>
      </c>
    </row>
    <row r="597" spans="1:1" x14ac:dyDescent="0.45">
      <c r="A597" t="s">
        <v>1563</v>
      </c>
    </row>
    <row r="598" spans="1:1" x14ac:dyDescent="0.45">
      <c r="A598" t="s">
        <v>1564</v>
      </c>
    </row>
    <row r="599" spans="1:1" x14ac:dyDescent="0.45">
      <c r="A599" t="s">
        <v>1565</v>
      </c>
    </row>
    <row r="600" spans="1:1" x14ac:dyDescent="0.45">
      <c r="A600" t="s">
        <v>1566</v>
      </c>
    </row>
    <row r="601" spans="1:1" x14ac:dyDescent="0.45">
      <c r="A601" t="s">
        <v>1567</v>
      </c>
    </row>
    <row r="602" spans="1:1" x14ac:dyDescent="0.45">
      <c r="A602" t="s">
        <v>1568</v>
      </c>
    </row>
    <row r="603" spans="1:1" x14ac:dyDescent="0.45">
      <c r="A603" t="s">
        <v>1569</v>
      </c>
    </row>
    <row r="604" spans="1:1" x14ac:dyDescent="0.45">
      <c r="A604" t="s">
        <v>1570</v>
      </c>
    </row>
    <row r="605" spans="1:1" x14ac:dyDescent="0.45">
      <c r="A605" t="s">
        <v>1571</v>
      </c>
    </row>
    <row r="606" spans="1:1" x14ac:dyDescent="0.45">
      <c r="A606" t="s">
        <v>1572</v>
      </c>
    </row>
    <row r="607" spans="1:1" x14ac:dyDescent="0.45">
      <c r="A607" t="s">
        <v>1573</v>
      </c>
    </row>
    <row r="608" spans="1:1" x14ac:dyDescent="0.45">
      <c r="A608" t="s">
        <v>1574</v>
      </c>
    </row>
    <row r="609" spans="1:1" x14ac:dyDescent="0.45">
      <c r="A609" t="s">
        <v>354</v>
      </c>
    </row>
    <row r="610" spans="1:1" x14ac:dyDescent="0.45">
      <c r="A610" t="s">
        <v>1575</v>
      </c>
    </row>
    <row r="611" spans="1:1" x14ac:dyDescent="0.45">
      <c r="A611" t="s">
        <v>1576</v>
      </c>
    </row>
    <row r="612" spans="1:1" x14ac:dyDescent="0.45">
      <c r="A612" t="s">
        <v>450</v>
      </c>
    </row>
    <row r="613" spans="1:1" x14ac:dyDescent="0.45">
      <c r="A613" t="s">
        <v>1577</v>
      </c>
    </row>
    <row r="614" spans="1:1" x14ac:dyDescent="0.45">
      <c r="A614" t="s">
        <v>1578</v>
      </c>
    </row>
    <row r="615" spans="1:1" x14ac:dyDescent="0.45">
      <c r="A615" t="s">
        <v>652</v>
      </c>
    </row>
    <row r="616" spans="1:1" x14ac:dyDescent="0.45">
      <c r="A616" t="s">
        <v>1579</v>
      </c>
    </row>
    <row r="617" spans="1:1" x14ac:dyDescent="0.45">
      <c r="A617" t="s">
        <v>1580</v>
      </c>
    </row>
    <row r="618" spans="1:1" x14ac:dyDescent="0.45">
      <c r="A618" t="s">
        <v>1581</v>
      </c>
    </row>
    <row r="619" spans="1:1" x14ac:dyDescent="0.45">
      <c r="A619" t="s">
        <v>1582</v>
      </c>
    </row>
    <row r="620" spans="1:1" x14ac:dyDescent="0.45">
      <c r="A620" t="s">
        <v>1583</v>
      </c>
    </row>
    <row r="621" spans="1:1" x14ac:dyDescent="0.45">
      <c r="A621" t="s">
        <v>1584</v>
      </c>
    </row>
    <row r="622" spans="1:1" x14ac:dyDescent="0.45">
      <c r="A622" t="s">
        <v>729</v>
      </c>
    </row>
    <row r="623" spans="1:1" x14ac:dyDescent="0.45">
      <c r="A623" t="s">
        <v>1585</v>
      </c>
    </row>
    <row r="624" spans="1:1" x14ac:dyDescent="0.45">
      <c r="A624" t="s">
        <v>1586</v>
      </c>
    </row>
    <row r="625" spans="1:1" x14ac:dyDescent="0.45">
      <c r="A625" t="s">
        <v>404</v>
      </c>
    </row>
    <row r="626" spans="1:1" x14ac:dyDescent="0.45">
      <c r="A626" t="s">
        <v>1587</v>
      </c>
    </row>
    <row r="627" spans="1:1" x14ac:dyDescent="0.45">
      <c r="A627" t="s">
        <v>1588</v>
      </c>
    </row>
    <row r="628" spans="1:1" x14ac:dyDescent="0.45">
      <c r="A628" t="s">
        <v>1589</v>
      </c>
    </row>
    <row r="629" spans="1:1" x14ac:dyDescent="0.45">
      <c r="A629" t="s">
        <v>1590</v>
      </c>
    </row>
    <row r="630" spans="1:1" x14ac:dyDescent="0.45">
      <c r="A630" t="s">
        <v>1591</v>
      </c>
    </row>
    <row r="631" spans="1:1" x14ac:dyDescent="0.45">
      <c r="A631" t="s">
        <v>1592</v>
      </c>
    </row>
    <row r="632" spans="1:1" x14ac:dyDescent="0.45">
      <c r="A632" t="s">
        <v>1593</v>
      </c>
    </row>
    <row r="633" spans="1:1" x14ac:dyDescent="0.45">
      <c r="A633" t="s">
        <v>1594</v>
      </c>
    </row>
    <row r="634" spans="1:1" x14ac:dyDescent="0.45">
      <c r="A634" t="s">
        <v>388</v>
      </c>
    </row>
    <row r="635" spans="1:1" x14ac:dyDescent="0.45">
      <c r="A635" t="s">
        <v>1595</v>
      </c>
    </row>
    <row r="636" spans="1:1" x14ac:dyDescent="0.45">
      <c r="A636" t="s">
        <v>1596</v>
      </c>
    </row>
    <row r="637" spans="1:1" x14ac:dyDescent="0.45">
      <c r="A637" t="s">
        <v>1597</v>
      </c>
    </row>
    <row r="638" spans="1:1" x14ac:dyDescent="0.45">
      <c r="A638" t="s">
        <v>1598</v>
      </c>
    </row>
    <row r="639" spans="1:1" x14ac:dyDescent="0.45">
      <c r="A639" t="s">
        <v>1599</v>
      </c>
    </row>
    <row r="640" spans="1:1" x14ac:dyDescent="0.45">
      <c r="A640" t="s">
        <v>1600</v>
      </c>
    </row>
    <row r="641" spans="1:1" x14ac:dyDescent="0.45">
      <c r="A641" t="s">
        <v>1601</v>
      </c>
    </row>
    <row r="642" spans="1:1" x14ac:dyDescent="0.45">
      <c r="A642" t="s">
        <v>1602</v>
      </c>
    </row>
    <row r="643" spans="1:1" x14ac:dyDescent="0.45">
      <c r="A643" t="s">
        <v>1603</v>
      </c>
    </row>
    <row r="644" spans="1:1" x14ac:dyDescent="0.45">
      <c r="A644" t="s">
        <v>1604</v>
      </c>
    </row>
    <row r="645" spans="1:1" x14ac:dyDescent="0.45">
      <c r="A645" t="s">
        <v>1605</v>
      </c>
    </row>
    <row r="646" spans="1:1" x14ac:dyDescent="0.45">
      <c r="A646" t="s">
        <v>1606</v>
      </c>
    </row>
    <row r="647" spans="1:1" x14ac:dyDescent="0.45">
      <c r="A647" t="s">
        <v>1607</v>
      </c>
    </row>
    <row r="648" spans="1:1" x14ac:dyDescent="0.45">
      <c r="A648" t="s">
        <v>1608</v>
      </c>
    </row>
    <row r="649" spans="1:1" x14ac:dyDescent="0.45">
      <c r="A649" t="s">
        <v>335</v>
      </c>
    </row>
    <row r="650" spans="1:1" x14ac:dyDescent="0.45">
      <c r="A650" t="s">
        <v>1609</v>
      </c>
    </row>
    <row r="651" spans="1:1" x14ac:dyDescent="0.45">
      <c r="A651" t="s">
        <v>1610</v>
      </c>
    </row>
    <row r="652" spans="1:1" x14ac:dyDescent="0.45">
      <c r="A652" t="s">
        <v>1611</v>
      </c>
    </row>
    <row r="653" spans="1:1" x14ac:dyDescent="0.45">
      <c r="A653" t="s">
        <v>1612</v>
      </c>
    </row>
    <row r="654" spans="1:1" x14ac:dyDescent="0.45">
      <c r="A654" t="s">
        <v>1613</v>
      </c>
    </row>
    <row r="655" spans="1:1" x14ac:dyDescent="0.45">
      <c r="A655" t="s">
        <v>1614</v>
      </c>
    </row>
    <row r="656" spans="1:1" x14ac:dyDescent="0.45">
      <c r="A656" t="s">
        <v>1615</v>
      </c>
    </row>
    <row r="657" spans="1:1" x14ac:dyDescent="0.45">
      <c r="A657" t="s">
        <v>1616</v>
      </c>
    </row>
    <row r="658" spans="1:1" x14ac:dyDescent="0.45">
      <c r="A658" t="s">
        <v>1617</v>
      </c>
    </row>
    <row r="659" spans="1:1" x14ac:dyDescent="0.45">
      <c r="A659" t="s">
        <v>1618</v>
      </c>
    </row>
    <row r="660" spans="1:1" x14ac:dyDescent="0.45">
      <c r="A660" t="s">
        <v>1619</v>
      </c>
    </row>
    <row r="661" spans="1:1" x14ac:dyDescent="0.45">
      <c r="A661" t="s">
        <v>1620</v>
      </c>
    </row>
    <row r="662" spans="1:1" x14ac:dyDescent="0.45">
      <c r="A662" t="s">
        <v>223</v>
      </c>
    </row>
    <row r="663" spans="1:1" x14ac:dyDescent="0.45">
      <c r="A663" t="s">
        <v>1621</v>
      </c>
    </row>
    <row r="664" spans="1:1" x14ac:dyDescent="0.45">
      <c r="A664" t="s">
        <v>1622</v>
      </c>
    </row>
    <row r="665" spans="1:1" x14ac:dyDescent="0.45">
      <c r="A665" t="s">
        <v>1623</v>
      </c>
    </row>
    <row r="666" spans="1:1" x14ac:dyDescent="0.45">
      <c r="A666" t="s">
        <v>1624</v>
      </c>
    </row>
    <row r="667" spans="1:1" x14ac:dyDescent="0.45">
      <c r="A667" t="s">
        <v>754</v>
      </c>
    </row>
    <row r="668" spans="1:1" x14ac:dyDescent="0.45">
      <c r="A668" t="s">
        <v>1625</v>
      </c>
    </row>
    <row r="669" spans="1:1" x14ac:dyDescent="0.45">
      <c r="A669" t="s">
        <v>1626</v>
      </c>
    </row>
    <row r="670" spans="1:1" x14ac:dyDescent="0.45">
      <c r="A670" t="s">
        <v>1627</v>
      </c>
    </row>
    <row r="671" spans="1:1" x14ac:dyDescent="0.45">
      <c r="A671" t="s">
        <v>1628</v>
      </c>
    </row>
    <row r="672" spans="1:1" x14ac:dyDescent="0.45">
      <c r="A672" t="s">
        <v>1629</v>
      </c>
    </row>
    <row r="673" spans="1:1" x14ac:dyDescent="0.45">
      <c r="A673" t="s">
        <v>1630</v>
      </c>
    </row>
    <row r="674" spans="1:1" x14ac:dyDescent="0.45">
      <c r="A674" t="s">
        <v>1631</v>
      </c>
    </row>
    <row r="675" spans="1:1" x14ac:dyDescent="0.45">
      <c r="A675" t="s">
        <v>203</v>
      </c>
    </row>
    <row r="676" spans="1:1" x14ac:dyDescent="0.45">
      <c r="A676" t="s">
        <v>1632</v>
      </c>
    </row>
    <row r="677" spans="1:1" x14ac:dyDescent="0.45">
      <c r="A677" t="s">
        <v>1633</v>
      </c>
    </row>
    <row r="678" spans="1:1" x14ac:dyDescent="0.45">
      <c r="A678" t="s">
        <v>1634</v>
      </c>
    </row>
    <row r="679" spans="1:1" x14ac:dyDescent="0.45">
      <c r="A679" t="s">
        <v>1635</v>
      </c>
    </row>
    <row r="680" spans="1:1" x14ac:dyDescent="0.45">
      <c r="A680" t="s">
        <v>1636</v>
      </c>
    </row>
    <row r="681" spans="1:1" x14ac:dyDescent="0.45">
      <c r="A681" t="s">
        <v>1637</v>
      </c>
    </row>
    <row r="682" spans="1:1" x14ac:dyDescent="0.45">
      <c r="A682" t="s">
        <v>1638</v>
      </c>
    </row>
    <row r="683" spans="1:1" x14ac:dyDescent="0.45">
      <c r="A683" t="s">
        <v>560</v>
      </c>
    </row>
    <row r="684" spans="1:1" x14ac:dyDescent="0.45">
      <c r="A684" t="s">
        <v>1639</v>
      </c>
    </row>
    <row r="685" spans="1:1" x14ac:dyDescent="0.45">
      <c r="A685" t="s">
        <v>1640</v>
      </c>
    </row>
    <row r="686" spans="1:1" x14ac:dyDescent="0.45">
      <c r="A686" t="s">
        <v>1641</v>
      </c>
    </row>
    <row r="687" spans="1:1" x14ac:dyDescent="0.45">
      <c r="A687" t="s">
        <v>1642</v>
      </c>
    </row>
    <row r="688" spans="1:1" x14ac:dyDescent="0.45">
      <c r="A688" t="s">
        <v>1643</v>
      </c>
    </row>
    <row r="689" spans="1:1" x14ac:dyDescent="0.45">
      <c r="A689" t="s">
        <v>1644</v>
      </c>
    </row>
    <row r="690" spans="1:1" x14ac:dyDescent="0.45">
      <c r="A690" t="s">
        <v>1645</v>
      </c>
    </row>
    <row r="691" spans="1:1" x14ac:dyDescent="0.45">
      <c r="A691" t="s">
        <v>1646</v>
      </c>
    </row>
    <row r="692" spans="1:1" x14ac:dyDescent="0.45">
      <c r="A692" t="s">
        <v>1647</v>
      </c>
    </row>
    <row r="693" spans="1:1" x14ac:dyDescent="0.45">
      <c r="A693" t="s">
        <v>1648</v>
      </c>
    </row>
    <row r="694" spans="1:1" x14ac:dyDescent="0.45">
      <c r="A694" t="s">
        <v>1649</v>
      </c>
    </row>
    <row r="695" spans="1:1" x14ac:dyDescent="0.45">
      <c r="A695" t="s">
        <v>1650</v>
      </c>
    </row>
    <row r="696" spans="1:1" x14ac:dyDescent="0.45">
      <c r="A696" t="s">
        <v>1651</v>
      </c>
    </row>
    <row r="697" spans="1:1" x14ac:dyDescent="0.45">
      <c r="A697" t="s">
        <v>1652</v>
      </c>
    </row>
    <row r="698" spans="1:1" x14ac:dyDescent="0.45">
      <c r="A698" t="s">
        <v>1653</v>
      </c>
    </row>
    <row r="699" spans="1:1" x14ac:dyDescent="0.45">
      <c r="A699" t="s">
        <v>1654</v>
      </c>
    </row>
    <row r="700" spans="1:1" x14ac:dyDescent="0.45">
      <c r="A700" t="s">
        <v>641</v>
      </c>
    </row>
    <row r="701" spans="1:1" x14ac:dyDescent="0.45">
      <c r="A701" t="s">
        <v>1655</v>
      </c>
    </row>
    <row r="702" spans="1:1" x14ac:dyDescent="0.45">
      <c r="A702" t="s">
        <v>1656</v>
      </c>
    </row>
    <row r="703" spans="1:1" x14ac:dyDescent="0.45">
      <c r="A703" t="s">
        <v>1657</v>
      </c>
    </row>
    <row r="704" spans="1:1" x14ac:dyDescent="0.45">
      <c r="A704" t="s">
        <v>1658</v>
      </c>
    </row>
    <row r="705" spans="1:1" x14ac:dyDescent="0.45">
      <c r="A705" t="s">
        <v>1659</v>
      </c>
    </row>
    <row r="706" spans="1:1" x14ac:dyDescent="0.45">
      <c r="A706" t="s">
        <v>1660</v>
      </c>
    </row>
    <row r="707" spans="1:1" x14ac:dyDescent="0.45">
      <c r="A707" t="s">
        <v>214</v>
      </c>
    </row>
    <row r="708" spans="1:1" x14ac:dyDescent="0.45">
      <c r="A708" t="s">
        <v>1661</v>
      </c>
    </row>
    <row r="709" spans="1:1" x14ac:dyDescent="0.45">
      <c r="A709" t="s">
        <v>1662</v>
      </c>
    </row>
    <row r="710" spans="1:1" x14ac:dyDescent="0.45">
      <c r="A710" t="s">
        <v>1663</v>
      </c>
    </row>
    <row r="711" spans="1:1" x14ac:dyDescent="0.45">
      <c r="A711" t="s">
        <v>1664</v>
      </c>
    </row>
    <row r="712" spans="1:1" x14ac:dyDescent="0.45">
      <c r="A712" t="s">
        <v>1665</v>
      </c>
    </row>
    <row r="713" spans="1:1" x14ac:dyDescent="0.45">
      <c r="A713" t="s">
        <v>665</v>
      </c>
    </row>
    <row r="714" spans="1:1" x14ac:dyDescent="0.45">
      <c r="A714" t="s">
        <v>1666</v>
      </c>
    </row>
    <row r="715" spans="1:1" x14ac:dyDescent="0.45">
      <c r="A715" t="s">
        <v>1667</v>
      </c>
    </row>
    <row r="716" spans="1:1" x14ac:dyDescent="0.45">
      <c r="A716" t="s">
        <v>1668</v>
      </c>
    </row>
    <row r="717" spans="1:1" x14ac:dyDescent="0.45">
      <c r="A717" t="s">
        <v>1669</v>
      </c>
    </row>
    <row r="718" spans="1:1" x14ac:dyDescent="0.45">
      <c r="A718" t="s">
        <v>1670</v>
      </c>
    </row>
    <row r="719" spans="1:1" x14ac:dyDescent="0.45">
      <c r="A719" t="s">
        <v>1671</v>
      </c>
    </row>
    <row r="720" spans="1:1" x14ac:dyDescent="0.45">
      <c r="A720" t="s">
        <v>1672</v>
      </c>
    </row>
    <row r="721" spans="1:1" x14ac:dyDescent="0.45">
      <c r="A721" t="s">
        <v>1673</v>
      </c>
    </row>
    <row r="722" spans="1:1" x14ac:dyDescent="0.45">
      <c r="A722" t="s">
        <v>1674</v>
      </c>
    </row>
    <row r="723" spans="1:1" x14ac:dyDescent="0.45">
      <c r="A723" t="s">
        <v>1675</v>
      </c>
    </row>
    <row r="724" spans="1:1" x14ac:dyDescent="0.45">
      <c r="A724" t="s">
        <v>1676</v>
      </c>
    </row>
    <row r="725" spans="1:1" x14ac:dyDescent="0.45">
      <c r="A725" t="s">
        <v>766</v>
      </c>
    </row>
    <row r="726" spans="1:1" x14ac:dyDescent="0.45">
      <c r="A726" t="s">
        <v>1677</v>
      </c>
    </row>
    <row r="727" spans="1:1" x14ac:dyDescent="0.45">
      <c r="A727" t="s">
        <v>1678</v>
      </c>
    </row>
    <row r="728" spans="1:1" x14ac:dyDescent="0.45">
      <c r="A728" t="s">
        <v>1679</v>
      </c>
    </row>
    <row r="729" spans="1:1" x14ac:dyDescent="0.45">
      <c r="A729" t="s">
        <v>1680</v>
      </c>
    </row>
    <row r="730" spans="1:1" x14ac:dyDescent="0.45">
      <c r="A730" t="s">
        <v>1681</v>
      </c>
    </row>
    <row r="731" spans="1:1" x14ac:dyDescent="0.45">
      <c r="A731" t="s">
        <v>1682</v>
      </c>
    </row>
    <row r="732" spans="1:1" x14ac:dyDescent="0.45">
      <c r="A732" t="s">
        <v>1683</v>
      </c>
    </row>
    <row r="733" spans="1:1" x14ac:dyDescent="0.45">
      <c r="A733" t="s">
        <v>1684</v>
      </c>
    </row>
    <row r="734" spans="1:1" x14ac:dyDescent="0.45">
      <c r="A734" t="s">
        <v>1685</v>
      </c>
    </row>
    <row r="735" spans="1:1" x14ac:dyDescent="0.45">
      <c r="A735" t="s">
        <v>1686</v>
      </c>
    </row>
    <row r="736" spans="1:1" x14ac:dyDescent="0.45">
      <c r="A736" t="s">
        <v>1687</v>
      </c>
    </row>
    <row r="737" spans="1:1" x14ac:dyDescent="0.45">
      <c r="A737" t="s">
        <v>1688</v>
      </c>
    </row>
    <row r="738" spans="1:1" x14ac:dyDescent="0.45">
      <c r="A738" t="s">
        <v>1689</v>
      </c>
    </row>
    <row r="739" spans="1:1" x14ac:dyDescent="0.45">
      <c r="A739" t="s">
        <v>1690</v>
      </c>
    </row>
    <row r="740" spans="1:1" x14ac:dyDescent="0.45">
      <c r="A740" t="s">
        <v>1691</v>
      </c>
    </row>
    <row r="741" spans="1:1" x14ac:dyDescent="0.45">
      <c r="A741" t="s">
        <v>1692</v>
      </c>
    </row>
    <row r="742" spans="1:1" x14ac:dyDescent="0.45">
      <c r="A742" t="s">
        <v>1693</v>
      </c>
    </row>
    <row r="743" spans="1:1" x14ac:dyDescent="0.45">
      <c r="A743" t="s">
        <v>1694</v>
      </c>
    </row>
    <row r="744" spans="1:1" x14ac:dyDescent="0.45">
      <c r="A744" t="s">
        <v>1695</v>
      </c>
    </row>
    <row r="745" spans="1:1" x14ac:dyDescent="0.45">
      <c r="A745" t="s">
        <v>1696</v>
      </c>
    </row>
    <row r="746" spans="1:1" x14ac:dyDescent="0.45">
      <c r="A746" t="s">
        <v>1697</v>
      </c>
    </row>
    <row r="747" spans="1:1" x14ac:dyDescent="0.45">
      <c r="A747" t="s">
        <v>1698</v>
      </c>
    </row>
    <row r="748" spans="1:1" x14ac:dyDescent="0.45">
      <c r="A748" t="s">
        <v>1699</v>
      </c>
    </row>
    <row r="749" spans="1:1" x14ac:dyDescent="0.45">
      <c r="A749" t="s">
        <v>1700</v>
      </c>
    </row>
    <row r="750" spans="1:1" x14ac:dyDescent="0.45">
      <c r="A750" t="s">
        <v>1701</v>
      </c>
    </row>
    <row r="751" spans="1:1" x14ac:dyDescent="0.45">
      <c r="A751" t="s">
        <v>1702</v>
      </c>
    </row>
    <row r="752" spans="1:1" x14ac:dyDescent="0.45">
      <c r="A752" t="s">
        <v>1703</v>
      </c>
    </row>
    <row r="753" spans="1:1" x14ac:dyDescent="0.45">
      <c r="A753" t="s">
        <v>1704</v>
      </c>
    </row>
    <row r="754" spans="1:1" x14ac:dyDescent="0.45">
      <c r="A754" t="s">
        <v>1705</v>
      </c>
    </row>
    <row r="755" spans="1:1" x14ac:dyDescent="0.45">
      <c r="A755" t="s">
        <v>1706</v>
      </c>
    </row>
    <row r="756" spans="1:1" x14ac:dyDescent="0.45">
      <c r="A756" t="s">
        <v>1707</v>
      </c>
    </row>
    <row r="757" spans="1:1" x14ac:dyDescent="0.45">
      <c r="A757" t="s">
        <v>1708</v>
      </c>
    </row>
    <row r="758" spans="1:1" x14ac:dyDescent="0.45">
      <c r="A758" t="s">
        <v>1709</v>
      </c>
    </row>
    <row r="759" spans="1:1" x14ac:dyDescent="0.45">
      <c r="A759" t="s">
        <v>1710</v>
      </c>
    </row>
    <row r="760" spans="1:1" x14ac:dyDescent="0.45">
      <c r="A760" t="s">
        <v>1711</v>
      </c>
    </row>
    <row r="761" spans="1:1" x14ac:dyDescent="0.45">
      <c r="A761" t="s">
        <v>1712</v>
      </c>
    </row>
    <row r="762" spans="1:1" x14ac:dyDescent="0.45">
      <c r="A762" t="s">
        <v>1713</v>
      </c>
    </row>
    <row r="763" spans="1:1" x14ac:dyDescent="0.45">
      <c r="A763" t="s">
        <v>1714</v>
      </c>
    </row>
    <row r="764" spans="1:1" x14ac:dyDescent="0.45">
      <c r="A764" t="s">
        <v>1715</v>
      </c>
    </row>
    <row r="765" spans="1:1" x14ac:dyDescent="0.45">
      <c r="A765" t="s">
        <v>1716</v>
      </c>
    </row>
    <row r="766" spans="1:1" x14ac:dyDescent="0.45">
      <c r="A766" t="s">
        <v>1717</v>
      </c>
    </row>
    <row r="767" spans="1:1" x14ac:dyDescent="0.45">
      <c r="A767" t="s">
        <v>1718</v>
      </c>
    </row>
    <row r="768" spans="1:1" x14ac:dyDescent="0.45">
      <c r="A768" t="s">
        <v>1719</v>
      </c>
    </row>
    <row r="769" spans="1:1" x14ac:dyDescent="0.45">
      <c r="A769" t="s">
        <v>1720</v>
      </c>
    </row>
    <row r="770" spans="1:1" x14ac:dyDescent="0.45">
      <c r="A770" t="s">
        <v>1721</v>
      </c>
    </row>
    <row r="771" spans="1:1" x14ac:dyDescent="0.45">
      <c r="A771" t="s">
        <v>1722</v>
      </c>
    </row>
    <row r="772" spans="1:1" x14ac:dyDescent="0.45">
      <c r="A772" t="s">
        <v>1723</v>
      </c>
    </row>
    <row r="773" spans="1:1" x14ac:dyDescent="0.45">
      <c r="A773" t="s">
        <v>1724</v>
      </c>
    </row>
    <row r="774" spans="1:1" x14ac:dyDescent="0.45">
      <c r="A774" t="s">
        <v>1725</v>
      </c>
    </row>
    <row r="775" spans="1:1" x14ac:dyDescent="0.45">
      <c r="A775" t="s">
        <v>1726</v>
      </c>
    </row>
    <row r="776" spans="1:1" x14ac:dyDescent="0.45">
      <c r="A776" t="s">
        <v>254</v>
      </c>
    </row>
    <row r="777" spans="1:1" x14ac:dyDescent="0.45">
      <c r="A777" t="s">
        <v>1727</v>
      </c>
    </row>
    <row r="778" spans="1:1" x14ac:dyDescent="0.45">
      <c r="A778" t="s">
        <v>1728</v>
      </c>
    </row>
    <row r="779" spans="1:1" x14ac:dyDescent="0.45">
      <c r="A779" t="s">
        <v>1729</v>
      </c>
    </row>
    <row r="780" spans="1:1" x14ac:dyDescent="0.45">
      <c r="A780" t="s">
        <v>1730</v>
      </c>
    </row>
    <row r="781" spans="1:1" x14ac:dyDescent="0.45">
      <c r="A781" t="s">
        <v>1731</v>
      </c>
    </row>
    <row r="782" spans="1:1" x14ac:dyDescent="0.45">
      <c r="A782" t="s">
        <v>1732</v>
      </c>
    </row>
    <row r="783" spans="1:1" x14ac:dyDescent="0.45">
      <c r="A783" t="s">
        <v>1733</v>
      </c>
    </row>
    <row r="784" spans="1:1" x14ac:dyDescent="0.45">
      <c r="A784" t="s">
        <v>1734</v>
      </c>
    </row>
    <row r="785" spans="1:1" x14ac:dyDescent="0.45">
      <c r="A785" t="s">
        <v>1735</v>
      </c>
    </row>
    <row r="786" spans="1:1" x14ac:dyDescent="0.45">
      <c r="A786" t="s">
        <v>1736</v>
      </c>
    </row>
    <row r="787" spans="1:1" x14ac:dyDescent="0.45">
      <c r="A787" t="s">
        <v>1737</v>
      </c>
    </row>
    <row r="788" spans="1:1" x14ac:dyDescent="0.45">
      <c r="A788" t="s">
        <v>1738</v>
      </c>
    </row>
    <row r="789" spans="1:1" x14ac:dyDescent="0.45">
      <c r="A789" t="s">
        <v>1739</v>
      </c>
    </row>
    <row r="790" spans="1:1" x14ac:dyDescent="0.45">
      <c r="A790" t="s">
        <v>1740</v>
      </c>
    </row>
    <row r="791" spans="1:1" x14ac:dyDescent="0.45">
      <c r="A791" t="s">
        <v>1741</v>
      </c>
    </row>
    <row r="792" spans="1:1" x14ac:dyDescent="0.45">
      <c r="A792" t="s">
        <v>706</v>
      </c>
    </row>
    <row r="793" spans="1:1" x14ac:dyDescent="0.45">
      <c r="A793" t="s">
        <v>1742</v>
      </c>
    </row>
    <row r="794" spans="1:1" x14ac:dyDescent="0.45">
      <c r="A794" t="s">
        <v>1743</v>
      </c>
    </row>
    <row r="795" spans="1:1" x14ac:dyDescent="0.45">
      <c r="A795" t="s">
        <v>1744</v>
      </c>
    </row>
    <row r="796" spans="1:1" x14ac:dyDescent="0.45">
      <c r="A796" t="s">
        <v>356</v>
      </c>
    </row>
    <row r="797" spans="1:1" x14ac:dyDescent="0.45">
      <c r="A797" t="s">
        <v>1745</v>
      </c>
    </row>
    <row r="798" spans="1:1" x14ac:dyDescent="0.45">
      <c r="A798" t="s">
        <v>1746</v>
      </c>
    </row>
    <row r="799" spans="1:1" x14ac:dyDescent="0.45">
      <c r="A799" t="s">
        <v>1747</v>
      </c>
    </row>
    <row r="800" spans="1:1" x14ac:dyDescent="0.45">
      <c r="A800" t="s">
        <v>1748</v>
      </c>
    </row>
    <row r="801" spans="1:1" x14ac:dyDescent="0.45">
      <c r="A801" t="s">
        <v>546</v>
      </c>
    </row>
    <row r="802" spans="1:1" x14ac:dyDescent="0.45">
      <c r="A802" t="s">
        <v>594</v>
      </c>
    </row>
    <row r="803" spans="1:1" x14ac:dyDescent="0.45">
      <c r="A803" t="s">
        <v>1749</v>
      </c>
    </row>
    <row r="804" spans="1:1" x14ac:dyDescent="0.45">
      <c r="A804" t="s">
        <v>1750</v>
      </c>
    </row>
    <row r="805" spans="1:1" x14ac:dyDescent="0.45">
      <c r="A805" t="s">
        <v>1751</v>
      </c>
    </row>
    <row r="806" spans="1:1" x14ac:dyDescent="0.45">
      <c r="A806" t="s">
        <v>1752</v>
      </c>
    </row>
    <row r="807" spans="1:1" x14ac:dyDescent="0.45">
      <c r="A807" t="s">
        <v>1753</v>
      </c>
    </row>
    <row r="808" spans="1:1" x14ac:dyDescent="0.45">
      <c r="A808" t="s">
        <v>1754</v>
      </c>
    </row>
    <row r="809" spans="1:1" x14ac:dyDescent="0.45">
      <c r="A809" t="s">
        <v>1755</v>
      </c>
    </row>
    <row r="810" spans="1:1" x14ac:dyDescent="0.45">
      <c r="A810" t="s">
        <v>1756</v>
      </c>
    </row>
    <row r="811" spans="1:1" x14ac:dyDescent="0.45">
      <c r="A811" t="s">
        <v>1757</v>
      </c>
    </row>
    <row r="812" spans="1:1" x14ac:dyDescent="0.45">
      <c r="A812" t="s">
        <v>1758</v>
      </c>
    </row>
    <row r="813" spans="1:1" x14ac:dyDescent="0.45">
      <c r="A813" t="s">
        <v>1759</v>
      </c>
    </row>
    <row r="814" spans="1:1" x14ac:dyDescent="0.45">
      <c r="A814" t="s">
        <v>1760</v>
      </c>
    </row>
    <row r="815" spans="1:1" x14ac:dyDescent="0.45">
      <c r="A815" t="s">
        <v>1761</v>
      </c>
    </row>
    <row r="816" spans="1:1" x14ac:dyDescent="0.45">
      <c r="A816" t="s">
        <v>1762</v>
      </c>
    </row>
    <row r="817" spans="1:1" x14ac:dyDescent="0.45">
      <c r="A817" t="s">
        <v>1763</v>
      </c>
    </row>
    <row r="818" spans="1:1" x14ac:dyDescent="0.45">
      <c r="A818" t="s">
        <v>1764</v>
      </c>
    </row>
    <row r="819" spans="1:1" x14ac:dyDescent="0.45">
      <c r="A819" t="s">
        <v>289</v>
      </c>
    </row>
    <row r="820" spans="1:1" x14ac:dyDescent="0.45">
      <c r="A820" t="s">
        <v>1765</v>
      </c>
    </row>
    <row r="821" spans="1:1" x14ac:dyDescent="0.45">
      <c r="A821" t="s">
        <v>1766</v>
      </c>
    </row>
    <row r="822" spans="1:1" x14ac:dyDescent="0.45">
      <c r="A822" t="s">
        <v>1767</v>
      </c>
    </row>
    <row r="823" spans="1:1" x14ac:dyDescent="0.45">
      <c r="A823" t="s">
        <v>292</v>
      </c>
    </row>
    <row r="824" spans="1:1" x14ac:dyDescent="0.45">
      <c r="A824" t="s">
        <v>1768</v>
      </c>
    </row>
    <row r="825" spans="1:1" x14ac:dyDescent="0.45">
      <c r="A825" t="s">
        <v>1769</v>
      </c>
    </row>
    <row r="826" spans="1:1" x14ac:dyDescent="0.45">
      <c r="A826" t="s">
        <v>1770</v>
      </c>
    </row>
    <row r="827" spans="1:1" x14ac:dyDescent="0.45">
      <c r="A827" t="s">
        <v>1771</v>
      </c>
    </row>
    <row r="828" spans="1:1" x14ac:dyDescent="0.45">
      <c r="A828" t="s">
        <v>487</v>
      </c>
    </row>
    <row r="829" spans="1:1" x14ac:dyDescent="0.45">
      <c r="A829" t="s">
        <v>1772</v>
      </c>
    </row>
    <row r="830" spans="1:1" x14ac:dyDescent="0.45">
      <c r="A830" t="s">
        <v>1773</v>
      </c>
    </row>
    <row r="831" spans="1:1" x14ac:dyDescent="0.45">
      <c r="A831" t="s">
        <v>1774</v>
      </c>
    </row>
    <row r="832" spans="1:1" x14ac:dyDescent="0.45">
      <c r="A832" t="s">
        <v>1775</v>
      </c>
    </row>
    <row r="833" spans="1:1" x14ac:dyDescent="0.45">
      <c r="A833" t="s">
        <v>1776</v>
      </c>
    </row>
    <row r="834" spans="1:1" x14ac:dyDescent="0.45">
      <c r="A834" s="99" t="s">
        <v>1777</v>
      </c>
    </row>
    <row r="835" spans="1:1" x14ac:dyDescent="0.45">
      <c r="A835" t="s">
        <v>219</v>
      </c>
    </row>
    <row r="836" spans="1:1" x14ac:dyDescent="0.45">
      <c r="A836" t="s">
        <v>1778</v>
      </c>
    </row>
    <row r="837" spans="1:1" x14ac:dyDescent="0.45">
      <c r="A837" t="s">
        <v>1779</v>
      </c>
    </row>
    <row r="838" spans="1:1" x14ac:dyDescent="0.45">
      <c r="A838" t="s">
        <v>1780</v>
      </c>
    </row>
    <row r="839" spans="1:1" x14ac:dyDescent="0.45">
      <c r="A839" t="s">
        <v>1781</v>
      </c>
    </row>
    <row r="840" spans="1:1" x14ac:dyDescent="0.45">
      <c r="A840" t="s">
        <v>185</v>
      </c>
    </row>
    <row r="841" spans="1:1" x14ac:dyDescent="0.45">
      <c r="A841" t="s">
        <v>630</v>
      </c>
    </row>
    <row r="842" spans="1:1" x14ac:dyDescent="0.45">
      <c r="A842" t="s">
        <v>1782</v>
      </c>
    </row>
    <row r="843" spans="1:1" x14ac:dyDescent="0.45">
      <c r="A843" t="s">
        <v>1783</v>
      </c>
    </row>
    <row r="844" spans="1:1" x14ac:dyDescent="0.45">
      <c r="A844" t="s">
        <v>1784</v>
      </c>
    </row>
    <row r="845" spans="1:1" x14ac:dyDescent="0.45">
      <c r="A845" t="s">
        <v>1785</v>
      </c>
    </row>
    <row r="846" spans="1:1" x14ac:dyDescent="0.45">
      <c r="A846" t="s">
        <v>1786</v>
      </c>
    </row>
    <row r="847" spans="1:1" x14ac:dyDescent="0.45">
      <c r="A847" t="s">
        <v>742</v>
      </c>
    </row>
    <row r="848" spans="1:1" x14ac:dyDescent="0.45">
      <c r="A848" t="s">
        <v>1787</v>
      </c>
    </row>
    <row r="849" spans="1:1" x14ac:dyDescent="0.45">
      <c r="A849" t="s">
        <v>1788</v>
      </c>
    </row>
    <row r="850" spans="1:1" x14ac:dyDescent="0.45">
      <c r="A850" t="s">
        <v>210</v>
      </c>
    </row>
    <row r="851" spans="1:1" x14ac:dyDescent="0.45">
      <c r="A851" t="s">
        <v>520</v>
      </c>
    </row>
    <row r="852" spans="1:1" x14ac:dyDescent="0.45">
      <c r="A852" t="s">
        <v>1789</v>
      </c>
    </row>
    <row r="853" spans="1:1" x14ac:dyDescent="0.45">
      <c r="A853" t="s">
        <v>1790</v>
      </c>
    </row>
    <row r="854" spans="1:1" x14ac:dyDescent="0.45">
      <c r="A854" t="s">
        <v>1791</v>
      </c>
    </row>
    <row r="855" spans="1:1" x14ac:dyDescent="0.45">
      <c r="A855" t="s">
        <v>1792</v>
      </c>
    </row>
    <row r="856" spans="1:1" x14ac:dyDescent="0.45">
      <c r="A856" t="s">
        <v>1793</v>
      </c>
    </row>
    <row r="857" spans="1:1" x14ac:dyDescent="0.45">
      <c r="A857" t="s">
        <v>1794</v>
      </c>
    </row>
    <row r="858" spans="1:1" x14ac:dyDescent="0.45">
      <c r="A858" t="s">
        <v>1795</v>
      </c>
    </row>
    <row r="859" spans="1:1" x14ac:dyDescent="0.45">
      <c r="A859" t="s">
        <v>1796</v>
      </c>
    </row>
    <row r="860" spans="1:1" x14ac:dyDescent="0.45">
      <c r="A860" t="s">
        <v>1797</v>
      </c>
    </row>
    <row r="861" spans="1:1" x14ac:dyDescent="0.45">
      <c r="A861" t="s">
        <v>1798</v>
      </c>
    </row>
    <row r="862" spans="1:1" x14ac:dyDescent="0.45">
      <c r="A862" t="s">
        <v>1799</v>
      </c>
    </row>
    <row r="863" spans="1:1" x14ac:dyDescent="0.45">
      <c r="A863" t="s">
        <v>461</v>
      </c>
    </row>
    <row r="864" spans="1:1" x14ac:dyDescent="0.45">
      <c r="A864" t="s">
        <v>1800</v>
      </c>
    </row>
    <row r="865" spans="1:1" x14ac:dyDescent="0.45">
      <c r="A865" t="s">
        <v>1801</v>
      </c>
    </row>
    <row r="866" spans="1:1" x14ac:dyDescent="0.45">
      <c r="A866" t="s">
        <v>1802</v>
      </c>
    </row>
    <row r="867" spans="1:1" x14ac:dyDescent="0.45">
      <c r="A867" t="s">
        <v>1803</v>
      </c>
    </row>
    <row r="868" spans="1:1" x14ac:dyDescent="0.45">
      <c r="A868" t="s">
        <v>1804</v>
      </c>
    </row>
    <row r="869" spans="1:1" x14ac:dyDescent="0.45">
      <c r="A869" t="s">
        <v>1805</v>
      </c>
    </row>
    <row r="870" spans="1:1" x14ac:dyDescent="0.45">
      <c r="A870" t="s">
        <v>1806</v>
      </c>
    </row>
    <row r="871" spans="1:1" x14ac:dyDescent="0.45">
      <c r="A871" t="s">
        <v>1807</v>
      </c>
    </row>
    <row r="872" spans="1:1" x14ac:dyDescent="0.45">
      <c r="A872" t="s">
        <v>1808</v>
      </c>
    </row>
    <row r="873" spans="1:1" x14ac:dyDescent="0.45">
      <c r="A873" t="s">
        <v>1809</v>
      </c>
    </row>
    <row r="874" spans="1:1" x14ac:dyDescent="0.45">
      <c r="A874" t="s">
        <v>1810</v>
      </c>
    </row>
    <row r="875" spans="1:1" x14ac:dyDescent="0.45">
      <c r="A875" t="s">
        <v>1811</v>
      </c>
    </row>
    <row r="876" spans="1:1" x14ac:dyDescent="0.45">
      <c r="A876" t="s">
        <v>1812</v>
      </c>
    </row>
    <row r="877" spans="1:1" x14ac:dyDescent="0.45">
      <c r="A877" t="s">
        <v>250</v>
      </c>
    </row>
    <row r="878" spans="1:1" x14ac:dyDescent="0.45">
      <c r="A878" t="s">
        <v>1813</v>
      </c>
    </row>
    <row r="879" spans="1:1" x14ac:dyDescent="0.45">
      <c r="A879" t="s">
        <v>1814</v>
      </c>
    </row>
    <row r="880" spans="1:1" x14ac:dyDescent="0.45">
      <c r="A880" t="s">
        <v>617</v>
      </c>
    </row>
    <row r="881" spans="1:1" x14ac:dyDescent="0.45">
      <c r="A881" t="s">
        <v>1815</v>
      </c>
    </row>
    <row r="882" spans="1:1" x14ac:dyDescent="0.45">
      <c r="A882" t="s">
        <v>1816</v>
      </c>
    </row>
    <row r="883" spans="1:1" x14ac:dyDescent="0.45">
      <c r="A883" t="s">
        <v>549</v>
      </c>
    </row>
    <row r="884" spans="1:1" x14ac:dyDescent="0.45">
      <c r="A884" t="s">
        <v>1817</v>
      </c>
    </row>
    <row r="885" spans="1:1" x14ac:dyDescent="0.45">
      <c r="A885" t="s">
        <v>1818</v>
      </c>
    </row>
    <row r="886" spans="1:1" x14ac:dyDescent="0.45">
      <c r="A886" t="s">
        <v>1819</v>
      </c>
    </row>
    <row r="887" spans="1:1" x14ac:dyDescent="0.45">
      <c r="A887" t="s">
        <v>1820</v>
      </c>
    </row>
    <row r="888" spans="1:1" x14ac:dyDescent="0.45">
      <c r="A888" t="s">
        <v>1821</v>
      </c>
    </row>
    <row r="889" spans="1:1" x14ac:dyDescent="0.45">
      <c r="A889" t="s">
        <v>1822</v>
      </c>
    </row>
    <row r="890" spans="1:1" x14ac:dyDescent="0.45">
      <c r="A890" t="s">
        <v>1823</v>
      </c>
    </row>
    <row r="891" spans="1:1" x14ac:dyDescent="0.45">
      <c r="A891" t="s">
        <v>1824</v>
      </c>
    </row>
    <row r="892" spans="1:1" x14ac:dyDescent="0.45">
      <c r="A892" t="s">
        <v>1825</v>
      </c>
    </row>
    <row r="893" spans="1:1" x14ac:dyDescent="0.45">
      <c r="A893" t="s">
        <v>1826</v>
      </c>
    </row>
    <row r="894" spans="1:1" x14ac:dyDescent="0.45">
      <c r="A894" t="s">
        <v>1827</v>
      </c>
    </row>
    <row r="895" spans="1:1" x14ac:dyDescent="0.45">
      <c r="A895" t="s">
        <v>1828</v>
      </c>
    </row>
    <row r="896" spans="1:1" x14ac:dyDescent="0.45">
      <c r="A896" t="s">
        <v>1829</v>
      </c>
    </row>
    <row r="897" spans="1:1" x14ac:dyDescent="0.45">
      <c r="A897" t="s">
        <v>1830</v>
      </c>
    </row>
    <row r="898" spans="1:1" x14ac:dyDescent="0.45">
      <c r="A898" t="s">
        <v>709</v>
      </c>
    </row>
    <row r="899" spans="1:1" x14ac:dyDescent="0.45">
      <c r="A899" t="s">
        <v>1831</v>
      </c>
    </row>
    <row r="900" spans="1:1" x14ac:dyDescent="0.45">
      <c r="A900" t="s">
        <v>1832</v>
      </c>
    </row>
    <row r="901" spans="1:1" x14ac:dyDescent="0.45">
      <c r="A901" t="s">
        <v>1833</v>
      </c>
    </row>
    <row r="902" spans="1:1" x14ac:dyDescent="0.45">
      <c r="A902" t="s">
        <v>563</v>
      </c>
    </row>
    <row r="903" spans="1:1" x14ac:dyDescent="0.45">
      <c r="A903" t="s">
        <v>1834</v>
      </c>
    </row>
    <row r="904" spans="1:1" x14ac:dyDescent="0.45">
      <c r="A904" t="s">
        <v>1835</v>
      </c>
    </row>
    <row r="905" spans="1:1" x14ac:dyDescent="0.45">
      <c r="A905" t="s">
        <v>1836</v>
      </c>
    </row>
    <row r="906" spans="1:1" x14ac:dyDescent="0.45">
      <c r="A906" t="s">
        <v>1837</v>
      </c>
    </row>
    <row r="907" spans="1:1" x14ac:dyDescent="0.45">
      <c r="A907" t="s">
        <v>1838</v>
      </c>
    </row>
    <row r="908" spans="1:1" x14ac:dyDescent="0.45">
      <c r="A908" t="s">
        <v>1839</v>
      </c>
    </row>
    <row r="909" spans="1:1" x14ac:dyDescent="0.45">
      <c r="A909" t="s">
        <v>1840</v>
      </c>
    </row>
    <row r="910" spans="1:1" x14ac:dyDescent="0.45">
      <c r="A910" t="s">
        <v>1841</v>
      </c>
    </row>
    <row r="911" spans="1:1" x14ac:dyDescent="0.45">
      <c r="A911" t="s">
        <v>1842</v>
      </c>
    </row>
    <row r="912" spans="1:1" x14ac:dyDescent="0.45">
      <c r="A912" t="s">
        <v>1843</v>
      </c>
    </row>
    <row r="913" spans="1:1" x14ac:dyDescent="0.45">
      <c r="A913" t="s">
        <v>1844</v>
      </c>
    </row>
    <row r="914" spans="1:1" x14ac:dyDescent="0.45">
      <c r="A914" t="s">
        <v>1845</v>
      </c>
    </row>
    <row r="915" spans="1:1" x14ac:dyDescent="0.45">
      <c r="A915" t="s">
        <v>1846</v>
      </c>
    </row>
    <row r="916" spans="1:1" x14ac:dyDescent="0.45">
      <c r="A916" t="s">
        <v>1847</v>
      </c>
    </row>
    <row r="917" spans="1:1" x14ac:dyDescent="0.45">
      <c r="A917" t="s">
        <v>1848</v>
      </c>
    </row>
    <row r="918" spans="1:1" x14ac:dyDescent="0.45">
      <c r="A918" t="s">
        <v>1849</v>
      </c>
    </row>
    <row r="919" spans="1:1" x14ac:dyDescent="0.45">
      <c r="A919" t="s">
        <v>1850</v>
      </c>
    </row>
    <row r="920" spans="1:1" x14ac:dyDescent="0.45">
      <c r="A920" t="s">
        <v>1851</v>
      </c>
    </row>
    <row r="921" spans="1:1" x14ac:dyDescent="0.45">
      <c r="A921" t="s">
        <v>1852</v>
      </c>
    </row>
    <row r="922" spans="1:1" x14ac:dyDescent="0.45">
      <c r="A922" t="s">
        <v>1853</v>
      </c>
    </row>
    <row r="923" spans="1:1" x14ac:dyDescent="0.45">
      <c r="A923" t="s">
        <v>1854</v>
      </c>
    </row>
    <row r="924" spans="1:1" x14ac:dyDescent="0.45">
      <c r="A924" t="s">
        <v>1855</v>
      </c>
    </row>
    <row r="925" spans="1:1" x14ac:dyDescent="0.45">
      <c r="A925" t="s">
        <v>1856</v>
      </c>
    </row>
    <row r="926" spans="1:1" x14ac:dyDescent="0.45">
      <c r="A926" t="s">
        <v>1857</v>
      </c>
    </row>
    <row r="927" spans="1:1" x14ac:dyDescent="0.45">
      <c r="A927" t="s">
        <v>1858</v>
      </c>
    </row>
    <row r="928" spans="1:1" x14ac:dyDescent="0.45">
      <c r="A928" t="s">
        <v>1859</v>
      </c>
    </row>
    <row r="929" spans="1:1" x14ac:dyDescent="0.45">
      <c r="A929" t="s">
        <v>1860</v>
      </c>
    </row>
    <row r="930" spans="1:1" x14ac:dyDescent="0.45">
      <c r="A930" t="s">
        <v>1861</v>
      </c>
    </row>
    <row r="931" spans="1:1" x14ac:dyDescent="0.45">
      <c r="A931" t="s">
        <v>1862</v>
      </c>
    </row>
    <row r="932" spans="1:1" x14ac:dyDescent="0.45">
      <c r="A932" t="s">
        <v>1863</v>
      </c>
    </row>
    <row r="933" spans="1:1" x14ac:dyDescent="0.45">
      <c r="A933" t="s">
        <v>1864</v>
      </c>
    </row>
    <row r="934" spans="1:1" x14ac:dyDescent="0.45">
      <c r="A934" t="s">
        <v>1865</v>
      </c>
    </row>
    <row r="935" spans="1:1" x14ac:dyDescent="0.45">
      <c r="A935" t="s">
        <v>1866</v>
      </c>
    </row>
    <row r="936" spans="1:1" x14ac:dyDescent="0.45">
      <c r="A936" t="s">
        <v>1867</v>
      </c>
    </row>
    <row r="937" spans="1:1" x14ac:dyDescent="0.45">
      <c r="A937" t="s">
        <v>1868</v>
      </c>
    </row>
    <row r="938" spans="1:1" x14ac:dyDescent="0.45">
      <c r="A938" t="s">
        <v>1869</v>
      </c>
    </row>
    <row r="939" spans="1:1" x14ac:dyDescent="0.45">
      <c r="A939" t="s">
        <v>1870</v>
      </c>
    </row>
    <row r="940" spans="1:1" x14ac:dyDescent="0.45">
      <c r="A940" t="s">
        <v>1871</v>
      </c>
    </row>
    <row r="941" spans="1:1" x14ac:dyDescent="0.45">
      <c r="A941" t="s">
        <v>1872</v>
      </c>
    </row>
    <row r="942" spans="1:1" x14ac:dyDescent="0.45">
      <c r="A942" t="s">
        <v>1873</v>
      </c>
    </row>
    <row r="943" spans="1:1" x14ac:dyDescent="0.45">
      <c r="A943" t="s">
        <v>1874</v>
      </c>
    </row>
    <row r="944" spans="1:1" x14ac:dyDescent="0.45">
      <c r="A944" t="s">
        <v>1875</v>
      </c>
    </row>
    <row r="945" spans="1:1" x14ac:dyDescent="0.45">
      <c r="A945" t="s">
        <v>1876</v>
      </c>
    </row>
    <row r="946" spans="1:1" x14ac:dyDescent="0.45">
      <c r="A946" t="s">
        <v>1877</v>
      </c>
    </row>
    <row r="947" spans="1:1" x14ac:dyDescent="0.45">
      <c r="A947" t="s">
        <v>1878</v>
      </c>
    </row>
    <row r="948" spans="1:1" x14ac:dyDescent="0.45">
      <c r="A948" t="s">
        <v>1879</v>
      </c>
    </row>
    <row r="949" spans="1:1" x14ac:dyDescent="0.45">
      <c r="A949" t="s">
        <v>1880</v>
      </c>
    </row>
    <row r="950" spans="1:1" x14ac:dyDescent="0.45">
      <c r="A950" t="s">
        <v>1881</v>
      </c>
    </row>
    <row r="951" spans="1:1" x14ac:dyDescent="0.45">
      <c r="A951" t="s">
        <v>1882</v>
      </c>
    </row>
    <row r="952" spans="1:1" x14ac:dyDescent="0.45">
      <c r="A952" t="s">
        <v>1883</v>
      </c>
    </row>
    <row r="953" spans="1:1" x14ac:dyDescent="0.45">
      <c r="A953" t="s">
        <v>1884</v>
      </c>
    </row>
    <row r="954" spans="1:1" x14ac:dyDescent="0.45">
      <c r="A954" t="s">
        <v>1885</v>
      </c>
    </row>
    <row r="955" spans="1:1" x14ac:dyDescent="0.45">
      <c r="A955" t="s">
        <v>1886</v>
      </c>
    </row>
    <row r="956" spans="1:1" x14ac:dyDescent="0.45">
      <c r="A956" t="s">
        <v>1887</v>
      </c>
    </row>
    <row r="957" spans="1:1" x14ac:dyDescent="0.45">
      <c r="A957" t="s">
        <v>1888</v>
      </c>
    </row>
    <row r="958" spans="1:1" x14ac:dyDescent="0.45">
      <c r="A958" t="s">
        <v>1889</v>
      </c>
    </row>
    <row r="959" spans="1:1" x14ac:dyDescent="0.45">
      <c r="A959" t="s">
        <v>1890</v>
      </c>
    </row>
    <row r="960" spans="1:1" x14ac:dyDescent="0.45">
      <c r="A960" t="s">
        <v>632</v>
      </c>
    </row>
    <row r="961" spans="1:1" x14ac:dyDescent="0.45">
      <c r="A961" t="s">
        <v>1891</v>
      </c>
    </row>
    <row r="962" spans="1:1" x14ac:dyDescent="0.45">
      <c r="A962" t="s">
        <v>1892</v>
      </c>
    </row>
    <row r="963" spans="1:1" x14ac:dyDescent="0.45">
      <c r="A963" t="s">
        <v>1893</v>
      </c>
    </row>
    <row r="964" spans="1:1" x14ac:dyDescent="0.45">
      <c r="A964" t="s">
        <v>1894</v>
      </c>
    </row>
    <row r="965" spans="1:1" x14ac:dyDescent="0.45">
      <c r="A965" t="s">
        <v>1895</v>
      </c>
    </row>
    <row r="966" spans="1:1" x14ac:dyDescent="0.45">
      <c r="A966" t="s">
        <v>1896</v>
      </c>
    </row>
    <row r="967" spans="1:1" x14ac:dyDescent="0.45">
      <c r="A967" t="s">
        <v>1897</v>
      </c>
    </row>
    <row r="968" spans="1:1" x14ac:dyDescent="0.45">
      <c r="A968" t="s">
        <v>1898</v>
      </c>
    </row>
    <row r="969" spans="1:1" x14ac:dyDescent="0.45">
      <c r="A969" t="s">
        <v>1899</v>
      </c>
    </row>
    <row r="970" spans="1:1" x14ac:dyDescent="0.45">
      <c r="A970" t="s">
        <v>1900</v>
      </c>
    </row>
    <row r="971" spans="1:1" x14ac:dyDescent="0.45">
      <c r="A971" t="s">
        <v>1901</v>
      </c>
    </row>
    <row r="972" spans="1:1" x14ac:dyDescent="0.45">
      <c r="A972" t="s">
        <v>1902</v>
      </c>
    </row>
    <row r="973" spans="1:1" x14ac:dyDescent="0.45">
      <c r="A973" t="s">
        <v>1903</v>
      </c>
    </row>
    <row r="974" spans="1:1" x14ac:dyDescent="0.45">
      <c r="A974" t="s">
        <v>1904</v>
      </c>
    </row>
    <row r="975" spans="1:1" x14ac:dyDescent="0.45">
      <c r="A975" t="s">
        <v>1905</v>
      </c>
    </row>
    <row r="976" spans="1:1" x14ac:dyDescent="0.45">
      <c r="A976" t="s">
        <v>1906</v>
      </c>
    </row>
    <row r="977" spans="1:1" x14ac:dyDescent="0.45">
      <c r="A977" t="s">
        <v>1907</v>
      </c>
    </row>
    <row r="978" spans="1:1" x14ac:dyDescent="0.45">
      <c r="A978" t="s">
        <v>1908</v>
      </c>
    </row>
    <row r="979" spans="1:1" x14ac:dyDescent="0.45">
      <c r="A979" t="s">
        <v>1909</v>
      </c>
    </row>
    <row r="980" spans="1:1" x14ac:dyDescent="0.45">
      <c r="A980" t="s">
        <v>1910</v>
      </c>
    </row>
    <row r="981" spans="1:1" x14ac:dyDescent="0.45">
      <c r="A981" t="s">
        <v>1911</v>
      </c>
    </row>
    <row r="982" spans="1:1" x14ac:dyDescent="0.45">
      <c r="A982" t="s">
        <v>761</v>
      </c>
    </row>
    <row r="983" spans="1:1" x14ac:dyDescent="0.45">
      <c r="A983" t="s">
        <v>1912</v>
      </c>
    </row>
    <row r="984" spans="1:1" x14ac:dyDescent="0.45">
      <c r="A984" t="s">
        <v>1913</v>
      </c>
    </row>
    <row r="985" spans="1:1" x14ac:dyDescent="0.45">
      <c r="A985" t="s">
        <v>1914</v>
      </c>
    </row>
    <row r="986" spans="1:1" x14ac:dyDescent="0.45">
      <c r="A986" t="s">
        <v>1915</v>
      </c>
    </row>
    <row r="987" spans="1:1" x14ac:dyDescent="0.45">
      <c r="A987" t="s">
        <v>1916</v>
      </c>
    </row>
    <row r="988" spans="1:1" x14ac:dyDescent="0.45">
      <c r="A988" t="s">
        <v>1917</v>
      </c>
    </row>
    <row r="989" spans="1:1" x14ac:dyDescent="0.45">
      <c r="A989" t="s">
        <v>1918</v>
      </c>
    </row>
    <row r="990" spans="1:1" x14ac:dyDescent="0.45">
      <c r="A990" t="s">
        <v>1919</v>
      </c>
    </row>
    <row r="991" spans="1:1" x14ac:dyDescent="0.45">
      <c r="A991" t="s">
        <v>1920</v>
      </c>
    </row>
    <row r="992" spans="1:1" x14ac:dyDescent="0.45">
      <c r="A992" t="s">
        <v>1921</v>
      </c>
    </row>
    <row r="993" spans="1:1" x14ac:dyDescent="0.45">
      <c r="A993" t="s">
        <v>1922</v>
      </c>
    </row>
    <row r="994" spans="1:1" x14ac:dyDescent="0.45">
      <c r="A994" t="s">
        <v>1923</v>
      </c>
    </row>
    <row r="995" spans="1:1" x14ac:dyDescent="0.45">
      <c r="A995" t="s">
        <v>1924</v>
      </c>
    </row>
    <row r="996" spans="1:1" x14ac:dyDescent="0.45">
      <c r="A996" t="s">
        <v>1925</v>
      </c>
    </row>
    <row r="997" spans="1:1" x14ac:dyDescent="0.45">
      <c r="A997" t="s">
        <v>1926</v>
      </c>
    </row>
    <row r="998" spans="1:1" x14ac:dyDescent="0.45">
      <c r="A998" t="s">
        <v>1927</v>
      </c>
    </row>
    <row r="999" spans="1:1" x14ac:dyDescent="0.45">
      <c r="A999" t="s">
        <v>1928</v>
      </c>
    </row>
    <row r="1000" spans="1:1" x14ac:dyDescent="0.45">
      <c r="A1000" t="s">
        <v>1929</v>
      </c>
    </row>
    <row r="1001" spans="1:1" x14ac:dyDescent="0.45">
      <c r="A1001" t="s">
        <v>1930</v>
      </c>
    </row>
    <row r="1002" spans="1:1" x14ac:dyDescent="0.45">
      <c r="A1002" t="s">
        <v>1931</v>
      </c>
    </row>
    <row r="1003" spans="1:1" x14ac:dyDescent="0.45">
      <c r="A1003" t="s">
        <v>1932</v>
      </c>
    </row>
    <row r="1004" spans="1:1" x14ac:dyDescent="0.45">
      <c r="A1004" t="s">
        <v>1933</v>
      </c>
    </row>
    <row r="1005" spans="1:1" x14ac:dyDescent="0.45">
      <c r="A1005" t="s">
        <v>180</v>
      </c>
    </row>
    <row r="1006" spans="1:1" x14ac:dyDescent="0.45">
      <c r="A1006" t="s">
        <v>1934</v>
      </c>
    </row>
    <row r="1007" spans="1:1" x14ac:dyDescent="0.45">
      <c r="A1007" t="s">
        <v>1935</v>
      </c>
    </row>
    <row r="1008" spans="1:1" x14ac:dyDescent="0.45">
      <c r="A1008" t="s">
        <v>1936</v>
      </c>
    </row>
    <row r="1009" spans="1:1" x14ac:dyDescent="0.45">
      <c r="A1009" t="s">
        <v>1937</v>
      </c>
    </row>
    <row r="1010" spans="1:1" x14ac:dyDescent="0.45">
      <c r="A1010" t="s">
        <v>1938</v>
      </c>
    </row>
    <row r="1011" spans="1:1" x14ac:dyDescent="0.45">
      <c r="A1011" t="s">
        <v>1939</v>
      </c>
    </row>
    <row r="1012" spans="1:1" x14ac:dyDescent="0.45">
      <c r="A1012" t="s">
        <v>1940</v>
      </c>
    </row>
    <row r="1013" spans="1:1" x14ac:dyDescent="0.45">
      <c r="A1013" t="s">
        <v>1941</v>
      </c>
    </row>
    <row r="1014" spans="1:1" x14ac:dyDescent="0.45">
      <c r="A1014" t="s">
        <v>1942</v>
      </c>
    </row>
    <row r="1015" spans="1:1" x14ac:dyDescent="0.45">
      <c r="A1015" t="s">
        <v>1943</v>
      </c>
    </row>
    <row r="1016" spans="1:1" x14ac:dyDescent="0.45">
      <c r="A1016" t="s">
        <v>1944</v>
      </c>
    </row>
    <row r="1017" spans="1:1" x14ac:dyDescent="0.45">
      <c r="A1017" t="s">
        <v>717</v>
      </c>
    </row>
    <row r="1018" spans="1:1" x14ac:dyDescent="0.45">
      <c r="A1018" t="s">
        <v>1945</v>
      </c>
    </row>
    <row r="1019" spans="1:1" x14ac:dyDescent="0.45">
      <c r="A1019" t="s">
        <v>1946</v>
      </c>
    </row>
    <row r="1020" spans="1:1" x14ac:dyDescent="0.45">
      <c r="A1020" t="s">
        <v>1947</v>
      </c>
    </row>
    <row r="1021" spans="1:1" x14ac:dyDescent="0.45">
      <c r="A1021" t="s">
        <v>1948</v>
      </c>
    </row>
    <row r="1022" spans="1:1" x14ac:dyDescent="0.45">
      <c r="A1022" t="s">
        <v>1949</v>
      </c>
    </row>
    <row r="1023" spans="1:1" x14ac:dyDescent="0.45">
      <c r="A1023" t="s">
        <v>1950</v>
      </c>
    </row>
    <row r="1024" spans="1:1" x14ac:dyDescent="0.45">
      <c r="A1024" t="s">
        <v>1951</v>
      </c>
    </row>
    <row r="1025" spans="1:1" x14ac:dyDescent="0.45">
      <c r="A1025" t="s">
        <v>669</v>
      </c>
    </row>
    <row r="1026" spans="1:1" x14ac:dyDescent="0.45">
      <c r="A1026" t="s">
        <v>1952</v>
      </c>
    </row>
    <row r="1027" spans="1:1" x14ac:dyDescent="0.45">
      <c r="A1027" t="s">
        <v>1953</v>
      </c>
    </row>
    <row r="1028" spans="1:1" x14ac:dyDescent="0.45">
      <c r="A1028" t="s">
        <v>1954</v>
      </c>
    </row>
    <row r="1029" spans="1:1" x14ac:dyDescent="0.45">
      <c r="A1029" t="s">
        <v>1955</v>
      </c>
    </row>
    <row r="1030" spans="1:1" x14ac:dyDescent="0.45">
      <c r="A1030" t="s">
        <v>1956</v>
      </c>
    </row>
    <row r="1031" spans="1:1" x14ac:dyDescent="0.45">
      <c r="A1031" t="s">
        <v>1957</v>
      </c>
    </row>
    <row r="1032" spans="1:1" x14ac:dyDescent="0.45">
      <c r="A1032" t="s">
        <v>1958</v>
      </c>
    </row>
    <row r="1033" spans="1:1" x14ac:dyDescent="0.45">
      <c r="A1033" t="s">
        <v>1959</v>
      </c>
    </row>
    <row r="1034" spans="1:1" x14ac:dyDescent="0.45">
      <c r="A1034" t="s">
        <v>1960</v>
      </c>
    </row>
    <row r="1035" spans="1:1" x14ac:dyDescent="0.45">
      <c r="A1035" t="s">
        <v>375</v>
      </c>
    </row>
    <row r="1036" spans="1:1" x14ac:dyDescent="0.45">
      <c r="A1036" t="s">
        <v>1961</v>
      </c>
    </row>
    <row r="1037" spans="1:1" x14ac:dyDescent="0.45">
      <c r="A1037" t="s">
        <v>1962</v>
      </c>
    </row>
    <row r="1038" spans="1:1" x14ac:dyDescent="0.45">
      <c r="A1038" t="s">
        <v>1963</v>
      </c>
    </row>
    <row r="1039" spans="1:1" x14ac:dyDescent="0.45">
      <c r="A1039" t="s">
        <v>1964</v>
      </c>
    </row>
    <row r="1040" spans="1:1" x14ac:dyDescent="0.45">
      <c r="A1040" t="s">
        <v>1965</v>
      </c>
    </row>
    <row r="1041" spans="1:1" x14ac:dyDescent="0.45">
      <c r="A1041" t="s">
        <v>1966</v>
      </c>
    </row>
    <row r="1042" spans="1:1" x14ac:dyDescent="0.45">
      <c r="A1042" t="s">
        <v>1967</v>
      </c>
    </row>
    <row r="1043" spans="1:1" x14ac:dyDescent="0.45">
      <c r="A1043" t="s">
        <v>1968</v>
      </c>
    </row>
    <row r="1044" spans="1:1" x14ac:dyDescent="0.45">
      <c r="A1044" t="s">
        <v>193</v>
      </c>
    </row>
    <row r="1045" spans="1:1" x14ac:dyDescent="0.45">
      <c r="A1045" t="s">
        <v>1969</v>
      </c>
    </row>
    <row r="1046" spans="1:1" x14ac:dyDescent="0.45">
      <c r="A1046" t="s">
        <v>1970</v>
      </c>
    </row>
    <row r="1047" spans="1:1" x14ac:dyDescent="0.45">
      <c r="A1047" t="s">
        <v>1971</v>
      </c>
    </row>
    <row r="1048" spans="1:1" x14ac:dyDescent="0.45">
      <c r="A1048" t="s">
        <v>1972</v>
      </c>
    </row>
    <row r="1049" spans="1:1" x14ac:dyDescent="0.45">
      <c r="A1049" t="s">
        <v>1973</v>
      </c>
    </row>
    <row r="1050" spans="1:1" x14ac:dyDescent="0.45">
      <c r="A1050" t="s">
        <v>1974</v>
      </c>
    </row>
    <row r="1051" spans="1:1" x14ac:dyDescent="0.45">
      <c r="A1051" t="s">
        <v>1975</v>
      </c>
    </row>
    <row r="1052" spans="1:1" x14ac:dyDescent="0.45">
      <c r="A1052" t="s">
        <v>1976</v>
      </c>
    </row>
    <row r="1053" spans="1:1" x14ac:dyDescent="0.45">
      <c r="A1053" t="s">
        <v>1977</v>
      </c>
    </row>
    <row r="1054" spans="1:1" x14ac:dyDescent="0.45">
      <c r="A1054" t="s">
        <v>1978</v>
      </c>
    </row>
    <row r="1055" spans="1:1" x14ac:dyDescent="0.45">
      <c r="A1055" t="s">
        <v>1979</v>
      </c>
    </row>
    <row r="1056" spans="1:1" x14ac:dyDescent="0.45">
      <c r="A1056" t="s">
        <v>1980</v>
      </c>
    </row>
    <row r="1057" spans="1:1" x14ac:dyDescent="0.45">
      <c r="A1057" t="s">
        <v>323</v>
      </c>
    </row>
    <row r="1058" spans="1:1" x14ac:dyDescent="0.45">
      <c r="A1058" t="s">
        <v>1981</v>
      </c>
    </row>
    <row r="1059" spans="1:1" x14ac:dyDescent="0.45">
      <c r="A1059" t="s">
        <v>1982</v>
      </c>
    </row>
    <row r="1060" spans="1:1" x14ac:dyDescent="0.45">
      <c r="A1060" t="s">
        <v>1983</v>
      </c>
    </row>
    <row r="1061" spans="1:1" x14ac:dyDescent="0.45">
      <c r="A1061" t="s">
        <v>1984</v>
      </c>
    </row>
    <row r="1062" spans="1:1" x14ac:dyDescent="0.45">
      <c r="A1062" t="s">
        <v>1985</v>
      </c>
    </row>
    <row r="1063" spans="1:1" x14ac:dyDescent="0.45">
      <c r="A1063" t="s">
        <v>1986</v>
      </c>
    </row>
    <row r="1064" spans="1:1" x14ac:dyDescent="0.45">
      <c r="A1064" t="s">
        <v>1987</v>
      </c>
    </row>
    <row r="1065" spans="1:1" x14ac:dyDescent="0.45">
      <c r="A1065" t="s">
        <v>1988</v>
      </c>
    </row>
    <row r="1066" spans="1:1" x14ac:dyDescent="0.45">
      <c r="A1066" t="s">
        <v>1989</v>
      </c>
    </row>
    <row r="1067" spans="1:1" x14ac:dyDescent="0.45">
      <c r="A1067" t="s">
        <v>1990</v>
      </c>
    </row>
    <row r="1068" spans="1:1" x14ac:dyDescent="0.45">
      <c r="A1068" t="s">
        <v>1991</v>
      </c>
    </row>
    <row r="1069" spans="1:1" x14ac:dyDescent="0.45">
      <c r="A1069" t="s">
        <v>1992</v>
      </c>
    </row>
    <row r="1070" spans="1:1" x14ac:dyDescent="0.45">
      <c r="A1070" t="s">
        <v>1993</v>
      </c>
    </row>
    <row r="1071" spans="1:1" x14ac:dyDescent="0.45">
      <c r="A1071" t="s">
        <v>465</v>
      </c>
    </row>
    <row r="1072" spans="1:1" x14ac:dyDescent="0.45">
      <c r="A1072" t="s">
        <v>1994</v>
      </c>
    </row>
    <row r="1073" spans="1:1" x14ac:dyDescent="0.45">
      <c r="A1073" t="s">
        <v>1995</v>
      </c>
    </row>
    <row r="1074" spans="1:1" x14ac:dyDescent="0.45">
      <c r="A1074" t="s">
        <v>1996</v>
      </c>
    </row>
    <row r="1075" spans="1:1" x14ac:dyDescent="0.45">
      <c r="A1075" t="s">
        <v>1997</v>
      </c>
    </row>
    <row r="1076" spans="1:1" x14ac:dyDescent="0.45">
      <c r="A1076" t="s">
        <v>1998</v>
      </c>
    </row>
    <row r="1077" spans="1:1" x14ac:dyDescent="0.45">
      <c r="A1077" t="s">
        <v>1999</v>
      </c>
    </row>
    <row r="1078" spans="1:1" x14ac:dyDescent="0.45">
      <c r="A1078" t="s">
        <v>2000</v>
      </c>
    </row>
    <row r="1079" spans="1:1" x14ac:dyDescent="0.45">
      <c r="A1079" t="s">
        <v>376</v>
      </c>
    </row>
    <row r="1080" spans="1:1" x14ac:dyDescent="0.45">
      <c r="A1080" t="s">
        <v>2001</v>
      </c>
    </row>
    <row r="1081" spans="1:1" x14ac:dyDescent="0.45">
      <c r="A1081" t="s">
        <v>2002</v>
      </c>
    </row>
    <row r="1082" spans="1:1" x14ac:dyDescent="0.45">
      <c r="A1082" t="s">
        <v>2003</v>
      </c>
    </row>
    <row r="1083" spans="1:1" x14ac:dyDescent="0.45">
      <c r="A1083" t="s">
        <v>2004</v>
      </c>
    </row>
    <row r="1084" spans="1:1" x14ac:dyDescent="0.45">
      <c r="A1084" t="s">
        <v>2005</v>
      </c>
    </row>
    <row r="1085" spans="1:1" x14ac:dyDescent="0.45">
      <c r="A1085" t="s">
        <v>2006</v>
      </c>
    </row>
    <row r="1086" spans="1:1" x14ac:dyDescent="0.45">
      <c r="A1086" t="s">
        <v>2007</v>
      </c>
    </row>
    <row r="1087" spans="1:1" x14ac:dyDescent="0.45">
      <c r="A1087" t="s">
        <v>2008</v>
      </c>
    </row>
    <row r="1088" spans="1:1" x14ac:dyDescent="0.45">
      <c r="A1088" t="s">
        <v>475</v>
      </c>
    </row>
    <row r="1089" spans="1:1" x14ac:dyDescent="0.45">
      <c r="A1089" t="s">
        <v>2009</v>
      </c>
    </row>
    <row r="1090" spans="1:1" x14ac:dyDescent="0.45">
      <c r="A1090" t="s">
        <v>2010</v>
      </c>
    </row>
    <row r="1091" spans="1:1" x14ac:dyDescent="0.45">
      <c r="A1091" t="s">
        <v>2011</v>
      </c>
    </row>
    <row r="1092" spans="1:1" x14ac:dyDescent="0.45">
      <c r="A1092" t="s">
        <v>2012</v>
      </c>
    </row>
    <row r="1093" spans="1:1" x14ac:dyDescent="0.45">
      <c r="A1093" t="s">
        <v>2013</v>
      </c>
    </row>
    <row r="1094" spans="1:1" x14ac:dyDescent="0.45">
      <c r="A1094" t="s">
        <v>2014</v>
      </c>
    </row>
    <row r="1095" spans="1:1" x14ac:dyDescent="0.45">
      <c r="A1095" t="s">
        <v>2015</v>
      </c>
    </row>
    <row r="1096" spans="1:1" x14ac:dyDescent="0.45">
      <c r="A1096" t="s">
        <v>2016</v>
      </c>
    </row>
    <row r="1097" spans="1:1" x14ac:dyDescent="0.45">
      <c r="A1097" t="s">
        <v>678</v>
      </c>
    </row>
    <row r="1098" spans="1:1" x14ac:dyDescent="0.45">
      <c r="A1098" t="s">
        <v>2017</v>
      </c>
    </row>
    <row r="1099" spans="1:1" x14ac:dyDescent="0.45">
      <c r="A1099" t="s">
        <v>2018</v>
      </c>
    </row>
    <row r="1100" spans="1:1" x14ac:dyDescent="0.45">
      <c r="A1100" t="s">
        <v>2019</v>
      </c>
    </row>
    <row r="1101" spans="1:1" x14ac:dyDescent="0.45">
      <c r="A1101" t="s">
        <v>2020</v>
      </c>
    </row>
    <row r="1102" spans="1:1" x14ac:dyDescent="0.45">
      <c r="A1102" t="s">
        <v>2021</v>
      </c>
    </row>
    <row r="1103" spans="1:1" x14ac:dyDescent="0.45">
      <c r="A1103" t="s">
        <v>714</v>
      </c>
    </row>
    <row r="1104" spans="1:1" x14ac:dyDescent="0.45">
      <c r="A1104" t="s">
        <v>2022</v>
      </c>
    </row>
    <row r="1105" spans="1:1" x14ac:dyDescent="0.45">
      <c r="A1105" t="s">
        <v>2023</v>
      </c>
    </row>
    <row r="1106" spans="1:1" x14ac:dyDescent="0.45">
      <c r="A1106" t="s">
        <v>2024</v>
      </c>
    </row>
    <row r="1107" spans="1:1" x14ac:dyDescent="0.45">
      <c r="A1107" t="s">
        <v>2025</v>
      </c>
    </row>
    <row r="1108" spans="1:1" x14ac:dyDescent="0.45">
      <c r="A1108" t="s">
        <v>2026</v>
      </c>
    </row>
    <row r="1109" spans="1:1" x14ac:dyDescent="0.45">
      <c r="A1109" t="s">
        <v>2027</v>
      </c>
    </row>
    <row r="1110" spans="1:1" x14ac:dyDescent="0.45">
      <c r="A1110" t="s">
        <v>2028</v>
      </c>
    </row>
    <row r="1111" spans="1:1" x14ac:dyDescent="0.45">
      <c r="A1111" t="s">
        <v>2029</v>
      </c>
    </row>
    <row r="1112" spans="1:1" x14ac:dyDescent="0.45">
      <c r="A1112" t="s">
        <v>2030</v>
      </c>
    </row>
    <row r="1113" spans="1:1" x14ac:dyDescent="0.45">
      <c r="A1113" t="s">
        <v>2031</v>
      </c>
    </row>
    <row r="1114" spans="1:1" x14ac:dyDescent="0.45">
      <c r="A1114" t="s">
        <v>2032</v>
      </c>
    </row>
    <row r="1115" spans="1:1" x14ac:dyDescent="0.45">
      <c r="A1115" t="s">
        <v>2033</v>
      </c>
    </row>
    <row r="1116" spans="1:1" x14ac:dyDescent="0.45">
      <c r="A1116" t="s">
        <v>2034</v>
      </c>
    </row>
    <row r="1117" spans="1:1" x14ac:dyDescent="0.45">
      <c r="A1117" t="s">
        <v>2035</v>
      </c>
    </row>
    <row r="1118" spans="1:1" x14ac:dyDescent="0.45">
      <c r="A1118" t="s">
        <v>2036</v>
      </c>
    </row>
    <row r="1119" spans="1:1" x14ac:dyDescent="0.45">
      <c r="A1119" t="s">
        <v>2037</v>
      </c>
    </row>
    <row r="1120" spans="1:1" x14ac:dyDescent="0.45">
      <c r="A1120" t="s">
        <v>2038</v>
      </c>
    </row>
    <row r="1121" spans="1:1" x14ac:dyDescent="0.45">
      <c r="A1121" t="s">
        <v>2039</v>
      </c>
    </row>
    <row r="1122" spans="1:1" x14ac:dyDescent="0.45">
      <c r="A1122" t="s">
        <v>2040</v>
      </c>
    </row>
    <row r="1123" spans="1:1" x14ac:dyDescent="0.45">
      <c r="A1123" t="s">
        <v>2041</v>
      </c>
    </row>
    <row r="1124" spans="1:1" x14ac:dyDescent="0.45">
      <c r="A1124" t="s">
        <v>2042</v>
      </c>
    </row>
    <row r="1125" spans="1:1" x14ac:dyDescent="0.45">
      <c r="A1125" t="s">
        <v>2043</v>
      </c>
    </row>
    <row r="1126" spans="1:1" x14ac:dyDescent="0.45">
      <c r="A1126" t="s">
        <v>2044</v>
      </c>
    </row>
    <row r="1127" spans="1:1" x14ac:dyDescent="0.45">
      <c r="A1127" t="s">
        <v>2045</v>
      </c>
    </row>
    <row r="1128" spans="1:1" x14ac:dyDescent="0.45">
      <c r="A1128" t="s">
        <v>2046</v>
      </c>
    </row>
    <row r="1129" spans="1:1" x14ac:dyDescent="0.45">
      <c r="A1129" t="s">
        <v>2047</v>
      </c>
    </row>
    <row r="1130" spans="1:1" x14ac:dyDescent="0.45">
      <c r="A1130" t="s">
        <v>2048</v>
      </c>
    </row>
    <row r="1131" spans="1:1" x14ac:dyDescent="0.45">
      <c r="A1131" t="s">
        <v>2049</v>
      </c>
    </row>
    <row r="1132" spans="1:1" x14ac:dyDescent="0.45">
      <c r="A1132" t="s">
        <v>2050</v>
      </c>
    </row>
    <row r="1133" spans="1:1" x14ac:dyDescent="0.45">
      <c r="A1133" t="s">
        <v>574</v>
      </c>
    </row>
    <row r="1134" spans="1:1" x14ac:dyDescent="0.45">
      <c r="A1134" t="s">
        <v>758</v>
      </c>
    </row>
    <row r="1135" spans="1:1" x14ac:dyDescent="0.45">
      <c r="A1135" t="s">
        <v>2051</v>
      </c>
    </row>
    <row r="1136" spans="1:1" x14ac:dyDescent="0.45">
      <c r="A1136" t="s">
        <v>2052</v>
      </c>
    </row>
    <row r="1137" spans="1:1" x14ac:dyDescent="0.45">
      <c r="A1137" t="s">
        <v>2053</v>
      </c>
    </row>
    <row r="1138" spans="1:1" x14ac:dyDescent="0.45">
      <c r="A1138" t="s">
        <v>2054</v>
      </c>
    </row>
    <row r="1139" spans="1:1" x14ac:dyDescent="0.45">
      <c r="A1139" t="s">
        <v>2055</v>
      </c>
    </row>
    <row r="1140" spans="1:1" x14ac:dyDescent="0.45">
      <c r="A1140" t="s">
        <v>2056</v>
      </c>
    </row>
    <row r="1141" spans="1:1" x14ac:dyDescent="0.45">
      <c r="A1141" t="s">
        <v>2057</v>
      </c>
    </row>
    <row r="1142" spans="1:1" x14ac:dyDescent="0.45">
      <c r="A1142" t="s">
        <v>2058</v>
      </c>
    </row>
    <row r="1143" spans="1:1" x14ac:dyDescent="0.45">
      <c r="A1143" t="s">
        <v>2059</v>
      </c>
    </row>
    <row r="1144" spans="1:1" x14ac:dyDescent="0.45">
      <c r="A1144" t="s">
        <v>2060</v>
      </c>
    </row>
    <row r="1145" spans="1:1" x14ac:dyDescent="0.45">
      <c r="A1145" t="s">
        <v>2061</v>
      </c>
    </row>
    <row r="1146" spans="1:1" x14ac:dyDescent="0.45">
      <c r="A1146" t="s">
        <v>2062</v>
      </c>
    </row>
    <row r="1147" spans="1:1" x14ac:dyDescent="0.45">
      <c r="A1147" t="s">
        <v>686</v>
      </c>
    </row>
    <row r="1148" spans="1:1" x14ac:dyDescent="0.45">
      <c r="A1148" t="s">
        <v>2063</v>
      </c>
    </row>
    <row r="1149" spans="1:1" x14ac:dyDescent="0.45">
      <c r="A1149" t="s">
        <v>2064</v>
      </c>
    </row>
    <row r="1150" spans="1:1" x14ac:dyDescent="0.45">
      <c r="A1150" t="s">
        <v>2065</v>
      </c>
    </row>
    <row r="1151" spans="1:1" x14ac:dyDescent="0.45">
      <c r="A1151" t="s">
        <v>2066</v>
      </c>
    </row>
    <row r="1152" spans="1:1" x14ac:dyDescent="0.45">
      <c r="A1152" t="s">
        <v>2067</v>
      </c>
    </row>
    <row r="1153" spans="1:1" x14ac:dyDescent="0.45">
      <c r="A1153" t="s">
        <v>2068</v>
      </c>
    </row>
    <row r="1154" spans="1:1" x14ac:dyDescent="0.45">
      <c r="A1154" t="s">
        <v>150</v>
      </c>
    </row>
    <row r="1155" spans="1:1" x14ac:dyDescent="0.45">
      <c r="A1155" t="s">
        <v>2069</v>
      </c>
    </row>
    <row r="1156" spans="1:1" x14ac:dyDescent="0.45">
      <c r="A1156" t="s">
        <v>2070</v>
      </c>
    </row>
    <row r="1157" spans="1:1" x14ac:dyDescent="0.45">
      <c r="A1157" t="s">
        <v>2071</v>
      </c>
    </row>
    <row r="1158" spans="1:1" x14ac:dyDescent="0.45">
      <c r="A1158" t="s">
        <v>2072</v>
      </c>
    </row>
    <row r="1159" spans="1:1" x14ac:dyDescent="0.45">
      <c r="A1159" t="s">
        <v>2073</v>
      </c>
    </row>
    <row r="1160" spans="1:1" x14ac:dyDescent="0.45">
      <c r="A1160" t="s">
        <v>2074</v>
      </c>
    </row>
    <row r="1161" spans="1:1" x14ac:dyDescent="0.45">
      <c r="A1161" t="s">
        <v>2075</v>
      </c>
    </row>
    <row r="1162" spans="1:1" x14ac:dyDescent="0.45">
      <c r="A1162" t="s">
        <v>2076</v>
      </c>
    </row>
    <row r="1163" spans="1:1" x14ac:dyDescent="0.45">
      <c r="A1163" t="s">
        <v>2077</v>
      </c>
    </row>
    <row r="1164" spans="1:1" x14ac:dyDescent="0.45">
      <c r="A1164" t="s">
        <v>2078</v>
      </c>
    </row>
    <row r="1165" spans="1:1" x14ac:dyDescent="0.45">
      <c r="A1165" t="s">
        <v>2079</v>
      </c>
    </row>
    <row r="1166" spans="1:1" x14ac:dyDescent="0.45">
      <c r="A1166" t="s">
        <v>2080</v>
      </c>
    </row>
    <row r="1167" spans="1:1" x14ac:dyDescent="0.45">
      <c r="A1167" t="s">
        <v>2081</v>
      </c>
    </row>
    <row r="1168" spans="1:1" x14ac:dyDescent="0.45">
      <c r="A1168" t="s">
        <v>2082</v>
      </c>
    </row>
    <row r="1169" spans="1:1" x14ac:dyDescent="0.45">
      <c r="A1169" t="s">
        <v>2083</v>
      </c>
    </row>
    <row r="1170" spans="1:1" x14ac:dyDescent="0.45">
      <c r="A1170" t="s">
        <v>2084</v>
      </c>
    </row>
    <row r="1171" spans="1:1" x14ac:dyDescent="0.45">
      <c r="A1171" t="s">
        <v>2085</v>
      </c>
    </row>
    <row r="1172" spans="1:1" x14ac:dyDescent="0.45">
      <c r="A1172" t="s">
        <v>2086</v>
      </c>
    </row>
    <row r="1173" spans="1:1" x14ac:dyDescent="0.45">
      <c r="A1173" t="s">
        <v>2087</v>
      </c>
    </row>
    <row r="1174" spans="1:1" x14ac:dyDescent="0.45">
      <c r="A1174" t="s">
        <v>2088</v>
      </c>
    </row>
    <row r="1175" spans="1:1" x14ac:dyDescent="0.45">
      <c r="A1175" t="s">
        <v>2089</v>
      </c>
    </row>
    <row r="1176" spans="1:1" x14ac:dyDescent="0.45">
      <c r="A1176" t="s">
        <v>2090</v>
      </c>
    </row>
    <row r="1177" spans="1:1" x14ac:dyDescent="0.45">
      <c r="A1177" t="s">
        <v>2091</v>
      </c>
    </row>
    <row r="1178" spans="1:1" x14ac:dyDescent="0.45">
      <c r="A1178" t="s">
        <v>2092</v>
      </c>
    </row>
    <row r="1179" spans="1:1" x14ac:dyDescent="0.45">
      <c r="A1179" t="s">
        <v>2093</v>
      </c>
    </row>
    <row r="1180" spans="1:1" x14ac:dyDescent="0.45">
      <c r="A1180" t="s">
        <v>2094</v>
      </c>
    </row>
    <row r="1181" spans="1:1" x14ac:dyDescent="0.45">
      <c r="A1181" t="s">
        <v>2095</v>
      </c>
    </row>
    <row r="1182" spans="1:1" x14ac:dyDescent="0.45">
      <c r="A1182" t="s">
        <v>2096</v>
      </c>
    </row>
    <row r="1183" spans="1:1" x14ac:dyDescent="0.45">
      <c r="A1183" t="s">
        <v>2097</v>
      </c>
    </row>
    <row r="1184" spans="1:1" x14ac:dyDescent="0.45">
      <c r="A1184" t="s">
        <v>230</v>
      </c>
    </row>
    <row r="1185" spans="1:1" x14ac:dyDescent="0.45">
      <c r="A1185" t="s">
        <v>2098</v>
      </c>
    </row>
    <row r="1186" spans="1:1" x14ac:dyDescent="0.45">
      <c r="A1186" t="s">
        <v>2099</v>
      </c>
    </row>
    <row r="1187" spans="1:1" x14ac:dyDescent="0.45">
      <c r="A1187" t="s">
        <v>2100</v>
      </c>
    </row>
    <row r="1188" spans="1:1" x14ac:dyDescent="0.45">
      <c r="A1188" t="s">
        <v>2101</v>
      </c>
    </row>
    <row r="1189" spans="1:1" x14ac:dyDescent="0.45">
      <c r="A1189" t="s">
        <v>2102</v>
      </c>
    </row>
    <row r="1190" spans="1:1" x14ac:dyDescent="0.45">
      <c r="A1190" t="s">
        <v>2103</v>
      </c>
    </row>
    <row r="1191" spans="1:1" x14ac:dyDescent="0.45">
      <c r="A1191" t="s">
        <v>2104</v>
      </c>
    </row>
    <row r="1192" spans="1:1" x14ac:dyDescent="0.45">
      <c r="A1192" t="s">
        <v>2105</v>
      </c>
    </row>
    <row r="1193" spans="1:1" x14ac:dyDescent="0.45">
      <c r="A1193" t="s">
        <v>2106</v>
      </c>
    </row>
    <row r="1194" spans="1:1" x14ac:dyDescent="0.45">
      <c r="A1194" t="s">
        <v>2107</v>
      </c>
    </row>
    <row r="1195" spans="1:1" x14ac:dyDescent="0.45">
      <c r="A1195" t="s">
        <v>479</v>
      </c>
    </row>
    <row r="1196" spans="1:1" x14ac:dyDescent="0.45">
      <c r="A1196" t="s">
        <v>2108</v>
      </c>
    </row>
    <row r="1197" spans="1:1" x14ac:dyDescent="0.45">
      <c r="A1197" t="s">
        <v>2109</v>
      </c>
    </row>
    <row r="1198" spans="1:1" x14ac:dyDescent="0.45">
      <c r="A1198" t="s">
        <v>2110</v>
      </c>
    </row>
    <row r="1199" spans="1:1" x14ac:dyDescent="0.45">
      <c r="A1199" t="s">
        <v>2111</v>
      </c>
    </row>
    <row r="1200" spans="1:1" x14ac:dyDescent="0.45">
      <c r="A1200" t="s">
        <v>164</v>
      </c>
    </row>
    <row r="1201" spans="1:1" x14ac:dyDescent="0.45">
      <c r="A1201" t="s">
        <v>2112</v>
      </c>
    </row>
    <row r="1202" spans="1:1" x14ac:dyDescent="0.45">
      <c r="A1202" t="s">
        <v>2113</v>
      </c>
    </row>
    <row r="1203" spans="1:1" x14ac:dyDescent="0.45">
      <c r="A1203" t="s">
        <v>2114</v>
      </c>
    </row>
    <row r="1204" spans="1:1" x14ac:dyDescent="0.45">
      <c r="A1204" t="s">
        <v>2115</v>
      </c>
    </row>
    <row r="1205" spans="1:1" x14ac:dyDescent="0.45">
      <c r="A1205" t="s">
        <v>2116</v>
      </c>
    </row>
    <row r="1206" spans="1:1" x14ac:dyDescent="0.45">
      <c r="A1206" t="s">
        <v>2117</v>
      </c>
    </row>
    <row r="1207" spans="1:1" x14ac:dyDescent="0.45">
      <c r="A1207" t="s">
        <v>2118</v>
      </c>
    </row>
    <row r="1208" spans="1:1" x14ac:dyDescent="0.45">
      <c r="A1208" t="s">
        <v>2119</v>
      </c>
    </row>
    <row r="1209" spans="1:1" x14ac:dyDescent="0.45">
      <c r="A1209" t="s">
        <v>2120</v>
      </c>
    </row>
    <row r="1210" spans="1:1" x14ac:dyDescent="0.45">
      <c r="A1210" t="s">
        <v>2121</v>
      </c>
    </row>
    <row r="1211" spans="1:1" x14ac:dyDescent="0.45">
      <c r="A1211" t="s">
        <v>2122</v>
      </c>
    </row>
    <row r="1212" spans="1:1" x14ac:dyDescent="0.45">
      <c r="A1212" t="s">
        <v>2123</v>
      </c>
    </row>
    <row r="1213" spans="1:1" x14ac:dyDescent="0.45">
      <c r="A1213" t="s">
        <v>517</v>
      </c>
    </row>
    <row r="1214" spans="1:1" x14ac:dyDescent="0.45">
      <c r="A1214" t="s">
        <v>2124</v>
      </c>
    </row>
    <row r="1215" spans="1:1" x14ac:dyDescent="0.45">
      <c r="A1215" t="s">
        <v>2125</v>
      </c>
    </row>
    <row r="1216" spans="1:1" x14ac:dyDescent="0.45">
      <c r="A1216" t="s">
        <v>2126</v>
      </c>
    </row>
    <row r="1217" spans="1:1" x14ac:dyDescent="0.45">
      <c r="A1217" t="s">
        <v>2127</v>
      </c>
    </row>
    <row r="1218" spans="1:1" x14ac:dyDescent="0.45">
      <c r="A1218" t="s">
        <v>721</v>
      </c>
    </row>
    <row r="1219" spans="1:1" x14ac:dyDescent="0.45">
      <c r="A1219" t="s">
        <v>448</v>
      </c>
    </row>
    <row r="1220" spans="1:1" x14ac:dyDescent="0.45">
      <c r="A1220" t="s">
        <v>2128</v>
      </c>
    </row>
    <row r="1221" spans="1:1" x14ac:dyDescent="0.45">
      <c r="A1221" t="s">
        <v>540</v>
      </c>
    </row>
    <row r="1222" spans="1:1" x14ac:dyDescent="0.45">
      <c r="A1222" t="s">
        <v>2129</v>
      </c>
    </row>
    <row r="1223" spans="1:1" x14ac:dyDescent="0.45">
      <c r="A1223" t="s">
        <v>2130</v>
      </c>
    </row>
    <row r="1224" spans="1:1" x14ac:dyDescent="0.45">
      <c r="A1224" t="s">
        <v>704</v>
      </c>
    </row>
    <row r="1225" spans="1:1" x14ac:dyDescent="0.45">
      <c r="A1225" t="s">
        <v>276</v>
      </c>
    </row>
    <row r="1226" spans="1:1" x14ac:dyDescent="0.45">
      <c r="A1226" t="s">
        <v>2131</v>
      </c>
    </row>
    <row r="1227" spans="1:1" x14ac:dyDescent="0.45">
      <c r="A1227" t="s">
        <v>2132</v>
      </c>
    </row>
    <row r="1228" spans="1:1" x14ac:dyDescent="0.45">
      <c r="A1228" t="s">
        <v>2133</v>
      </c>
    </row>
    <row r="1229" spans="1:1" x14ac:dyDescent="0.45">
      <c r="A1229" t="s">
        <v>2134</v>
      </c>
    </row>
    <row r="1230" spans="1:1" x14ac:dyDescent="0.45">
      <c r="A1230" t="s">
        <v>2135</v>
      </c>
    </row>
    <row r="1231" spans="1:1" x14ac:dyDescent="0.45">
      <c r="A1231" t="s">
        <v>2136</v>
      </c>
    </row>
    <row r="1232" spans="1:1" x14ac:dyDescent="0.45">
      <c r="A1232" t="s">
        <v>2137</v>
      </c>
    </row>
    <row r="1233" spans="1:1" x14ac:dyDescent="0.45">
      <c r="A1233" t="s">
        <v>2138</v>
      </c>
    </row>
    <row r="1234" spans="1:1" x14ac:dyDescent="0.45">
      <c r="A1234" t="s">
        <v>2139</v>
      </c>
    </row>
    <row r="1235" spans="1:1" x14ac:dyDescent="0.45">
      <c r="A1235" t="s">
        <v>2140</v>
      </c>
    </row>
    <row r="1236" spans="1:1" x14ac:dyDescent="0.45">
      <c r="A1236" t="s">
        <v>2141</v>
      </c>
    </row>
    <row r="1237" spans="1:1" x14ac:dyDescent="0.45">
      <c r="A1237" t="s">
        <v>2142</v>
      </c>
    </row>
    <row r="1238" spans="1:1" x14ac:dyDescent="0.45">
      <c r="A1238" t="s">
        <v>2143</v>
      </c>
    </row>
    <row r="1239" spans="1:1" x14ac:dyDescent="0.45">
      <c r="A1239" t="s">
        <v>2144</v>
      </c>
    </row>
    <row r="1240" spans="1:1" x14ac:dyDescent="0.45">
      <c r="A1240" t="s">
        <v>2145</v>
      </c>
    </row>
    <row r="1241" spans="1:1" x14ac:dyDescent="0.45">
      <c r="A1241" t="s">
        <v>2146</v>
      </c>
    </row>
    <row r="1242" spans="1:1" x14ac:dyDescent="0.45">
      <c r="A1242" t="s">
        <v>2147</v>
      </c>
    </row>
    <row r="1243" spans="1:1" x14ac:dyDescent="0.45">
      <c r="A1243" t="s">
        <v>2148</v>
      </c>
    </row>
    <row r="1244" spans="1:1" x14ac:dyDescent="0.45">
      <c r="A1244" t="s">
        <v>2149</v>
      </c>
    </row>
    <row r="1245" spans="1:1" x14ac:dyDescent="0.45">
      <c r="A1245" t="s">
        <v>2150</v>
      </c>
    </row>
    <row r="1246" spans="1:1" x14ac:dyDescent="0.45">
      <c r="A1246" t="s">
        <v>553</v>
      </c>
    </row>
    <row r="1247" spans="1:1" x14ac:dyDescent="0.45">
      <c r="A1247" t="s">
        <v>2151</v>
      </c>
    </row>
    <row r="1248" spans="1:1" x14ac:dyDescent="0.45">
      <c r="A1248" t="s">
        <v>258</v>
      </c>
    </row>
    <row r="1249" spans="1:1" x14ac:dyDescent="0.45">
      <c r="A1249" t="s">
        <v>2152</v>
      </c>
    </row>
    <row r="1250" spans="1:1" x14ac:dyDescent="0.45">
      <c r="A1250" t="s">
        <v>188</v>
      </c>
    </row>
    <row r="1251" spans="1:1" x14ac:dyDescent="0.45">
      <c r="A1251" t="s">
        <v>2153</v>
      </c>
    </row>
    <row r="1252" spans="1:1" x14ac:dyDescent="0.45">
      <c r="A1252" t="s">
        <v>2154</v>
      </c>
    </row>
    <row r="1253" spans="1:1" x14ac:dyDescent="0.45">
      <c r="A1253" t="s">
        <v>2155</v>
      </c>
    </row>
    <row r="1254" spans="1:1" x14ac:dyDescent="0.45">
      <c r="A1254" t="s">
        <v>2156</v>
      </c>
    </row>
    <row r="1255" spans="1:1" x14ac:dyDescent="0.45">
      <c r="A1255" t="s">
        <v>2157</v>
      </c>
    </row>
    <row r="1256" spans="1:1" x14ac:dyDescent="0.45">
      <c r="A1256" t="s">
        <v>2158</v>
      </c>
    </row>
    <row r="1257" spans="1:1" x14ac:dyDescent="0.45">
      <c r="A1257" t="s">
        <v>2159</v>
      </c>
    </row>
    <row r="1258" spans="1:1" x14ac:dyDescent="0.45">
      <c r="A1258" t="s">
        <v>2160</v>
      </c>
    </row>
    <row r="1259" spans="1:1" x14ac:dyDescent="0.45">
      <c r="A1259" t="s">
        <v>2161</v>
      </c>
    </row>
    <row r="1260" spans="1:1" x14ac:dyDescent="0.45">
      <c r="A1260" t="s">
        <v>2162</v>
      </c>
    </row>
    <row r="1261" spans="1:1" x14ac:dyDescent="0.45">
      <c r="A1261" t="s">
        <v>2163</v>
      </c>
    </row>
    <row r="1262" spans="1:1" x14ac:dyDescent="0.45">
      <c r="A1262" t="s">
        <v>2164</v>
      </c>
    </row>
    <row r="1263" spans="1:1" x14ac:dyDescent="0.45">
      <c r="A1263" t="s">
        <v>2165</v>
      </c>
    </row>
    <row r="1264" spans="1:1" x14ac:dyDescent="0.45">
      <c r="A1264" t="s">
        <v>2166</v>
      </c>
    </row>
    <row r="1265" spans="1:1" x14ac:dyDescent="0.45">
      <c r="A1265" t="s">
        <v>2167</v>
      </c>
    </row>
    <row r="1266" spans="1:1" x14ac:dyDescent="0.45">
      <c r="A1266" t="s">
        <v>2168</v>
      </c>
    </row>
    <row r="1267" spans="1:1" x14ac:dyDescent="0.45">
      <c r="A1267" t="s">
        <v>2169</v>
      </c>
    </row>
    <row r="1268" spans="1:1" x14ac:dyDescent="0.45">
      <c r="A1268" t="s">
        <v>2170</v>
      </c>
    </row>
    <row r="1269" spans="1:1" x14ac:dyDescent="0.45">
      <c r="A1269" t="s">
        <v>2171</v>
      </c>
    </row>
    <row r="1270" spans="1:1" x14ac:dyDescent="0.45">
      <c r="A1270" t="s">
        <v>2172</v>
      </c>
    </row>
    <row r="1271" spans="1:1" x14ac:dyDescent="0.45">
      <c r="A1271" t="s">
        <v>2173</v>
      </c>
    </row>
    <row r="1272" spans="1:1" x14ac:dyDescent="0.45">
      <c r="A1272" t="s">
        <v>2174</v>
      </c>
    </row>
    <row r="1273" spans="1:1" x14ac:dyDescent="0.45">
      <c r="A1273" t="s">
        <v>2175</v>
      </c>
    </row>
    <row r="1274" spans="1:1" x14ac:dyDescent="0.45">
      <c r="A1274" t="s">
        <v>2176</v>
      </c>
    </row>
    <row r="1275" spans="1:1" x14ac:dyDescent="0.45">
      <c r="A1275" t="s">
        <v>466</v>
      </c>
    </row>
    <row r="1276" spans="1:1" x14ac:dyDescent="0.45">
      <c r="A1276" t="s">
        <v>2177</v>
      </c>
    </row>
    <row r="1277" spans="1:1" x14ac:dyDescent="0.45">
      <c r="A1277" t="s">
        <v>2178</v>
      </c>
    </row>
    <row r="1278" spans="1:1" x14ac:dyDescent="0.45">
      <c r="A1278" t="s">
        <v>2179</v>
      </c>
    </row>
    <row r="1279" spans="1:1" x14ac:dyDescent="0.45">
      <c r="A1279" t="s">
        <v>2180</v>
      </c>
    </row>
    <row r="1280" spans="1:1" x14ac:dyDescent="0.45">
      <c r="A1280" t="s">
        <v>2181</v>
      </c>
    </row>
    <row r="1281" spans="1:1" x14ac:dyDescent="0.45">
      <c r="A1281" t="s">
        <v>2182</v>
      </c>
    </row>
    <row r="1282" spans="1:1" x14ac:dyDescent="0.45">
      <c r="A1282" t="s">
        <v>2183</v>
      </c>
    </row>
    <row r="1283" spans="1:1" x14ac:dyDescent="0.45">
      <c r="A1283" t="s">
        <v>2184</v>
      </c>
    </row>
    <row r="1284" spans="1:1" x14ac:dyDescent="0.45">
      <c r="A1284" t="s">
        <v>2185</v>
      </c>
    </row>
    <row r="1285" spans="1:1" x14ac:dyDescent="0.45">
      <c r="A1285" t="s">
        <v>2186</v>
      </c>
    </row>
    <row r="1286" spans="1:1" x14ac:dyDescent="0.45">
      <c r="A1286" t="s">
        <v>2187</v>
      </c>
    </row>
    <row r="1287" spans="1:1" x14ac:dyDescent="0.45">
      <c r="A1287" t="s">
        <v>2188</v>
      </c>
    </row>
    <row r="1288" spans="1:1" x14ac:dyDescent="0.45">
      <c r="A1288" t="s">
        <v>2189</v>
      </c>
    </row>
    <row r="1289" spans="1:1" x14ac:dyDescent="0.45">
      <c r="A1289" t="s">
        <v>2190</v>
      </c>
    </row>
    <row r="1290" spans="1:1" x14ac:dyDescent="0.45">
      <c r="A1290" t="s">
        <v>2191</v>
      </c>
    </row>
    <row r="1291" spans="1:1" x14ac:dyDescent="0.45">
      <c r="A1291" t="s">
        <v>711</v>
      </c>
    </row>
    <row r="1292" spans="1:1" x14ac:dyDescent="0.45">
      <c r="A1292" t="s">
        <v>380</v>
      </c>
    </row>
    <row r="1293" spans="1:1" x14ac:dyDescent="0.45">
      <c r="A1293" t="s">
        <v>2192</v>
      </c>
    </row>
    <row r="1294" spans="1:1" x14ac:dyDescent="0.45">
      <c r="A1294" t="s">
        <v>224</v>
      </c>
    </row>
    <row r="1295" spans="1:1" x14ac:dyDescent="0.45">
      <c r="A1295" t="s">
        <v>2193</v>
      </c>
    </row>
    <row r="1296" spans="1:1" x14ac:dyDescent="0.45">
      <c r="A1296" t="s">
        <v>2194</v>
      </c>
    </row>
    <row r="1297" spans="1:1" x14ac:dyDescent="0.45">
      <c r="A1297" t="s">
        <v>2195</v>
      </c>
    </row>
    <row r="1298" spans="1:1" x14ac:dyDescent="0.45">
      <c r="A1298" t="s">
        <v>2196</v>
      </c>
    </row>
    <row r="1299" spans="1:1" x14ac:dyDescent="0.45">
      <c r="A1299" t="s">
        <v>2197</v>
      </c>
    </row>
    <row r="1300" spans="1:1" x14ac:dyDescent="0.45">
      <c r="A1300" t="s">
        <v>2198</v>
      </c>
    </row>
    <row r="1301" spans="1:1" x14ac:dyDescent="0.45">
      <c r="A1301" t="s">
        <v>2199</v>
      </c>
    </row>
    <row r="1302" spans="1:1" x14ac:dyDescent="0.45">
      <c r="A1302" t="s">
        <v>2200</v>
      </c>
    </row>
    <row r="1303" spans="1:1" x14ac:dyDescent="0.45">
      <c r="A1303" t="s">
        <v>2201</v>
      </c>
    </row>
    <row r="1304" spans="1:1" x14ac:dyDescent="0.45">
      <c r="A1304" t="s">
        <v>2202</v>
      </c>
    </row>
    <row r="1305" spans="1:1" x14ac:dyDescent="0.45">
      <c r="A1305" t="s">
        <v>2203</v>
      </c>
    </row>
    <row r="1306" spans="1:1" x14ac:dyDescent="0.45">
      <c r="A1306" t="s">
        <v>2204</v>
      </c>
    </row>
    <row r="1307" spans="1:1" x14ac:dyDescent="0.45">
      <c r="A1307" t="s">
        <v>2205</v>
      </c>
    </row>
    <row r="1308" spans="1:1" x14ac:dyDescent="0.45">
      <c r="A1308" t="s">
        <v>2206</v>
      </c>
    </row>
    <row r="1309" spans="1:1" x14ac:dyDescent="0.45">
      <c r="A1309" t="s">
        <v>2207</v>
      </c>
    </row>
    <row r="1310" spans="1:1" x14ac:dyDescent="0.45">
      <c r="A1310" t="s">
        <v>371</v>
      </c>
    </row>
    <row r="1311" spans="1:1" x14ac:dyDescent="0.45">
      <c r="A1311" t="s">
        <v>2208</v>
      </c>
    </row>
    <row r="1312" spans="1:1" x14ac:dyDescent="0.45">
      <c r="A1312" t="s">
        <v>2209</v>
      </c>
    </row>
    <row r="1313" spans="1:1" x14ac:dyDescent="0.45">
      <c r="A1313" t="s">
        <v>2210</v>
      </c>
    </row>
    <row r="1314" spans="1:1" x14ac:dyDescent="0.45">
      <c r="A1314" t="s">
        <v>2211</v>
      </c>
    </row>
    <row r="1315" spans="1:1" x14ac:dyDescent="0.45">
      <c r="A1315" t="s">
        <v>2212</v>
      </c>
    </row>
    <row r="1316" spans="1:1" x14ac:dyDescent="0.45">
      <c r="A1316" t="s">
        <v>2213</v>
      </c>
    </row>
    <row r="1317" spans="1:1" x14ac:dyDescent="0.45">
      <c r="A1317" t="s">
        <v>2214</v>
      </c>
    </row>
    <row r="1318" spans="1:1" x14ac:dyDescent="0.45">
      <c r="A1318" t="s">
        <v>2215</v>
      </c>
    </row>
    <row r="1319" spans="1:1" x14ac:dyDescent="0.45">
      <c r="A1319" t="s">
        <v>2216</v>
      </c>
    </row>
    <row r="1320" spans="1:1" x14ac:dyDescent="0.45">
      <c r="A1320" t="s">
        <v>2217</v>
      </c>
    </row>
    <row r="1321" spans="1:1" x14ac:dyDescent="0.45">
      <c r="A1321" t="s">
        <v>2218</v>
      </c>
    </row>
    <row r="1322" spans="1:1" x14ac:dyDescent="0.45">
      <c r="A1322" t="s">
        <v>2219</v>
      </c>
    </row>
    <row r="1323" spans="1:1" x14ac:dyDescent="0.45">
      <c r="A1323" t="s">
        <v>2220</v>
      </c>
    </row>
    <row r="1324" spans="1:1" x14ac:dyDescent="0.45">
      <c r="A1324" t="s">
        <v>2221</v>
      </c>
    </row>
    <row r="1325" spans="1:1" x14ac:dyDescent="0.45">
      <c r="A1325" t="s">
        <v>2222</v>
      </c>
    </row>
    <row r="1326" spans="1:1" x14ac:dyDescent="0.45">
      <c r="A1326" t="s">
        <v>2223</v>
      </c>
    </row>
    <row r="1327" spans="1:1" x14ac:dyDescent="0.45">
      <c r="A1327" t="s">
        <v>2224</v>
      </c>
    </row>
    <row r="1328" spans="1:1" x14ac:dyDescent="0.45">
      <c r="A1328" t="s">
        <v>2225</v>
      </c>
    </row>
    <row r="1329" spans="1:1" x14ac:dyDescent="0.45">
      <c r="A1329" t="s">
        <v>2226</v>
      </c>
    </row>
    <row r="1330" spans="1:1" x14ac:dyDescent="0.45">
      <c r="A1330" t="s">
        <v>2227</v>
      </c>
    </row>
    <row r="1331" spans="1:1" x14ac:dyDescent="0.45">
      <c r="A1331" t="s">
        <v>2228</v>
      </c>
    </row>
    <row r="1332" spans="1:1" x14ac:dyDescent="0.45">
      <c r="A1332" t="s">
        <v>205</v>
      </c>
    </row>
    <row r="1333" spans="1:1" x14ac:dyDescent="0.45">
      <c r="A1333" t="s">
        <v>2229</v>
      </c>
    </row>
    <row r="1334" spans="1:1" x14ac:dyDescent="0.45">
      <c r="A1334" t="s">
        <v>2230</v>
      </c>
    </row>
    <row r="1335" spans="1:1" x14ac:dyDescent="0.45">
      <c r="A1335" t="s">
        <v>2231</v>
      </c>
    </row>
    <row r="1336" spans="1:1" x14ac:dyDescent="0.45">
      <c r="A1336" t="s">
        <v>2232</v>
      </c>
    </row>
    <row r="1337" spans="1:1" x14ac:dyDescent="0.45">
      <c r="A1337" t="s">
        <v>472</v>
      </c>
    </row>
    <row r="1338" spans="1:1" x14ac:dyDescent="0.45">
      <c r="A1338" t="s">
        <v>2233</v>
      </c>
    </row>
    <row r="1339" spans="1:1" x14ac:dyDescent="0.45">
      <c r="A1339" t="s">
        <v>715</v>
      </c>
    </row>
    <row r="1340" spans="1:1" x14ac:dyDescent="0.45">
      <c r="A1340" t="s">
        <v>2234</v>
      </c>
    </row>
    <row r="1341" spans="1:1" x14ac:dyDescent="0.45">
      <c r="A1341" t="s">
        <v>2235</v>
      </c>
    </row>
    <row r="1342" spans="1:1" x14ac:dyDescent="0.45">
      <c r="A1342" t="s">
        <v>2236</v>
      </c>
    </row>
    <row r="1343" spans="1:1" x14ac:dyDescent="0.45">
      <c r="A1343" t="s">
        <v>2237</v>
      </c>
    </row>
    <row r="1344" spans="1:1" x14ac:dyDescent="0.45">
      <c r="A1344" t="s">
        <v>2238</v>
      </c>
    </row>
    <row r="1345" spans="1:1" x14ac:dyDescent="0.45">
      <c r="A1345" t="s">
        <v>2239</v>
      </c>
    </row>
    <row r="1346" spans="1:1" x14ac:dyDescent="0.45">
      <c r="A1346" t="s">
        <v>2240</v>
      </c>
    </row>
    <row r="1347" spans="1:1" x14ac:dyDescent="0.45">
      <c r="A1347" t="s">
        <v>2241</v>
      </c>
    </row>
    <row r="1348" spans="1:1" x14ac:dyDescent="0.45">
      <c r="A1348" t="s">
        <v>708</v>
      </c>
    </row>
    <row r="1349" spans="1:1" x14ac:dyDescent="0.45">
      <c r="A1349" t="s">
        <v>2242</v>
      </c>
    </row>
    <row r="1350" spans="1:1" x14ac:dyDescent="0.45">
      <c r="A1350" t="s">
        <v>233</v>
      </c>
    </row>
    <row r="1351" spans="1:1" x14ac:dyDescent="0.45">
      <c r="A1351" t="s">
        <v>309</v>
      </c>
    </row>
    <row r="1352" spans="1:1" x14ac:dyDescent="0.45">
      <c r="A1352" t="s">
        <v>2243</v>
      </c>
    </row>
    <row r="1353" spans="1:1" x14ac:dyDescent="0.45">
      <c r="A1353" t="s">
        <v>2244</v>
      </c>
    </row>
    <row r="1354" spans="1:1" x14ac:dyDescent="0.45">
      <c r="A1354" t="s">
        <v>2245</v>
      </c>
    </row>
    <row r="1355" spans="1:1" x14ac:dyDescent="0.45">
      <c r="A1355" t="s">
        <v>2246</v>
      </c>
    </row>
    <row r="1356" spans="1:1" x14ac:dyDescent="0.45">
      <c r="A1356" t="s">
        <v>2247</v>
      </c>
    </row>
    <row r="1357" spans="1:1" x14ac:dyDescent="0.45">
      <c r="A1357" t="s">
        <v>2248</v>
      </c>
    </row>
    <row r="1358" spans="1:1" x14ac:dyDescent="0.45">
      <c r="A1358" t="s">
        <v>2249</v>
      </c>
    </row>
    <row r="1359" spans="1:1" x14ac:dyDescent="0.45">
      <c r="A1359" t="s">
        <v>2250</v>
      </c>
    </row>
    <row r="1360" spans="1:1" x14ac:dyDescent="0.45">
      <c r="A1360" t="s">
        <v>2251</v>
      </c>
    </row>
    <row r="1361" spans="1:1" x14ac:dyDescent="0.45">
      <c r="A1361" t="s">
        <v>2252</v>
      </c>
    </row>
    <row r="1362" spans="1:1" x14ac:dyDescent="0.45">
      <c r="A1362" t="s">
        <v>2253</v>
      </c>
    </row>
    <row r="1363" spans="1:1" x14ac:dyDescent="0.45">
      <c r="A1363" t="s">
        <v>2254</v>
      </c>
    </row>
    <row r="1364" spans="1:1" x14ac:dyDescent="0.45">
      <c r="A1364" t="s">
        <v>2255</v>
      </c>
    </row>
    <row r="1365" spans="1:1" x14ac:dyDescent="0.45">
      <c r="A1365" t="s">
        <v>2256</v>
      </c>
    </row>
    <row r="1366" spans="1:1" x14ac:dyDescent="0.45">
      <c r="A1366" t="s">
        <v>2257</v>
      </c>
    </row>
    <row r="1367" spans="1:1" x14ac:dyDescent="0.45">
      <c r="A1367" t="s">
        <v>2258</v>
      </c>
    </row>
    <row r="1368" spans="1:1" x14ac:dyDescent="0.45">
      <c r="A1368" t="s">
        <v>2259</v>
      </c>
    </row>
    <row r="1369" spans="1:1" x14ac:dyDescent="0.45">
      <c r="A1369" t="s">
        <v>2260</v>
      </c>
    </row>
    <row r="1370" spans="1:1" x14ac:dyDescent="0.45">
      <c r="A1370" t="s">
        <v>2261</v>
      </c>
    </row>
    <row r="1371" spans="1:1" x14ac:dyDescent="0.45">
      <c r="A1371" t="s">
        <v>2262</v>
      </c>
    </row>
    <row r="1372" spans="1:1" x14ac:dyDescent="0.45">
      <c r="A1372" t="s">
        <v>2263</v>
      </c>
    </row>
    <row r="1373" spans="1:1" x14ac:dyDescent="0.45">
      <c r="A1373" t="s">
        <v>2264</v>
      </c>
    </row>
    <row r="1374" spans="1:1" x14ac:dyDescent="0.45">
      <c r="A1374" t="s">
        <v>2265</v>
      </c>
    </row>
    <row r="1375" spans="1:1" x14ac:dyDescent="0.45">
      <c r="A1375" t="s">
        <v>2266</v>
      </c>
    </row>
    <row r="1376" spans="1:1" x14ac:dyDescent="0.45">
      <c r="A1376" t="s">
        <v>2267</v>
      </c>
    </row>
    <row r="1377" spans="1:1" x14ac:dyDescent="0.45">
      <c r="A1377" t="s">
        <v>2268</v>
      </c>
    </row>
    <row r="1378" spans="1:1" x14ac:dyDescent="0.45">
      <c r="A1378" t="s">
        <v>2269</v>
      </c>
    </row>
    <row r="1379" spans="1:1" x14ac:dyDescent="0.45">
      <c r="A1379" t="s">
        <v>2270</v>
      </c>
    </row>
    <row r="1380" spans="1:1" x14ac:dyDescent="0.45">
      <c r="A1380" t="s">
        <v>286</v>
      </c>
    </row>
    <row r="1381" spans="1:1" x14ac:dyDescent="0.45">
      <c r="A1381" t="s">
        <v>2271</v>
      </c>
    </row>
    <row r="1382" spans="1:1" x14ac:dyDescent="0.45">
      <c r="A1382" t="s">
        <v>2272</v>
      </c>
    </row>
    <row r="1383" spans="1:1" x14ac:dyDescent="0.45">
      <c r="A1383" t="s">
        <v>2273</v>
      </c>
    </row>
    <row r="1384" spans="1:1" x14ac:dyDescent="0.45">
      <c r="A1384" t="s">
        <v>2274</v>
      </c>
    </row>
    <row r="1385" spans="1:1" x14ac:dyDescent="0.45">
      <c r="A1385" t="s">
        <v>2275</v>
      </c>
    </row>
    <row r="1386" spans="1:1" x14ac:dyDescent="0.45">
      <c r="A1386" t="s">
        <v>2276</v>
      </c>
    </row>
    <row r="1387" spans="1:1" x14ac:dyDescent="0.45">
      <c r="A1387" t="s">
        <v>2277</v>
      </c>
    </row>
    <row r="1388" spans="1:1" x14ac:dyDescent="0.45">
      <c r="A1388" t="s">
        <v>2278</v>
      </c>
    </row>
    <row r="1389" spans="1:1" x14ac:dyDescent="0.45">
      <c r="A1389" t="s">
        <v>2279</v>
      </c>
    </row>
    <row r="1390" spans="1:1" x14ac:dyDescent="0.45">
      <c r="A1390" t="s">
        <v>584</v>
      </c>
    </row>
    <row r="1391" spans="1:1" x14ac:dyDescent="0.45">
      <c r="A1391" t="s">
        <v>2280</v>
      </c>
    </row>
    <row r="1392" spans="1:1" x14ac:dyDescent="0.45">
      <c r="A1392" t="s">
        <v>2281</v>
      </c>
    </row>
    <row r="1393" spans="1:1" x14ac:dyDescent="0.45">
      <c r="A1393" t="s">
        <v>2282</v>
      </c>
    </row>
    <row r="1394" spans="1:1" x14ac:dyDescent="0.45">
      <c r="A1394" t="s">
        <v>2283</v>
      </c>
    </row>
    <row r="1395" spans="1:1" x14ac:dyDescent="0.45">
      <c r="A1395" t="s">
        <v>2284</v>
      </c>
    </row>
    <row r="1396" spans="1:1" x14ac:dyDescent="0.45">
      <c r="A1396" t="s">
        <v>2285</v>
      </c>
    </row>
    <row r="1397" spans="1:1" x14ac:dyDescent="0.45">
      <c r="A1397" t="s">
        <v>2286</v>
      </c>
    </row>
    <row r="1398" spans="1:1" x14ac:dyDescent="0.45">
      <c r="A1398" t="s">
        <v>2287</v>
      </c>
    </row>
    <row r="1399" spans="1:1" x14ac:dyDescent="0.45">
      <c r="A1399" t="s">
        <v>2288</v>
      </c>
    </row>
    <row r="1400" spans="1:1" x14ac:dyDescent="0.45">
      <c r="A1400" t="s">
        <v>2289</v>
      </c>
    </row>
    <row r="1401" spans="1:1" x14ac:dyDescent="0.45">
      <c r="A1401" t="s">
        <v>2290</v>
      </c>
    </row>
    <row r="1402" spans="1:1" x14ac:dyDescent="0.45">
      <c r="A1402" t="s">
        <v>2291</v>
      </c>
    </row>
    <row r="1403" spans="1:1" x14ac:dyDescent="0.45">
      <c r="A1403" t="s">
        <v>2292</v>
      </c>
    </row>
    <row r="1404" spans="1:1" x14ac:dyDescent="0.45">
      <c r="A1404" t="s">
        <v>2293</v>
      </c>
    </row>
    <row r="1405" spans="1:1" x14ac:dyDescent="0.45">
      <c r="A1405" t="s">
        <v>2294</v>
      </c>
    </row>
    <row r="1406" spans="1:1" x14ac:dyDescent="0.45">
      <c r="A1406" t="s">
        <v>2295</v>
      </c>
    </row>
    <row r="1407" spans="1:1" x14ac:dyDescent="0.45">
      <c r="A1407" t="s">
        <v>2296</v>
      </c>
    </row>
    <row r="1408" spans="1:1" x14ac:dyDescent="0.45">
      <c r="A1408" t="s">
        <v>2297</v>
      </c>
    </row>
    <row r="1409" spans="1:1" x14ac:dyDescent="0.45">
      <c r="A1409" t="s">
        <v>2298</v>
      </c>
    </row>
    <row r="1410" spans="1:1" x14ac:dyDescent="0.45">
      <c r="A1410" t="s">
        <v>2299</v>
      </c>
    </row>
    <row r="1411" spans="1:1" x14ac:dyDescent="0.45">
      <c r="A1411" t="s">
        <v>2300</v>
      </c>
    </row>
    <row r="1412" spans="1:1" x14ac:dyDescent="0.45">
      <c r="A1412" t="s">
        <v>2301</v>
      </c>
    </row>
    <row r="1413" spans="1:1" x14ac:dyDescent="0.45">
      <c r="A1413" t="s">
        <v>2302</v>
      </c>
    </row>
    <row r="1414" spans="1:1" x14ac:dyDescent="0.45">
      <c r="A1414" t="s">
        <v>2303</v>
      </c>
    </row>
    <row r="1415" spans="1:1" x14ac:dyDescent="0.45">
      <c r="A1415" t="s">
        <v>417</v>
      </c>
    </row>
    <row r="1416" spans="1:1" x14ac:dyDescent="0.45">
      <c r="A1416" t="s">
        <v>2304</v>
      </c>
    </row>
    <row r="1417" spans="1:1" x14ac:dyDescent="0.45">
      <c r="A1417" t="s">
        <v>2305</v>
      </c>
    </row>
    <row r="1418" spans="1:1" x14ac:dyDescent="0.45">
      <c r="A1418" t="s">
        <v>2306</v>
      </c>
    </row>
    <row r="1419" spans="1:1" x14ac:dyDescent="0.45">
      <c r="A1419" t="s">
        <v>2307</v>
      </c>
    </row>
    <row r="1420" spans="1:1" x14ac:dyDescent="0.45">
      <c r="A1420" t="s">
        <v>2308</v>
      </c>
    </row>
    <row r="1421" spans="1:1" x14ac:dyDescent="0.45">
      <c r="A1421" t="s">
        <v>2309</v>
      </c>
    </row>
    <row r="1422" spans="1:1" x14ac:dyDescent="0.45">
      <c r="A1422" t="s">
        <v>2310</v>
      </c>
    </row>
    <row r="1423" spans="1:1" x14ac:dyDescent="0.45">
      <c r="A1423" t="s">
        <v>2311</v>
      </c>
    </row>
    <row r="1424" spans="1:1" x14ac:dyDescent="0.45">
      <c r="A1424" t="s">
        <v>2312</v>
      </c>
    </row>
    <row r="1425" spans="1:1" x14ac:dyDescent="0.45">
      <c r="A1425" t="s">
        <v>2313</v>
      </c>
    </row>
    <row r="1426" spans="1:1" x14ac:dyDescent="0.45">
      <c r="A1426" t="s">
        <v>2314</v>
      </c>
    </row>
    <row r="1427" spans="1:1" x14ac:dyDescent="0.45">
      <c r="A1427" t="s">
        <v>2315</v>
      </c>
    </row>
    <row r="1428" spans="1:1" x14ac:dyDescent="0.45">
      <c r="A1428" t="s">
        <v>2316</v>
      </c>
    </row>
    <row r="1429" spans="1:1" x14ac:dyDescent="0.45">
      <c r="A1429" t="s">
        <v>2317</v>
      </c>
    </row>
    <row r="1430" spans="1:1" x14ac:dyDescent="0.45">
      <c r="A1430" t="s">
        <v>2318</v>
      </c>
    </row>
    <row r="1431" spans="1:1" x14ac:dyDescent="0.45">
      <c r="A1431" t="s">
        <v>2319</v>
      </c>
    </row>
    <row r="1432" spans="1:1" x14ac:dyDescent="0.45">
      <c r="A1432" t="s">
        <v>2320</v>
      </c>
    </row>
    <row r="1433" spans="1:1" x14ac:dyDescent="0.45">
      <c r="A1433" t="s">
        <v>248</v>
      </c>
    </row>
    <row r="1434" spans="1:1" x14ac:dyDescent="0.45">
      <c r="A1434" t="s">
        <v>499</v>
      </c>
    </row>
    <row r="1435" spans="1:1" x14ac:dyDescent="0.45">
      <c r="A1435" t="s">
        <v>2321</v>
      </c>
    </row>
    <row r="1436" spans="1:1" x14ac:dyDescent="0.45">
      <c r="A1436" t="s">
        <v>2322</v>
      </c>
    </row>
    <row r="1437" spans="1:1" x14ac:dyDescent="0.45">
      <c r="A1437" t="s">
        <v>462</v>
      </c>
    </row>
    <row r="1438" spans="1:1" x14ac:dyDescent="0.45">
      <c r="A1438" t="s">
        <v>533</v>
      </c>
    </row>
    <row r="1439" spans="1:1" x14ac:dyDescent="0.45">
      <c r="A1439" t="s">
        <v>2323</v>
      </c>
    </row>
    <row r="1440" spans="1:1" x14ac:dyDescent="0.45">
      <c r="A1440" t="s">
        <v>2324</v>
      </c>
    </row>
    <row r="1441" spans="1:1" x14ac:dyDescent="0.45">
      <c r="A1441" t="s">
        <v>2325</v>
      </c>
    </row>
    <row r="1442" spans="1:1" x14ac:dyDescent="0.45">
      <c r="A1442" t="s">
        <v>469</v>
      </c>
    </row>
    <row r="1443" spans="1:1" x14ac:dyDescent="0.45">
      <c r="A1443" t="s">
        <v>2326</v>
      </c>
    </row>
    <row r="1444" spans="1:1" x14ac:dyDescent="0.45">
      <c r="A1444" t="s">
        <v>2327</v>
      </c>
    </row>
    <row r="1445" spans="1:1" x14ac:dyDescent="0.45">
      <c r="A1445" t="s">
        <v>2328</v>
      </c>
    </row>
    <row r="1446" spans="1:1" x14ac:dyDescent="0.45">
      <c r="A1446" t="s">
        <v>2329</v>
      </c>
    </row>
    <row r="1447" spans="1:1" x14ac:dyDescent="0.45">
      <c r="A1447" t="s">
        <v>646</v>
      </c>
    </row>
    <row r="1448" spans="1:1" x14ac:dyDescent="0.45">
      <c r="A1448" t="s">
        <v>2330</v>
      </c>
    </row>
    <row r="1449" spans="1:1" x14ac:dyDescent="0.45">
      <c r="A1449" t="s">
        <v>2331</v>
      </c>
    </row>
    <row r="1450" spans="1:1" x14ac:dyDescent="0.45">
      <c r="A1450" t="s">
        <v>2332</v>
      </c>
    </row>
    <row r="1451" spans="1:1" x14ac:dyDescent="0.45">
      <c r="A1451" t="s">
        <v>2333</v>
      </c>
    </row>
    <row r="1452" spans="1:1" x14ac:dyDescent="0.45">
      <c r="A1452" t="s">
        <v>2334</v>
      </c>
    </row>
    <row r="1453" spans="1:1" x14ac:dyDescent="0.45">
      <c r="A1453" t="s">
        <v>2335</v>
      </c>
    </row>
    <row r="1454" spans="1:1" x14ac:dyDescent="0.45">
      <c r="A1454" t="s">
        <v>2336</v>
      </c>
    </row>
    <row r="1455" spans="1:1" x14ac:dyDescent="0.45">
      <c r="A1455" t="s">
        <v>2337</v>
      </c>
    </row>
    <row r="1456" spans="1:1" x14ac:dyDescent="0.45">
      <c r="A1456" t="s">
        <v>2338</v>
      </c>
    </row>
    <row r="1457" spans="1:1" x14ac:dyDescent="0.45">
      <c r="A1457" t="s">
        <v>2339</v>
      </c>
    </row>
    <row r="1458" spans="1:1" x14ac:dyDescent="0.45">
      <c r="A1458" t="s">
        <v>2340</v>
      </c>
    </row>
    <row r="1459" spans="1:1" x14ac:dyDescent="0.45">
      <c r="A1459" t="s">
        <v>2341</v>
      </c>
    </row>
    <row r="1460" spans="1:1" x14ac:dyDescent="0.45">
      <c r="A1460" t="s">
        <v>2342</v>
      </c>
    </row>
    <row r="1461" spans="1:1" x14ac:dyDescent="0.45">
      <c r="A1461" t="s">
        <v>2343</v>
      </c>
    </row>
    <row r="1462" spans="1:1" x14ac:dyDescent="0.45">
      <c r="A1462" t="s">
        <v>2344</v>
      </c>
    </row>
    <row r="1463" spans="1:1" x14ac:dyDescent="0.45">
      <c r="A1463" t="s">
        <v>2345</v>
      </c>
    </row>
    <row r="1464" spans="1:1" x14ac:dyDescent="0.45">
      <c r="A1464" t="s">
        <v>2346</v>
      </c>
    </row>
    <row r="1465" spans="1:1" x14ac:dyDescent="0.45">
      <c r="A1465" t="s">
        <v>2347</v>
      </c>
    </row>
    <row r="1466" spans="1:1" x14ac:dyDescent="0.45">
      <c r="A1466" t="s">
        <v>2348</v>
      </c>
    </row>
    <row r="1467" spans="1:1" x14ac:dyDescent="0.45">
      <c r="A1467" t="s">
        <v>2349</v>
      </c>
    </row>
    <row r="1468" spans="1:1" x14ac:dyDescent="0.45">
      <c r="A1468" t="s">
        <v>2350</v>
      </c>
    </row>
    <row r="1469" spans="1:1" x14ac:dyDescent="0.45">
      <c r="A1469" t="s">
        <v>2351</v>
      </c>
    </row>
    <row r="1470" spans="1:1" x14ac:dyDescent="0.45">
      <c r="A1470" t="s">
        <v>2352</v>
      </c>
    </row>
    <row r="1471" spans="1:1" x14ac:dyDescent="0.45">
      <c r="A1471" t="s">
        <v>2353</v>
      </c>
    </row>
    <row r="1472" spans="1:1" x14ac:dyDescent="0.45">
      <c r="A1472" t="s">
        <v>2354</v>
      </c>
    </row>
    <row r="1473" spans="1:1" x14ac:dyDescent="0.45">
      <c r="A1473" t="s">
        <v>2355</v>
      </c>
    </row>
    <row r="1474" spans="1:1" x14ac:dyDescent="0.45">
      <c r="A1474" t="s">
        <v>2356</v>
      </c>
    </row>
    <row r="1475" spans="1:1" x14ac:dyDescent="0.45">
      <c r="A1475" t="s">
        <v>2357</v>
      </c>
    </row>
    <row r="1476" spans="1:1" x14ac:dyDescent="0.45">
      <c r="A1476" t="s">
        <v>2358</v>
      </c>
    </row>
    <row r="1477" spans="1:1" x14ac:dyDescent="0.45">
      <c r="A1477" t="s">
        <v>2359</v>
      </c>
    </row>
    <row r="1478" spans="1:1" x14ac:dyDescent="0.45">
      <c r="A1478" t="s">
        <v>2360</v>
      </c>
    </row>
    <row r="1479" spans="1:1" x14ac:dyDescent="0.45">
      <c r="A1479" t="s">
        <v>2361</v>
      </c>
    </row>
    <row r="1480" spans="1:1" x14ac:dyDescent="0.45">
      <c r="A1480" t="s">
        <v>2362</v>
      </c>
    </row>
    <row r="1481" spans="1:1" x14ac:dyDescent="0.45">
      <c r="A1481" t="s">
        <v>2363</v>
      </c>
    </row>
    <row r="1482" spans="1:1" x14ac:dyDescent="0.45">
      <c r="A1482" t="s">
        <v>2364</v>
      </c>
    </row>
    <row r="1483" spans="1:1" x14ac:dyDescent="0.45">
      <c r="A1483" t="s">
        <v>2365</v>
      </c>
    </row>
    <row r="1484" spans="1:1" x14ac:dyDescent="0.45">
      <c r="A1484" t="s">
        <v>2366</v>
      </c>
    </row>
    <row r="1485" spans="1:1" x14ac:dyDescent="0.45">
      <c r="A1485" t="s">
        <v>2367</v>
      </c>
    </row>
    <row r="1486" spans="1:1" x14ac:dyDescent="0.45">
      <c r="A1486" t="s">
        <v>2368</v>
      </c>
    </row>
    <row r="1487" spans="1:1" x14ac:dyDescent="0.45">
      <c r="A1487" t="s">
        <v>2369</v>
      </c>
    </row>
    <row r="1488" spans="1:1" x14ac:dyDescent="0.45">
      <c r="A1488" t="s">
        <v>2370</v>
      </c>
    </row>
    <row r="1489" spans="1:1" x14ac:dyDescent="0.45">
      <c r="A1489" t="s">
        <v>2371</v>
      </c>
    </row>
    <row r="1490" spans="1:1" x14ac:dyDescent="0.45">
      <c r="A1490" t="s">
        <v>2372</v>
      </c>
    </row>
    <row r="1491" spans="1:1" x14ac:dyDescent="0.45">
      <c r="A1491" t="s">
        <v>2373</v>
      </c>
    </row>
    <row r="1492" spans="1:1" x14ac:dyDescent="0.45">
      <c r="A1492" t="s">
        <v>2374</v>
      </c>
    </row>
    <row r="1493" spans="1:1" x14ac:dyDescent="0.45">
      <c r="A1493" t="s">
        <v>257</v>
      </c>
    </row>
    <row r="1494" spans="1:1" x14ac:dyDescent="0.45">
      <c r="A1494" t="s">
        <v>2375</v>
      </c>
    </row>
    <row r="1495" spans="1:1" x14ac:dyDescent="0.45">
      <c r="A1495" t="s">
        <v>2376</v>
      </c>
    </row>
    <row r="1496" spans="1:1" x14ac:dyDescent="0.45">
      <c r="A1496" t="s">
        <v>2377</v>
      </c>
    </row>
    <row r="1497" spans="1:1" x14ac:dyDescent="0.45">
      <c r="A1497" t="s">
        <v>2378</v>
      </c>
    </row>
    <row r="1498" spans="1:1" x14ac:dyDescent="0.45">
      <c r="A1498" t="s">
        <v>2379</v>
      </c>
    </row>
    <row r="1499" spans="1:1" x14ac:dyDescent="0.45">
      <c r="A1499" t="s">
        <v>2380</v>
      </c>
    </row>
    <row r="1500" spans="1:1" x14ac:dyDescent="0.45">
      <c r="A1500" t="s">
        <v>152</v>
      </c>
    </row>
    <row r="1501" spans="1:1" x14ac:dyDescent="0.45">
      <c r="A1501" t="s">
        <v>2381</v>
      </c>
    </row>
    <row r="1502" spans="1:1" x14ac:dyDescent="0.45">
      <c r="A1502" t="s">
        <v>2382</v>
      </c>
    </row>
    <row r="1503" spans="1:1" x14ac:dyDescent="0.45">
      <c r="A1503" t="s">
        <v>2383</v>
      </c>
    </row>
    <row r="1504" spans="1:1" x14ac:dyDescent="0.45">
      <c r="A1504" t="s">
        <v>2384</v>
      </c>
    </row>
    <row r="1505" spans="1:1" x14ac:dyDescent="0.45">
      <c r="A1505" t="s">
        <v>2385</v>
      </c>
    </row>
    <row r="1506" spans="1:1" x14ac:dyDescent="0.45">
      <c r="A1506" t="s">
        <v>2386</v>
      </c>
    </row>
    <row r="1507" spans="1:1" x14ac:dyDescent="0.45">
      <c r="A1507" t="s">
        <v>2387</v>
      </c>
    </row>
    <row r="1508" spans="1:1" x14ac:dyDescent="0.45">
      <c r="A1508" t="s">
        <v>471</v>
      </c>
    </row>
    <row r="1509" spans="1:1" x14ac:dyDescent="0.45">
      <c r="A1509" t="s">
        <v>2388</v>
      </c>
    </row>
    <row r="1510" spans="1:1" x14ac:dyDescent="0.45">
      <c r="A1510" t="s">
        <v>2389</v>
      </c>
    </row>
    <row r="1511" spans="1:1" x14ac:dyDescent="0.45">
      <c r="A1511" t="s">
        <v>2390</v>
      </c>
    </row>
    <row r="1512" spans="1:1" x14ac:dyDescent="0.45">
      <c r="A1512" t="s">
        <v>2391</v>
      </c>
    </row>
    <row r="1513" spans="1:1" x14ac:dyDescent="0.45">
      <c r="A1513" t="s">
        <v>2392</v>
      </c>
    </row>
    <row r="1514" spans="1:1" x14ac:dyDescent="0.45">
      <c r="A1514" t="s">
        <v>2393</v>
      </c>
    </row>
    <row r="1515" spans="1:1" x14ac:dyDescent="0.45">
      <c r="A1515" t="s">
        <v>2394</v>
      </c>
    </row>
    <row r="1516" spans="1:1" x14ac:dyDescent="0.45">
      <c r="A1516" t="s">
        <v>2395</v>
      </c>
    </row>
    <row r="1517" spans="1:1" x14ac:dyDescent="0.45">
      <c r="A1517" t="s">
        <v>2396</v>
      </c>
    </row>
    <row r="1518" spans="1:1" x14ac:dyDescent="0.45">
      <c r="A1518" t="s">
        <v>643</v>
      </c>
    </row>
    <row r="1519" spans="1:1" x14ac:dyDescent="0.45">
      <c r="A1519" t="s">
        <v>2397</v>
      </c>
    </row>
    <row r="1520" spans="1:1" x14ac:dyDescent="0.45">
      <c r="A1520" t="s">
        <v>2398</v>
      </c>
    </row>
    <row r="1521" spans="1:1" x14ac:dyDescent="0.45">
      <c r="A1521" t="s">
        <v>2399</v>
      </c>
    </row>
    <row r="1522" spans="1:1" x14ac:dyDescent="0.45">
      <c r="A1522" t="s">
        <v>2400</v>
      </c>
    </row>
    <row r="1523" spans="1:1" x14ac:dyDescent="0.45">
      <c r="A1523" t="s">
        <v>650</v>
      </c>
    </row>
    <row r="1524" spans="1:1" x14ac:dyDescent="0.45">
      <c r="A1524" t="s">
        <v>2401</v>
      </c>
    </row>
    <row r="1525" spans="1:1" x14ac:dyDescent="0.45">
      <c r="A1525" t="s">
        <v>2402</v>
      </c>
    </row>
    <row r="1526" spans="1:1" x14ac:dyDescent="0.45">
      <c r="A1526" t="s">
        <v>384</v>
      </c>
    </row>
    <row r="1527" spans="1:1" x14ac:dyDescent="0.45">
      <c r="A1527" t="s">
        <v>2403</v>
      </c>
    </row>
    <row r="1528" spans="1:1" x14ac:dyDescent="0.45">
      <c r="A1528" t="s">
        <v>2404</v>
      </c>
    </row>
    <row r="1529" spans="1:1" x14ac:dyDescent="0.45">
      <c r="A1529" t="s">
        <v>559</v>
      </c>
    </row>
    <row r="1530" spans="1:1" x14ac:dyDescent="0.45">
      <c r="A1530" t="s">
        <v>2405</v>
      </c>
    </row>
    <row r="1531" spans="1:1" x14ac:dyDescent="0.45">
      <c r="A1531" t="s">
        <v>2406</v>
      </c>
    </row>
    <row r="1532" spans="1:1" x14ac:dyDescent="0.45">
      <c r="A1532" t="s">
        <v>2407</v>
      </c>
    </row>
    <row r="1533" spans="1:1" x14ac:dyDescent="0.45">
      <c r="A1533" t="s">
        <v>2408</v>
      </c>
    </row>
    <row r="1534" spans="1:1" x14ac:dyDescent="0.45">
      <c r="A1534" t="s">
        <v>603</v>
      </c>
    </row>
    <row r="1535" spans="1:1" x14ac:dyDescent="0.45">
      <c r="A1535" t="s">
        <v>2409</v>
      </c>
    </row>
    <row r="1536" spans="1:1" x14ac:dyDescent="0.45">
      <c r="A1536" t="s">
        <v>2410</v>
      </c>
    </row>
    <row r="1537" spans="1:1" x14ac:dyDescent="0.45">
      <c r="A1537" t="s">
        <v>174</v>
      </c>
    </row>
    <row r="1538" spans="1:1" x14ac:dyDescent="0.45">
      <c r="A1538" t="s">
        <v>2411</v>
      </c>
    </row>
    <row r="1539" spans="1:1" x14ac:dyDescent="0.45">
      <c r="A1539" t="s">
        <v>2412</v>
      </c>
    </row>
    <row r="1540" spans="1:1" x14ac:dyDescent="0.45">
      <c r="A1540" t="s">
        <v>2413</v>
      </c>
    </row>
    <row r="1541" spans="1:1" x14ac:dyDescent="0.45">
      <c r="A1541" t="s">
        <v>716</v>
      </c>
    </row>
    <row r="1542" spans="1:1" x14ac:dyDescent="0.45">
      <c r="A1542" t="s">
        <v>2414</v>
      </c>
    </row>
    <row r="1543" spans="1:1" x14ac:dyDescent="0.45">
      <c r="A1543" t="s">
        <v>2415</v>
      </c>
    </row>
    <row r="1544" spans="1:1" x14ac:dyDescent="0.45">
      <c r="A1544" t="s">
        <v>2416</v>
      </c>
    </row>
    <row r="1545" spans="1:1" x14ac:dyDescent="0.45">
      <c r="A1545" t="s">
        <v>2417</v>
      </c>
    </row>
    <row r="1546" spans="1:1" x14ac:dyDescent="0.45">
      <c r="A1546" t="s">
        <v>2418</v>
      </c>
    </row>
    <row r="1547" spans="1:1" x14ac:dyDescent="0.45">
      <c r="A1547" t="s">
        <v>2419</v>
      </c>
    </row>
    <row r="1548" spans="1:1" x14ac:dyDescent="0.45">
      <c r="A1548" t="s">
        <v>2420</v>
      </c>
    </row>
    <row r="1549" spans="1:1" x14ac:dyDescent="0.45">
      <c r="A1549" t="s">
        <v>2421</v>
      </c>
    </row>
    <row r="1550" spans="1:1" x14ac:dyDescent="0.45">
      <c r="A1550" t="s">
        <v>2422</v>
      </c>
    </row>
    <row r="1551" spans="1:1" x14ac:dyDescent="0.45">
      <c r="A1551" t="s">
        <v>2423</v>
      </c>
    </row>
    <row r="1552" spans="1:1" x14ac:dyDescent="0.45">
      <c r="A1552" t="s">
        <v>2424</v>
      </c>
    </row>
    <row r="1553" spans="1:1" x14ac:dyDescent="0.45">
      <c r="A1553" t="s">
        <v>2425</v>
      </c>
    </row>
    <row r="1554" spans="1:1" x14ac:dyDescent="0.45">
      <c r="A1554" t="s">
        <v>2426</v>
      </c>
    </row>
    <row r="1555" spans="1:1" x14ac:dyDescent="0.45">
      <c r="A1555" t="s">
        <v>601</v>
      </c>
    </row>
    <row r="1556" spans="1:1" x14ac:dyDescent="0.45">
      <c r="A1556" t="s">
        <v>322</v>
      </c>
    </row>
    <row r="1557" spans="1:1" x14ac:dyDescent="0.45">
      <c r="A1557" t="s">
        <v>2427</v>
      </c>
    </row>
    <row r="1558" spans="1:1" x14ac:dyDescent="0.45">
      <c r="A1558" t="s">
        <v>2428</v>
      </c>
    </row>
    <row r="1559" spans="1:1" x14ac:dyDescent="0.45">
      <c r="A1559" t="s">
        <v>2429</v>
      </c>
    </row>
    <row r="1560" spans="1:1" x14ac:dyDescent="0.45">
      <c r="A1560" t="s">
        <v>2430</v>
      </c>
    </row>
    <row r="1561" spans="1:1" x14ac:dyDescent="0.45">
      <c r="A1561" t="s">
        <v>2431</v>
      </c>
    </row>
    <row r="1562" spans="1:1" x14ac:dyDescent="0.45">
      <c r="A1562" t="s">
        <v>2432</v>
      </c>
    </row>
    <row r="1563" spans="1:1" x14ac:dyDescent="0.45">
      <c r="A1563" t="s">
        <v>2433</v>
      </c>
    </row>
    <row r="1564" spans="1:1" x14ac:dyDescent="0.45">
      <c r="A1564" t="s">
        <v>2434</v>
      </c>
    </row>
    <row r="1565" spans="1:1" x14ac:dyDescent="0.45">
      <c r="A1565" t="s">
        <v>2435</v>
      </c>
    </row>
    <row r="1566" spans="1:1" x14ac:dyDescent="0.45">
      <c r="A1566" t="s">
        <v>242</v>
      </c>
    </row>
    <row r="1567" spans="1:1" x14ac:dyDescent="0.45">
      <c r="A1567" t="s">
        <v>2436</v>
      </c>
    </row>
    <row r="1568" spans="1:1" x14ac:dyDescent="0.45">
      <c r="A1568" t="s">
        <v>2437</v>
      </c>
    </row>
    <row r="1569" spans="1:1" x14ac:dyDescent="0.45">
      <c r="A1569" t="s">
        <v>2438</v>
      </c>
    </row>
    <row r="1570" spans="1:1" x14ac:dyDescent="0.45">
      <c r="A1570" t="s">
        <v>2439</v>
      </c>
    </row>
    <row r="1571" spans="1:1" x14ac:dyDescent="0.45">
      <c r="A1571" t="s">
        <v>2440</v>
      </c>
    </row>
    <row r="1572" spans="1:1" x14ac:dyDescent="0.45">
      <c r="A1572" t="s">
        <v>2441</v>
      </c>
    </row>
    <row r="1573" spans="1:1" x14ac:dyDescent="0.45">
      <c r="A1573" t="s">
        <v>2442</v>
      </c>
    </row>
    <row r="1574" spans="1:1" x14ac:dyDescent="0.45">
      <c r="A1574" t="s">
        <v>2443</v>
      </c>
    </row>
    <row r="1575" spans="1:1" x14ac:dyDescent="0.45">
      <c r="A1575" t="s">
        <v>2444</v>
      </c>
    </row>
    <row r="1576" spans="1:1" x14ac:dyDescent="0.45">
      <c r="A1576" t="s">
        <v>2445</v>
      </c>
    </row>
    <row r="1577" spans="1:1" x14ac:dyDescent="0.45">
      <c r="A1577" t="s">
        <v>2446</v>
      </c>
    </row>
    <row r="1578" spans="1:1" x14ac:dyDescent="0.45">
      <c r="A1578" t="s">
        <v>2447</v>
      </c>
    </row>
    <row r="1579" spans="1:1" x14ac:dyDescent="0.45">
      <c r="A1579" t="s">
        <v>2448</v>
      </c>
    </row>
    <row r="1580" spans="1:1" x14ac:dyDescent="0.45">
      <c r="A1580" t="s">
        <v>2449</v>
      </c>
    </row>
    <row r="1581" spans="1:1" x14ac:dyDescent="0.45">
      <c r="A1581" t="s">
        <v>2450</v>
      </c>
    </row>
    <row r="1582" spans="1:1" x14ac:dyDescent="0.45">
      <c r="A1582" t="s">
        <v>2451</v>
      </c>
    </row>
    <row r="1583" spans="1:1" x14ac:dyDescent="0.45">
      <c r="A1583" t="s">
        <v>2452</v>
      </c>
    </row>
    <row r="1584" spans="1:1" x14ac:dyDescent="0.45">
      <c r="A1584" t="s">
        <v>2453</v>
      </c>
    </row>
    <row r="1585" spans="1:1" x14ac:dyDescent="0.45">
      <c r="A1585" t="s">
        <v>2454</v>
      </c>
    </row>
    <row r="1586" spans="1:1" x14ac:dyDescent="0.45">
      <c r="A1586" t="s">
        <v>2455</v>
      </c>
    </row>
    <row r="1587" spans="1:1" x14ac:dyDescent="0.45">
      <c r="A1587" t="s">
        <v>2456</v>
      </c>
    </row>
    <row r="1588" spans="1:1" x14ac:dyDescent="0.45">
      <c r="A1588" t="s">
        <v>2457</v>
      </c>
    </row>
    <row r="1589" spans="1:1" x14ac:dyDescent="0.45">
      <c r="A1589" t="s">
        <v>2458</v>
      </c>
    </row>
    <row r="1590" spans="1:1" x14ac:dyDescent="0.45">
      <c r="A1590" t="s">
        <v>253</v>
      </c>
    </row>
    <row r="1591" spans="1:1" x14ac:dyDescent="0.45">
      <c r="A1591" t="s">
        <v>255</v>
      </c>
    </row>
    <row r="1592" spans="1:1" x14ac:dyDescent="0.45">
      <c r="A1592" t="s">
        <v>268</v>
      </c>
    </row>
    <row r="1593" spans="1:1" x14ac:dyDescent="0.45">
      <c r="A1593" s="101" t="s">
        <v>271</v>
      </c>
    </row>
    <row r="1594" spans="1:1" x14ac:dyDescent="0.45">
      <c r="A1594" t="s">
        <v>298</v>
      </c>
    </row>
    <row r="1595" spans="1:1" x14ac:dyDescent="0.45">
      <c r="A1595" t="s">
        <v>302</v>
      </c>
    </row>
    <row r="1596" spans="1:1" x14ac:dyDescent="0.45">
      <c r="A1596" t="s">
        <v>328</v>
      </c>
    </row>
    <row r="1597" spans="1:1" x14ac:dyDescent="0.45">
      <c r="A1597" t="s">
        <v>330</v>
      </c>
    </row>
    <row r="1598" spans="1:1" x14ac:dyDescent="0.45">
      <c r="A1598" t="s">
        <v>332</v>
      </c>
    </row>
    <row r="1599" spans="1:1" x14ac:dyDescent="0.45">
      <c r="A1599" t="s">
        <v>319</v>
      </c>
    </row>
    <row r="1600" spans="1:1" x14ac:dyDescent="0.45">
      <c r="A1600" t="s">
        <v>336</v>
      </c>
    </row>
    <row r="1601" spans="1:1" x14ac:dyDescent="0.45">
      <c r="A1601" t="s">
        <v>339</v>
      </c>
    </row>
    <row r="1602" spans="1:1" x14ac:dyDescent="0.45">
      <c r="A1602" t="s">
        <v>344</v>
      </c>
    </row>
    <row r="1603" spans="1:1" x14ac:dyDescent="0.45">
      <c r="A1603" t="s">
        <v>385</v>
      </c>
    </row>
    <row r="1604" spans="1:1" x14ac:dyDescent="0.45">
      <c r="A1604" t="s">
        <v>387</v>
      </c>
    </row>
    <row r="1605" spans="1:1" x14ac:dyDescent="0.45">
      <c r="A1605" t="s">
        <v>389</v>
      </c>
    </row>
    <row r="1606" spans="1:1" x14ac:dyDescent="0.45">
      <c r="A1606" t="s">
        <v>391</v>
      </c>
    </row>
    <row r="1607" spans="1:1" x14ac:dyDescent="0.45">
      <c r="A1607" t="s">
        <v>392</v>
      </c>
    </row>
    <row r="1608" spans="1:1" x14ac:dyDescent="0.45">
      <c r="A1608" t="s">
        <v>393</v>
      </c>
    </row>
    <row r="1609" spans="1:1" x14ac:dyDescent="0.45">
      <c r="A1609" t="s">
        <v>395</v>
      </c>
    </row>
    <row r="1610" spans="1:1" x14ac:dyDescent="0.45">
      <c r="A1610" t="s">
        <v>397</v>
      </c>
    </row>
    <row r="1611" spans="1:1" x14ac:dyDescent="0.45">
      <c r="A1611" t="s">
        <v>400</v>
      </c>
    </row>
    <row r="1612" spans="1:1" x14ac:dyDescent="0.45">
      <c r="A1612" t="s">
        <v>399</v>
      </c>
    </row>
    <row r="1613" spans="1:1" x14ac:dyDescent="0.45">
      <c r="A1613" t="s">
        <v>353</v>
      </c>
    </row>
    <row r="1614" spans="1:1" x14ac:dyDescent="0.45">
      <c r="A1614" t="s">
        <v>409</v>
      </c>
    </row>
    <row r="1615" spans="1:1" x14ac:dyDescent="0.45">
      <c r="A1615" t="s">
        <v>410</v>
      </c>
    </row>
    <row r="1616" spans="1:1" x14ac:dyDescent="0.45">
      <c r="A1616" t="s">
        <v>411</v>
      </c>
    </row>
    <row r="1617" spans="1:1" x14ac:dyDescent="0.45">
      <c r="A1617" t="s">
        <v>413</v>
      </c>
    </row>
    <row r="1618" spans="1:1" x14ac:dyDescent="0.45">
      <c r="A1618" t="s">
        <v>414</v>
      </c>
    </row>
    <row r="1619" spans="1:1" x14ac:dyDescent="0.45">
      <c r="A1619" t="s">
        <v>415</v>
      </c>
    </row>
    <row r="1620" spans="1:1" x14ac:dyDescent="0.45">
      <c r="A1620" t="s">
        <v>416</v>
      </c>
    </row>
    <row r="1621" spans="1:1" x14ac:dyDescent="0.45">
      <c r="A1621" t="s">
        <v>421</v>
      </c>
    </row>
    <row r="1622" spans="1:1" x14ac:dyDescent="0.45">
      <c r="A1622" t="s">
        <v>422</v>
      </c>
    </row>
    <row r="1623" spans="1:1" x14ac:dyDescent="0.45">
      <c r="A1623" t="s">
        <v>428</v>
      </c>
    </row>
    <row r="1624" spans="1:1" x14ac:dyDescent="0.45">
      <c r="A1624" t="s">
        <v>430</v>
      </c>
    </row>
    <row r="1625" spans="1:1" x14ac:dyDescent="0.45">
      <c r="A1625" t="s">
        <v>433</v>
      </c>
    </row>
    <row r="1626" spans="1:1" x14ac:dyDescent="0.45">
      <c r="A1626" t="s">
        <v>435</v>
      </c>
    </row>
    <row r="1627" spans="1:1" x14ac:dyDescent="0.45">
      <c r="A1627" t="s">
        <v>439</v>
      </c>
    </row>
    <row r="1628" spans="1:1" x14ac:dyDescent="0.45">
      <c r="A1628" t="s">
        <v>446</v>
      </c>
    </row>
    <row r="1629" spans="1:1" x14ac:dyDescent="0.45">
      <c r="A1629" t="s">
        <v>468</v>
      </c>
    </row>
    <row r="1630" spans="1:1" x14ac:dyDescent="0.45">
      <c r="A1630" t="s">
        <v>470</v>
      </c>
    </row>
    <row r="1631" spans="1:1" x14ac:dyDescent="0.45">
      <c r="A1631" t="s">
        <v>473</v>
      </c>
    </row>
    <row r="1632" spans="1:1" x14ac:dyDescent="0.45">
      <c r="A1632" t="s">
        <v>474</v>
      </c>
    </row>
    <row r="1633" spans="1:1" x14ac:dyDescent="0.45">
      <c r="A1633" t="s">
        <v>596</v>
      </c>
    </row>
    <row r="1634" spans="1:1" x14ac:dyDescent="0.45">
      <c r="A1634" t="s">
        <v>478</v>
      </c>
    </row>
    <row r="1635" spans="1:1" x14ac:dyDescent="0.45">
      <c r="A1635" t="s">
        <v>488</v>
      </c>
    </row>
    <row r="1636" spans="1:1" x14ac:dyDescent="0.45">
      <c r="A1636" t="s">
        <v>489</v>
      </c>
    </row>
    <row r="1637" spans="1:1" x14ac:dyDescent="0.45">
      <c r="A1637" t="s">
        <v>491</v>
      </c>
    </row>
    <row r="1638" spans="1:1" x14ac:dyDescent="0.45">
      <c r="A1638" t="s">
        <v>492</v>
      </c>
    </row>
    <row r="1639" spans="1:1" x14ac:dyDescent="0.45">
      <c r="A1639" t="s">
        <v>496</v>
      </c>
    </row>
    <row r="1640" spans="1:1" x14ac:dyDescent="0.45">
      <c r="A1640" t="s">
        <v>497</v>
      </c>
    </row>
    <row r="1641" spans="1:1" x14ac:dyDescent="0.45">
      <c r="A1641" t="s">
        <v>498</v>
      </c>
    </row>
    <row r="1642" spans="1:1" x14ac:dyDescent="0.45">
      <c r="A1642" t="s">
        <v>2459</v>
      </c>
    </row>
    <row r="1643" spans="1:1" x14ac:dyDescent="0.45">
      <c r="A1643" t="s">
        <v>502</v>
      </c>
    </row>
    <row r="1644" spans="1:1" x14ac:dyDescent="0.45">
      <c r="A1644" t="s">
        <v>503</v>
      </c>
    </row>
    <row r="1645" spans="1:1" x14ac:dyDescent="0.45">
      <c r="A1645" t="s">
        <v>506</v>
      </c>
    </row>
    <row r="1646" spans="1:1" x14ac:dyDescent="0.45">
      <c r="A1646" t="s">
        <v>507</v>
      </c>
    </row>
    <row r="1647" spans="1:1" x14ac:dyDescent="0.45">
      <c r="A1647" t="s">
        <v>511</v>
      </c>
    </row>
    <row r="1648" spans="1:1" x14ac:dyDescent="0.45">
      <c r="A1648" t="s">
        <v>512</v>
      </c>
    </row>
    <row r="1649" spans="1:1" x14ac:dyDescent="0.45">
      <c r="A1649" t="s">
        <v>513</v>
      </c>
    </row>
    <row r="1650" spans="1:1" x14ac:dyDescent="0.45">
      <c r="A1650" t="s">
        <v>514</v>
      </c>
    </row>
    <row r="1651" spans="1:1" x14ac:dyDescent="0.45">
      <c r="A1651" t="s">
        <v>515</v>
      </c>
    </row>
    <row r="1652" spans="1:1" x14ac:dyDescent="0.45">
      <c r="A1652" t="s">
        <v>516</v>
      </c>
    </row>
    <row r="1653" spans="1:1" x14ac:dyDescent="0.45">
      <c r="A1653" t="s">
        <v>328</v>
      </c>
    </row>
    <row r="1654" spans="1:1" x14ac:dyDescent="0.45">
      <c r="A1654" t="s">
        <v>2460</v>
      </c>
    </row>
    <row r="1655" spans="1:1" x14ac:dyDescent="0.45">
      <c r="A1655" t="s">
        <v>518</v>
      </c>
    </row>
    <row r="1656" spans="1:1" x14ac:dyDescent="0.45">
      <c r="A1656" t="s">
        <v>519</v>
      </c>
    </row>
    <row r="1657" spans="1:1" x14ac:dyDescent="0.45">
      <c r="A1657" t="s">
        <v>521</v>
      </c>
    </row>
    <row r="1658" spans="1:1" x14ac:dyDescent="0.45">
      <c r="A1658" t="s">
        <v>523</v>
      </c>
    </row>
    <row r="1659" spans="1:1" x14ac:dyDescent="0.45">
      <c r="A1659" t="s">
        <v>524</v>
      </c>
    </row>
    <row r="1660" spans="1:1" x14ac:dyDescent="0.45">
      <c r="A1660" t="s">
        <v>526</v>
      </c>
    </row>
    <row r="1661" spans="1:1" x14ac:dyDescent="0.45">
      <c r="A1661" t="s">
        <v>593</v>
      </c>
    </row>
    <row r="1662" spans="1:1" x14ac:dyDescent="0.45">
      <c r="A1662" t="s">
        <v>527</v>
      </c>
    </row>
    <row r="1663" spans="1:1" x14ac:dyDescent="0.45">
      <c r="A1663" t="s">
        <v>528</v>
      </c>
    </row>
    <row r="1664" spans="1:1" x14ac:dyDescent="0.45">
      <c r="A1664" t="s">
        <v>2461</v>
      </c>
    </row>
    <row r="1665" spans="1:1" x14ac:dyDescent="0.45">
      <c r="A1665" t="s">
        <v>531</v>
      </c>
    </row>
    <row r="1666" spans="1:1" x14ac:dyDescent="0.45">
      <c r="A1666" t="s">
        <v>532</v>
      </c>
    </row>
    <row r="1667" spans="1:1" x14ac:dyDescent="0.45">
      <c r="A1667" t="s">
        <v>535</v>
      </c>
    </row>
    <row r="1668" spans="1:1" x14ac:dyDescent="0.45">
      <c r="A1668" t="s">
        <v>537</v>
      </c>
    </row>
    <row r="1669" spans="1:1" x14ac:dyDescent="0.45">
      <c r="A1669" t="s">
        <v>539</v>
      </c>
    </row>
    <row r="1670" spans="1:1" x14ac:dyDescent="0.45">
      <c r="A1670" t="s">
        <v>529</v>
      </c>
    </row>
    <row r="1671" spans="1:1" x14ac:dyDescent="0.45">
      <c r="A1671" t="s">
        <v>542</v>
      </c>
    </row>
    <row r="1672" spans="1:1" x14ac:dyDescent="0.45">
      <c r="A1672" t="s">
        <v>543</v>
      </c>
    </row>
    <row r="1673" spans="1:1" x14ac:dyDescent="0.45">
      <c r="A1673" t="s">
        <v>544</v>
      </c>
    </row>
    <row r="1674" spans="1:1" x14ac:dyDescent="0.45">
      <c r="A1674" t="s">
        <v>547</v>
      </c>
    </row>
    <row r="1675" spans="1:1" x14ac:dyDescent="0.45">
      <c r="A1675" t="s">
        <v>550</v>
      </c>
    </row>
    <row r="1676" spans="1:1" x14ac:dyDescent="0.45">
      <c r="A1676" t="s">
        <v>551</v>
      </c>
    </row>
    <row r="1677" spans="1:1" x14ac:dyDescent="0.45">
      <c r="A1677" t="s">
        <v>552</v>
      </c>
    </row>
    <row r="1678" spans="1:1" x14ac:dyDescent="0.45">
      <c r="A1678" t="s">
        <v>554</v>
      </c>
    </row>
    <row r="1679" spans="1:1" x14ac:dyDescent="0.45">
      <c r="A1679" t="s">
        <v>555</v>
      </c>
    </row>
    <row r="1680" spans="1:1" x14ac:dyDescent="0.45">
      <c r="A1680" t="s">
        <v>556</v>
      </c>
    </row>
    <row r="1681" spans="1:2" x14ac:dyDescent="0.45">
      <c r="A1681" t="s">
        <v>557</v>
      </c>
    </row>
    <row r="1682" spans="1:2" x14ac:dyDescent="0.45">
      <c r="A1682" t="s">
        <v>558</v>
      </c>
    </row>
    <row r="1683" spans="1:2" x14ac:dyDescent="0.45">
      <c r="A1683" t="s">
        <v>565</v>
      </c>
    </row>
    <row r="1684" spans="1:2" x14ac:dyDescent="0.45">
      <c r="A1684" t="s">
        <v>566</v>
      </c>
    </row>
    <row r="1685" spans="1:2" x14ac:dyDescent="0.45">
      <c r="A1685" t="s">
        <v>568</v>
      </c>
    </row>
    <row r="1686" spans="1:2" x14ac:dyDescent="0.45">
      <c r="A1686" t="s">
        <v>569</v>
      </c>
      <c r="B1686" t="s">
        <v>2462</v>
      </c>
    </row>
    <row r="1687" spans="1:2" x14ac:dyDescent="0.45">
      <c r="A1687" t="s">
        <v>571</v>
      </c>
    </row>
    <row r="1688" spans="1:2" x14ac:dyDescent="0.45">
      <c r="A1688" t="s">
        <v>573</v>
      </c>
    </row>
    <row r="1689" spans="1:2" x14ac:dyDescent="0.45">
      <c r="A1689" t="s">
        <v>575</v>
      </c>
    </row>
    <row r="1690" spans="1:2" x14ac:dyDescent="0.45">
      <c r="A1690" t="s">
        <v>576</v>
      </c>
    </row>
    <row r="1691" spans="1:2" x14ac:dyDescent="0.45">
      <c r="A1691" t="s">
        <v>579</v>
      </c>
    </row>
    <row r="1692" spans="1:2" x14ac:dyDescent="0.45">
      <c r="A1692" t="s">
        <v>581</v>
      </c>
    </row>
    <row r="1693" spans="1:2" x14ac:dyDescent="0.45">
      <c r="A1693" t="s">
        <v>582</v>
      </c>
    </row>
    <row r="1694" spans="1:2" x14ac:dyDescent="0.45">
      <c r="A1694" t="s">
        <v>2463</v>
      </c>
    </row>
    <row r="1695" spans="1:2" x14ac:dyDescent="0.45">
      <c r="A1695" t="s">
        <v>586</v>
      </c>
    </row>
    <row r="1696" spans="1:2" x14ac:dyDescent="0.45">
      <c r="A1696" t="s">
        <v>588</v>
      </c>
    </row>
    <row r="1697" spans="1:1" x14ac:dyDescent="0.45">
      <c r="A1697" t="s">
        <v>589</v>
      </c>
    </row>
    <row r="1698" spans="1:1" x14ac:dyDescent="0.45">
      <c r="A1698" t="s">
        <v>590</v>
      </c>
    </row>
    <row r="1699" spans="1:1" x14ac:dyDescent="0.45">
      <c r="A1699" t="s">
        <v>595</v>
      </c>
    </row>
    <row r="1700" spans="1:1" x14ac:dyDescent="0.45">
      <c r="A1700" t="s">
        <v>597</v>
      </c>
    </row>
    <row r="1701" spans="1:1" x14ac:dyDescent="0.45">
      <c r="A1701" t="s">
        <v>738</v>
      </c>
    </row>
    <row r="1702" spans="1:1" x14ac:dyDescent="0.45">
      <c r="A1702" t="s">
        <v>2464</v>
      </c>
    </row>
    <row r="1703" spans="1:1" x14ac:dyDescent="0.45">
      <c r="A1703" t="s">
        <v>2465</v>
      </c>
    </row>
    <row r="1704" spans="1:1" x14ac:dyDescent="0.45">
      <c r="A1704" t="s">
        <v>599</v>
      </c>
    </row>
    <row r="1705" spans="1:1" x14ac:dyDescent="0.45">
      <c r="A1705" t="s">
        <v>600</v>
      </c>
    </row>
    <row r="1706" spans="1:1" x14ac:dyDescent="0.45">
      <c r="A1706" t="s">
        <v>602</v>
      </c>
    </row>
    <row r="1707" spans="1:1" x14ac:dyDescent="0.45">
      <c r="A1707" t="s">
        <v>604</v>
      </c>
    </row>
    <row r="1708" spans="1:1" x14ac:dyDescent="0.45">
      <c r="A1708" t="s">
        <v>605</v>
      </c>
    </row>
    <row r="1709" spans="1:1" x14ac:dyDescent="0.45">
      <c r="A1709" t="s">
        <v>606</v>
      </c>
    </row>
    <row r="1710" spans="1:1" x14ac:dyDescent="0.45">
      <c r="A1710" t="s">
        <v>609</v>
      </c>
    </row>
    <row r="1711" spans="1:1" x14ac:dyDescent="0.45">
      <c r="A1711" t="s">
        <v>618</v>
      </c>
    </row>
    <row r="1712" spans="1:1" x14ac:dyDescent="0.45">
      <c r="A1712" t="s">
        <v>621</v>
      </c>
    </row>
    <row r="1713" spans="1:1" x14ac:dyDescent="0.45">
      <c r="A1713" t="s">
        <v>623</v>
      </c>
    </row>
    <row r="1714" spans="1:1" x14ac:dyDescent="0.45">
      <c r="A1714" t="s">
        <v>2466</v>
      </c>
    </row>
    <row r="1715" spans="1:1" x14ac:dyDescent="0.45">
      <c r="A1715" t="s">
        <v>629</v>
      </c>
    </row>
    <row r="1716" spans="1:1" x14ac:dyDescent="0.45">
      <c r="A1716" t="s">
        <v>631</v>
      </c>
    </row>
    <row r="1717" spans="1:1" x14ac:dyDescent="0.45">
      <c r="A1717" t="s">
        <v>352</v>
      </c>
    </row>
    <row r="1718" spans="1:1" x14ac:dyDescent="0.45">
      <c r="A1718" t="s">
        <v>2467</v>
      </c>
    </row>
    <row r="1719" spans="1:1" x14ac:dyDescent="0.45">
      <c r="A1719" t="s">
        <v>635</v>
      </c>
    </row>
    <row r="1720" spans="1:1" x14ac:dyDescent="0.45">
      <c r="A1720" t="s">
        <v>636</v>
      </c>
    </row>
    <row r="1721" spans="1:1" x14ac:dyDescent="0.45">
      <c r="A1721" t="s">
        <v>637</v>
      </c>
    </row>
    <row r="1722" spans="1:1" x14ac:dyDescent="0.45">
      <c r="A1722" t="s">
        <v>638</v>
      </c>
    </row>
    <row r="1723" spans="1:1" x14ac:dyDescent="0.45">
      <c r="A1723" t="s">
        <v>621</v>
      </c>
    </row>
    <row r="1724" spans="1:1" x14ac:dyDescent="0.45">
      <c r="A1724" t="s">
        <v>2468</v>
      </c>
    </row>
    <row r="1725" spans="1:1" x14ac:dyDescent="0.45">
      <c r="A1725" t="s">
        <v>644</v>
      </c>
    </row>
    <row r="1726" spans="1:1" x14ac:dyDescent="0.45">
      <c r="A1726" t="s">
        <v>648</v>
      </c>
    </row>
    <row r="1727" spans="1:1" x14ac:dyDescent="0.45">
      <c r="A1727" t="s">
        <v>649</v>
      </c>
    </row>
    <row r="1728" spans="1:1" x14ac:dyDescent="0.45">
      <c r="A1728" t="s">
        <v>651</v>
      </c>
    </row>
    <row r="1729" spans="1:1" x14ac:dyDescent="0.45">
      <c r="A1729" t="s">
        <v>653</v>
      </c>
    </row>
    <row r="1730" spans="1:1" x14ac:dyDescent="0.45">
      <c r="A1730" t="s">
        <v>654</v>
      </c>
    </row>
    <row r="1731" spans="1:1" x14ac:dyDescent="0.45">
      <c r="A1731" t="s">
        <v>655</v>
      </c>
    </row>
    <row r="1732" spans="1:1" x14ac:dyDescent="0.45">
      <c r="A1732" t="s">
        <v>449</v>
      </c>
    </row>
    <row r="1733" spans="1:1" x14ac:dyDescent="0.45">
      <c r="A1733" t="s">
        <v>658</v>
      </c>
    </row>
    <row r="1734" spans="1:1" x14ac:dyDescent="0.45">
      <c r="A1734" t="s">
        <v>664</v>
      </c>
    </row>
    <row r="1735" spans="1:1" x14ac:dyDescent="0.45">
      <c r="A1735" t="s">
        <v>449</v>
      </c>
    </row>
    <row r="1736" spans="1:1" x14ac:dyDescent="0.45">
      <c r="A1736" t="s">
        <v>369</v>
      </c>
    </row>
    <row r="1737" spans="1:1" x14ac:dyDescent="0.45">
      <c r="A1737" t="s">
        <v>666</v>
      </c>
    </row>
    <row r="1738" spans="1:1" x14ac:dyDescent="0.45">
      <c r="A1738" t="s">
        <v>667</v>
      </c>
    </row>
    <row r="1739" spans="1:1" x14ac:dyDescent="0.45">
      <c r="A1739" t="s">
        <v>648</v>
      </c>
    </row>
    <row r="1740" spans="1:1" x14ac:dyDescent="0.45">
      <c r="A1740" t="s">
        <v>668</v>
      </c>
    </row>
    <row r="1741" spans="1:1" x14ac:dyDescent="0.45">
      <c r="A1741" t="s">
        <v>671</v>
      </c>
    </row>
    <row r="1742" spans="1:1" x14ac:dyDescent="0.45">
      <c r="A1742" t="s">
        <v>2469</v>
      </c>
    </row>
    <row r="1743" spans="1:1" x14ac:dyDescent="0.45">
      <c r="A1743" t="s">
        <v>2470</v>
      </c>
    </row>
    <row r="1744" spans="1:1" x14ac:dyDescent="0.45">
      <c r="A1744" t="s">
        <v>674</v>
      </c>
    </row>
    <row r="1745" spans="1:1" x14ac:dyDescent="0.45">
      <c r="A1745" t="s">
        <v>451</v>
      </c>
    </row>
    <row r="1746" spans="1:1" x14ac:dyDescent="0.45">
      <c r="A1746" t="s">
        <v>679</v>
      </c>
    </row>
    <row r="1747" spans="1:1" x14ac:dyDescent="0.45">
      <c r="A1747" t="s">
        <v>680</v>
      </c>
    </row>
    <row r="1748" spans="1:1" x14ac:dyDescent="0.45">
      <c r="A1748" t="s">
        <v>683</v>
      </c>
    </row>
    <row r="1749" spans="1:1" x14ac:dyDescent="0.45">
      <c r="A1749" t="s">
        <v>623</v>
      </c>
    </row>
    <row r="1750" spans="1:1" x14ac:dyDescent="0.45">
      <c r="A1750" t="s">
        <v>684</v>
      </c>
    </row>
    <row r="1751" spans="1:1" x14ac:dyDescent="0.45">
      <c r="A1751" t="s">
        <v>688</v>
      </c>
    </row>
    <row r="1752" spans="1:1" x14ac:dyDescent="0.45">
      <c r="A1752" t="s">
        <v>689</v>
      </c>
    </row>
    <row r="1753" spans="1:1" x14ac:dyDescent="0.45">
      <c r="A1753" t="s">
        <v>690</v>
      </c>
    </row>
    <row r="1754" spans="1:1" x14ac:dyDescent="0.45">
      <c r="A1754" t="s">
        <v>2471</v>
      </c>
    </row>
    <row r="1755" spans="1:1" x14ac:dyDescent="0.45">
      <c r="A1755" t="s">
        <v>692</v>
      </c>
    </row>
    <row r="1756" spans="1:1" x14ac:dyDescent="0.45">
      <c r="A1756" t="s">
        <v>2472</v>
      </c>
    </row>
    <row r="1757" spans="1:1" x14ac:dyDescent="0.45">
      <c r="A1757" t="s">
        <v>695</v>
      </c>
    </row>
    <row r="1758" spans="1:1" x14ac:dyDescent="0.45">
      <c r="A1758" t="s">
        <v>699</v>
      </c>
    </row>
    <row r="1759" spans="1:1" x14ac:dyDescent="0.45">
      <c r="A1759" t="s">
        <v>700</v>
      </c>
    </row>
    <row r="1760" spans="1:1" x14ac:dyDescent="0.45">
      <c r="A1760" t="s">
        <v>2473</v>
      </c>
    </row>
    <row r="1761" spans="1:1" x14ac:dyDescent="0.45">
      <c r="A1761" t="s">
        <v>710</v>
      </c>
    </row>
    <row r="1762" spans="1:1" x14ac:dyDescent="0.45">
      <c r="A1762" t="s">
        <v>718</v>
      </c>
    </row>
    <row r="1763" spans="1:1" x14ac:dyDescent="0.45">
      <c r="A1763" t="s">
        <v>722</v>
      </c>
    </row>
    <row r="1764" spans="1:1" x14ac:dyDescent="0.45">
      <c r="A1764" t="s">
        <v>724</v>
      </c>
    </row>
    <row r="1765" spans="1:1" x14ac:dyDescent="0.45">
      <c r="A1765" t="s">
        <v>725</v>
      </c>
    </row>
    <row r="1766" spans="1:1" x14ac:dyDescent="0.45">
      <c r="A1766" t="s">
        <v>726</v>
      </c>
    </row>
    <row r="1767" spans="1:1" x14ac:dyDescent="0.45">
      <c r="A1767" t="s">
        <v>727</v>
      </c>
    </row>
    <row r="1768" spans="1:1" x14ac:dyDescent="0.45">
      <c r="A1768" t="s">
        <v>728</v>
      </c>
    </row>
    <row r="1769" spans="1:1" x14ac:dyDescent="0.45">
      <c r="A1769" t="s">
        <v>730</v>
      </c>
    </row>
    <row r="1770" spans="1:1" x14ac:dyDescent="0.45">
      <c r="A1770" t="s">
        <v>423</v>
      </c>
    </row>
    <row r="1771" spans="1:1" x14ac:dyDescent="0.45">
      <c r="A1771" t="s">
        <v>731</v>
      </c>
    </row>
    <row r="1772" spans="1:1" x14ac:dyDescent="0.45">
      <c r="A1772" t="s">
        <v>732</v>
      </c>
    </row>
    <row r="1773" spans="1:1" x14ac:dyDescent="0.45">
      <c r="A1773" t="s">
        <v>734</v>
      </c>
    </row>
    <row r="1774" spans="1:1" x14ac:dyDescent="0.45">
      <c r="A1774" t="s">
        <v>586</v>
      </c>
    </row>
    <row r="1775" spans="1:1" x14ac:dyDescent="0.45">
      <c r="A1775" t="s">
        <v>735</v>
      </c>
    </row>
    <row r="1776" spans="1:1" x14ac:dyDescent="0.45">
      <c r="A1776" t="s">
        <v>736</v>
      </c>
    </row>
    <row r="1777" spans="1:1" x14ac:dyDescent="0.45">
      <c r="A1777" t="s">
        <v>738</v>
      </c>
    </row>
    <row r="1778" spans="1:1" x14ac:dyDescent="0.45">
      <c r="A1778" t="s">
        <v>739</v>
      </c>
    </row>
    <row r="1779" spans="1:1" x14ac:dyDescent="0.45">
      <c r="A1779" t="s">
        <v>741</v>
      </c>
    </row>
    <row r="1780" spans="1:1" x14ac:dyDescent="0.45">
      <c r="A1780" t="s">
        <v>743</v>
      </c>
    </row>
    <row r="1781" spans="1:1" x14ac:dyDescent="0.45">
      <c r="A1781" t="s">
        <v>744</v>
      </c>
    </row>
    <row r="1782" spans="1:1" x14ac:dyDescent="0.45">
      <c r="A1782" t="s">
        <v>2474</v>
      </c>
    </row>
    <row r="1783" spans="1:1" x14ac:dyDescent="0.45">
      <c r="A1783" t="s">
        <v>759</v>
      </c>
    </row>
    <row r="1784" spans="1:1" x14ac:dyDescent="0.45">
      <c r="A1784" t="s">
        <v>745</v>
      </c>
    </row>
    <row r="1785" spans="1:1" x14ac:dyDescent="0.45">
      <c r="A1785" t="s">
        <v>748</v>
      </c>
    </row>
    <row r="1786" spans="1:1" x14ac:dyDescent="0.45">
      <c r="A1786" t="s">
        <v>749</v>
      </c>
    </row>
    <row r="1787" spans="1:1" x14ac:dyDescent="0.45">
      <c r="A1787" t="s">
        <v>750</v>
      </c>
    </row>
    <row r="1788" spans="1:1" x14ac:dyDescent="0.45">
      <c r="A1788" t="s">
        <v>751</v>
      </c>
    </row>
    <row r="1789" spans="1:1" x14ac:dyDescent="0.45">
      <c r="A1789" t="s">
        <v>753</v>
      </c>
    </row>
    <row r="1790" spans="1:1" x14ac:dyDescent="0.45">
      <c r="A1790" t="s">
        <v>755</v>
      </c>
    </row>
    <row r="1791" spans="1:1" x14ac:dyDescent="0.45">
      <c r="A1791" t="s">
        <v>457</v>
      </c>
    </row>
    <row r="1792" spans="1:1" x14ac:dyDescent="0.45">
      <c r="A1792" t="s">
        <v>759</v>
      </c>
    </row>
    <row r="1793" spans="1:1" x14ac:dyDescent="0.45">
      <c r="A1793" t="s">
        <v>2475</v>
      </c>
    </row>
    <row r="1794" spans="1:1" x14ac:dyDescent="0.45">
      <c r="A1794" t="s">
        <v>762</v>
      </c>
    </row>
    <row r="1795" spans="1:1" x14ac:dyDescent="0.45">
      <c r="A1795" t="s">
        <v>763</v>
      </c>
    </row>
    <row r="1796" spans="1:1" x14ac:dyDescent="0.45">
      <c r="A1796" t="s">
        <v>765</v>
      </c>
    </row>
    <row r="1797" spans="1:1" x14ac:dyDescent="0.45">
      <c r="A1797" t="s">
        <v>2476</v>
      </c>
    </row>
    <row r="1798" spans="1:1" x14ac:dyDescent="0.45">
      <c r="A1798" t="s">
        <v>440</v>
      </c>
    </row>
    <row r="1799" spans="1:1" x14ac:dyDescent="0.45">
      <c r="A1799" t="s">
        <v>2466</v>
      </c>
    </row>
    <row r="1800" spans="1:1" x14ac:dyDescent="0.45">
      <c r="A1800" t="s">
        <v>3052</v>
      </c>
    </row>
    <row r="1801" spans="1:1" x14ac:dyDescent="0.45">
      <c r="A1801" t="s">
        <v>3053</v>
      </c>
    </row>
    <row r="1802" spans="1:1" x14ac:dyDescent="0.45">
      <c r="A1802" t="s">
        <v>3054</v>
      </c>
    </row>
    <row r="1803" spans="1:1" x14ac:dyDescent="0.45">
      <c r="A1803" t="s">
        <v>3055</v>
      </c>
    </row>
    <row r="1804" spans="1:1" x14ac:dyDescent="0.45">
      <c r="A1804" t="s">
        <v>3056</v>
      </c>
    </row>
    <row r="1805" spans="1:1" x14ac:dyDescent="0.45">
      <c r="A1805" t="s">
        <v>3057</v>
      </c>
    </row>
    <row r="1806" spans="1:1" x14ac:dyDescent="0.45">
      <c r="A1806" t="s">
        <v>3058</v>
      </c>
    </row>
    <row r="1807" spans="1:1" x14ac:dyDescent="0.45">
      <c r="A1807" t="s">
        <v>3059</v>
      </c>
    </row>
    <row r="1808" spans="1:1" x14ac:dyDescent="0.45">
      <c r="A1808" t="s">
        <v>3060</v>
      </c>
    </row>
    <row r="1809" spans="1:1" x14ac:dyDescent="0.45">
      <c r="A1809" t="s">
        <v>3061</v>
      </c>
    </row>
    <row r="1810" spans="1:1" x14ac:dyDescent="0.45">
      <c r="A1810" t="s">
        <v>3062</v>
      </c>
    </row>
    <row r="1811" spans="1:1" x14ac:dyDescent="0.45">
      <c r="A1811" t="s">
        <v>3063</v>
      </c>
    </row>
    <row r="1812" spans="1:1" x14ac:dyDescent="0.45">
      <c r="A1812" t="s">
        <v>3064</v>
      </c>
    </row>
    <row r="1813" spans="1:1" x14ac:dyDescent="0.45">
      <c r="A1813" t="s">
        <v>3065</v>
      </c>
    </row>
    <row r="1814" spans="1:1" x14ac:dyDescent="0.45">
      <c r="A1814" t="s">
        <v>3066</v>
      </c>
    </row>
    <row r="1815" spans="1:1" x14ac:dyDescent="0.45">
      <c r="A1815" t="s">
        <v>3067</v>
      </c>
    </row>
    <row r="1816" spans="1:1" x14ac:dyDescent="0.45">
      <c r="A1816" t="s">
        <v>3068</v>
      </c>
    </row>
    <row r="1817" spans="1:1" x14ac:dyDescent="0.45">
      <c r="A1817" t="s">
        <v>3069</v>
      </c>
    </row>
    <row r="1818" spans="1:1" x14ac:dyDescent="0.45">
      <c r="A1818" t="s">
        <v>3070</v>
      </c>
    </row>
    <row r="1819" spans="1:1" x14ac:dyDescent="0.45">
      <c r="A1819" t="s">
        <v>3071</v>
      </c>
    </row>
    <row r="1820" spans="1:1" x14ac:dyDescent="0.45">
      <c r="A1820" t="s">
        <v>3072</v>
      </c>
    </row>
    <row r="1821" spans="1:1" x14ac:dyDescent="0.45">
      <c r="A1821" t="s">
        <v>3073</v>
      </c>
    </row>
    <row r="1822" spans="1:1" x14ac:dyDescent="0.45">
      <c r="A1822" t="s">
        <v>3074</v>
      </c>
    </row>
    <row r="1823" spans="1:1" x14ac:dyDescent="0.45">
      <c r="A1823" t="s">
        <v>3075</v>
      </c>
    </row>
    <row r="1824" spans="1:1" x14ac:dyDescent="0.45">
      <c r="A1824" t="s">
        <v>3076</v>
      </c>
    </row>
    <row r="1825" spans="1:1" x14ac:dyDescent="0.45">
      <c r="A1825" t="s">
        <v>3077</v>
      </c>
    </row>
    <row r="1826" spans="1:1" x14ac:dyDescent="0.45">
      <c r="A1826" t="s">
        <v>3070</v>
      </c>
    </row>
    <row r="1827" spans="1:1" x14ac:dyDescent="0.45">
      <c r="A1827" t="s">
        <v>3078</v>
      </c>
    </row>
    <row r="1828" spans="1:1" x14ac:dyDescent="0.45">
      <c r="A1828" t="s">
        <v>3079</v>
      </c>
    </row>
    <row r="1829" spans="1:1" x14ac:dyDescent="0.45">
      <c r="A1829" t="s">
        <v>3080</v>
      </c>
    </row>
    <row r="1830" spans="1:1" x14ac:dyDescent="0.45">
      <c r="A1830" t="s">
        <v>3081</v>
      </c>
    </row>
    <row r="1831" spans="1:1" x14ac:dyDescent="0.45">
      <c r="A1831" t="s">
        <v>3082</v>
      </c>
    </row>
  </sheetData>
  <pageMargins left="0.7" right="0.7" top="0.75" bottom="0.75" header="0.3" footer="0.3"/>
  <pageSetup paperSize="9" orientation="portrait" r:id="rId1"/>
  <headerFooter>
    <oddFooter>&amp;L_x000D_&amp;1#&amp;"Calibri"&amp;9&amp;K0078D7 Information Classification: General</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70A3-FB66-4307-9A00-ABE59B84D329}">
  <dimension ref="A1:AA860"/>
  <sheetViews>
    <sheetView workbookViewId="0"/>
  </sheetViews>
  <sheetFormatPr defaultRowHeight="16.5" x14ac:dyDescent="0.45"/>
  <cols>
    <col min="1" max="1" width="17.3046875" customWidth="1"/>
    <col min="2" max="2" width="21.3046875" customWidth="1"/>
    <col min="18" max="18" width="18.3046875" bestFit="1" customWidth="1"/>
  </cols>
  <sheetData>
    <row r="1" spans="1:2" x14ac:dyDescent="0.45">
      <c r="A1" s="103" t="s">
        <v>2477</v>
      </c>
      <c r="B1" s="103" t="s">
        <v>2478</v>
      </c>
    </row>
    <row r="2" spans="1:2" x14ac:dyDescent="0.45">
      <c r="A2" s="104" t="s">
        <v>2479</v>
      </c>
      <c r="B2" s="120" t="s">
        <v>2480</v>
      </c>
    </row>
    <row r="3" spans="1:2" x14ac:dyDescent="0.45">
      <c r="A3" s="104"/>
      <c r="B3" s="104" t="s">
        <v>2481</v>
      </c>
    </row>
    <row r="4" spans="1:2" x14ac:dyDescent="0.45">
      <c r="A4" s="104"/>
      <c r="B4" s="120" t="s">
        <v>2482</v>
      </c>
    </row>
    <row r="5" spans="1:2" x14ac:dyDescent="0.45">
      <c r="A5" s="104" t="s">
        <v>2483</v>
      </c>
      <c r="B5" s="120" t="s">
        <v>2484</v>
      </c>
    </row>
    <row r="6" spans="1:2" x14ac:dyDescent="0.45">
      <c r="A6" s="104"/>
      <c r="B6" s="120" t="s">
        <v>2485</v>
      </c>
    </row>
    <row r="7" spans="1:2" x14ac:dyDescent="0.45">
      <c r="A7" s="104"/>
      <c r="B7" s="120" t="s">
        <v>2486</v>
      </c>
    </row>
    <row r="8" spans="1:2" x14ac:dyDescent="0.45">
      <c r="A8" s="104"/>
      <c r="B8" s="104" t="s">
        <v>2487</v>
      </c>
    </row>
    <row r="9" spans="1:2" x14ac:dyDescent="0.45">
      <c r="A9" s="104" t="s">
        <v>2488</v>
      </c>
      <c r="B9" s="120" t="s">
        <v>2489</v>
      </c>
    </row>
    <row r="10" spans="1:2" x14ac:dyDescent="0.45">
      <c r="A10" s="104" t="s">
        <v>2490</v>
      </c>
      <c r="B10" s="104" t="s">
        <v>2491</v>
      </c>
    </row>
    <row r="11" spans="1:2" x14ac:dyDescent="0.45">
      <c r="A11" s="104"/>
      <c r="B11" s="120" t="s">
        <v>2492</v>
      </c>
    </row>
    <row r="12" spans="1:2" x14ac:dyDescent="0.45">
      <c r="A12" s="104"/>
      <c r="B12" s="104" t="s">
        <v>2493</v>
      </c>
    </row>
    <row r="13" spans="1:2" x14ac:dyDescent="0.45">
      <c r="A13" s="104" t="s">
        <v>2494</v>
      </c>
      <c r="B13" s="120" t="s">
        <v>2495</v>
      </c>
    </row>
    <row r="14" spans="1:2" x14ac:dyDescent="0.45">
      <c r="A14" s="104"/>
      <c r="B14" s="104" t="s">
        <v>2496</v>
      </c>
    </row>
    <row r="15" spans="1:2" x14ac:dyDescent="0.45">
      <c r="A15" s="104"/>
      <c r="B15" s="120" t="s">
        <v>2497</v>
      </c>
    </row>
    <row r="16" spans="1:2" x14ac:dyDescent="0.45">
      <c r="A16" s="104" t="s">
        <v>2498</v>
      </c>
      <c r="B16" s="104" t="s">
        <v>2499</v>
      </c>
    </row>
    <row r="17" spans="1:2" x14ac:dyDescent="0.45">
      <c r="A17" s="104" t="s">
        <v>2500</v>
      </c>
      <c r="B17" s="120" t="s">
        <v>2501</v>
      </c>
    </row>
    <row r="18" spans="1:2" x14ac:dyDescent="0.45">
      <c r="A18" s="104" t="s">
        <v>2502</v>
      </c>
      <c r="B18" s="104" t="s">
        <v>2503</v>
      </c>
    </row>
    <row r="19" spans="1:2" x14ac:dyDescent="0.45">
      <c r="A19" s="104" t="s">
        <v>2504</v>
      </c>
      <c r="B19" s="104" t="s">
        <v>2505</v>
      </c>
    </row>
    <row r="20" spans="1:2" x14ac:dyDescent="0.45">
      <c r="A20" s="104"/>
      <c r="B20" s="104" t="s">
        <v>2506</v>
      </c>
    </row>
    <row r="21" spans="1:2" x14ac:dyDescent="0.45">
      <c r="A21" s="104"/>
      <c r="B21" s="120" t="s">
        <v>2507</v>
      </c>
    </row>
    <row r="22" spans="1:2" x14ac:dyDescent="0.45">
      <c r="A22" s="104"/>
      <c r="B22" s="104" t="s">
        <v>2508</v>
      </c>
    </row>
    <row r="23" spans="1:2" x14ac:dyDescent="0.45">
      <c r="A23" s="104" t="s">
        <v>2509</v>
      </c>
      <c r="B23" s="120" t="s">
        <v>2510</v>
      </c>
    </row>
    <row r="24" spans="1:2" x14ac:dyDescent="0.45">
      <c r="A24" s="104"/>
      <c r="B24" s="120" t="s">
        <v>2511</v>
      </c>
    </row>
    <row r="25" spans="1:2" x14ac:dyDescent="0.45">
      <c r="A25" s="104"/>
      <c r="B25" s="104" t="s">
        <v>2512</v>
      </c>
    </row>
    <row r="26" spans="1:2" x14ac:dyDescent="0.45">
      <c r="A26" s="104"/>
      <c r="B26" s="104" t="s">
        <v>2513</v>
      </c>
    </row>
    <row r="27" spans="1:2" x14ac:dyDescent="0.45">
      <c r="A27" s="104"/>
      <c r="B27" s="104"/>
    </row>
    <row r="28" spans="1:2" x14ac:dyDescent="0.45">
      <c r="A28" s="104"/>
      <c r="B28" s="104"/>
    </row>
    <row r="29" spans="1:2" x14ac:dyDescent="0.45">
      <c r="A29" s="104"/>
      <c r="B29" s="104"/>
    </row>
    <row r="30" spans="1:2" x14ac:dyDescent="0.45">
      <c r="A30" s="104"/>
      <c r="B30" s="104"/>
    </row>
    <row r="31" spans="1:2" x14ac:dyDescent="0.45">
      <c r="A31" s="104"/>
      <c r="B31" s="104"/>
    </row>
    <row r="32" spans="1:2" x14ac:dyDescent="0.45">
      <c r="A32" s="104"/>
      <c r="B32" s="104"/>
    </row>
    <row r="33" spans="1:2" x14ac:dyDescent="0.45">
      <c r="A33" s="104"/>
      <c r="B33" s="104"/>
    </row>
    <row r="858" spans="10:27" x14ac:dyDescent="0.45">
      <c r="R858">
        <v>61.881</v>
      </c>
      <c r="T858">
        <v>61.881</v>
      </c>
    </row>
    <row r="859" spans="10:27" ht="94" x14ac:dyDescent="0.45">
      <c r="J859" s="157" t="s">
        <v>624</v>
      </c>
      <c r="K859" s="158" t="s">
        <v>625</v>
      </c>
      <c r="O859" t="s">
        <v>171</v>
      </c>
      <c r="P859">
        <v>2</v>
      </c>
      <c r="R859">
        <v>45.662999999999997</v>
      </c>
      <c r="T859">
        <v>45.662999999999997</v>
      </c>
      <c r="X859" t="s">
        <v>626</v>
      </c>
      <c r="Z859" t="s">
        <v>349</v>
      </c>
    </row>
    <row r="860" spans="10:27" x14ac:dyDescent="0.45">
      <c r="X860" t="s">
        <v>627</v>
      </c>
      <c r="Z860" t="s">
        <v>628</v>
      </c>
      <c r="AA860" s="159">
        <v>44544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7B53-844E-478A-BF4F-EBE85DC4C528}">
  <dimension ref="A1:C35"/>
  <sheetViews>
    <sheetView workbookViewId="0">
      <selection activeCell="C9" sqref="C9"/>
    </sheetView>
  </sheetViews>
  <sheetFormatPr defaultRowHeight="16.5" x14ac:dyDescent="0.45"/>
  <cols>
    <col min="1" max="1" width="17.3046875" customWidth="1"/>
    <col min="2" max="2" width="21.3046875" customWidth="1"/>
  </cols>
  <sheetData>
    <row r="1" spans="1:2" x14ac:dyDescent="0.45">
      <c r="A1" s="103" t="s">
        <v>2477</v>
      </c>
      <c r="B1" s="103" t="s">
        <v>2478</v>
      </c>
    </row>
    <row r="2" spans="1:2" x14ac:dyDescent="0.45">
      <c r="A2" s="104" t="s">
        <v>2514</v>
      </c>
      <c r="B2" s="102" t="s">
        <v>2515</v>
      </c>
    </row>
    <row r="3" spans="1:2" x14ac:dyDescent="0.45">
      <c r="A3" s="104"/>
      <c r="B3" s="104" t="s">
        <v>2516</v>
      </c>
    </row>
    <row r="4" spans="1:2" x14ac:dyDescent="0.45">
      <c r="A4" s="104"/>
      <c r="B4" s="104"/>
    </row>
    <row r="5" spans="1:2" x14ac:dyDescent="0.45">
      <c r="A5" s="104"/>
      <c r="B5" s="104" t="s">
        <v>2517</v>
      </c>
    </row>
    <row r="6" spans="1:2" x14ac:dyDescent="0.45">
      <c r="A6" s="104"/>
      <c r="B6" s="104" t="s">
        <v>2518</v>
      </c>
    </row>
    <row r="7" spans="1:2" x14ac:dyDescent="0.45">
      <c r="A7" s="104" t="s">
        <v>2519</v>
      </c>
      <c r="B7" s="104" t="s">
        <v>2520</v>
      </c>
    </row>
    <row r="8" spans="1:2" x14ac:dyDescent="0.45">
      <c r="A8" s="104"/>
      <c r="B8" s="104" t="s">
        <v>2521</v>
      </c>
    </row>
    <row r="9" spans="1:2" x14ac:dyDescent="0.45">
      <c r="A9" s="104"/>
      <c r="B9" s="104" t="s">
        <v>2522</v>
      </c>
    </row>
    <row r="10" spans="1:2" x14ac:dyDescent="0.45">
      <c r="A10" s="104"/>
      <c r="B10" s="104" t="s">
        <v>2523</v>
      </c>
    </row>
    <row r="11" spans="1:2" x14ac:dyDescent="0.45">
      <c r="A11" s="104" t="s">
        <v>2524</v>
      </c>
      <c r="B11" s="104" t="s">
        <v>2525</v>
      </c>
    </row>
    <row r="12" spans="1:2" x14ac:dyDescent="0.45">
      <c r="A12" s="104"/>
      <c r="B12" s="104" t="s">
        <v>2526</v>
      </c>
    </row>
    <row r="13" spans="1:2" x14ac:dyDescent="0.45">
      <c r="A13" s="104"/>
      <c r="B13" s="104" t="s">
        <v>2527</v>
      </c>
    </row>
    <row r="14" spans="1:2" x14ac:dyDescent="0.45">
      <c r="A14" s="104"/>
      <c r="B14" s="104" t="s">
        <v>2528</v>
      </c>
    </row>
    <row r="15" spans="1:2" x14ac:dyDescent="0.45">
      <c r="A15" s="104"/>
      <c r="B15" s="104" t="s">
        <v>2529</v>
      </c>
    </row>
    <row r="16" spans="1:2" x14ac:dyDescent="0.45">
      <c r="A16" s="104"/>
      <c r="B16" s="104" t="s">
        <v>2530</v>
      </c>
    </row>
    <row r="17" spans="1:2" x14ac:dyDescent="0.45">
      <c r="A17" s="104"/>
      <c r="B17" s="104" t="s">
        <v>2531</v>
      </c>
    </row>
    <row r="18" spans="1:2" x14ac:dyDescent="0.45">
      <c r="A18" s="104" t="s">
        <v>2532</v>
      </c>
      <c r="B18" s="104" t="s">
        <v>2533</v>
      </c>
    </row>
    <row r="19" spans="1:2" x14ac:dyDescent="0.45">
      <c r="A19" s="104"/>
      <c r="B19" s="104" t="s">
        <v>2534</v>
      </c>
    </row>
    <row r="20" spans="1:2" x14ac:dyDescent="0.45">
      <c r="A20" s="104" t="s">
        <v>2535</v>
      </c>
      <c r="B20" s="104" t="s">
        <v>2536</v>
      </c>
    </row>
    <row r="21" spans="1:2" x14ac:dyDescent="0.45">
      <c r="A21" s="104" t="s">
        <v>2537</v>
      </c>
      <c r="B21" s="104" t="s">
        <v>2538</v>
      </c>
    </row>
    <row r="22" spans="1:2" x14ac:dyDescent="0.45">
      <c r="A22" s="104" t="s">
        <v>2539</v>
      </c>
      <c r="B22" s="104" t="s">
        <v>2540</v>
      </c>
    </row>
    <row r="23" spans="1:2" x14ac:dyDescent="0.45">
      <c r="A23" s="104"/>
      <c r="B23" s="104" t="s">
        <v>2541</v>
      </c>
    </row>
    <row r="24" spans="1:2" x14ac:dyDescent="0.45">
      <c r="A24" s="104"/>
      <c r="B24" s="104" t="s">
        <v>2542</v>
      </c>
    </row>
    <row r="25" spans="1:2" x14ac:dyDescent="0.45">
      <c r="A25" s="104"/>
      <c r="B25" s="104" t="s">
        <v>2543</v>
      </c>
    </row>
    <row r="26" spans="1:2" x14ac:dyDescent="0.45">
      <c r="A26" s="104" t="s">
        <v>2544</v>
      </c>
      <c r="B26" s="104" t="s">
        <v>2545</v>
      </c>
    </row>
    <row r="27" spans="1:2" x14ac:dyDescent="0.45">
      <c r="A27" s="104"/>
      <c r="B27" s="104" t="s">
        <v>2546</v>
      </c>
    </row>
    <row r="28" spans="1:2" x14ac:dyDescent="0.45">
      <c r="A28" s="104" t="s">
        <v>2547</v>
      </c>
      <c r="B28" s="102" t="s">
        <v>2548</v>
      </c>
    </row>
    <row r="29" spans="1:2" x14ac:dyDescent="0.45">
      <c r="A29" s="104"/>
      <c r="B29" s="104" t="s">
        <v>2549</v>
      </c>
    </row>
    <row r="30" spans="1:2" x14ac:dyDescent="0.45">
      <c r="A30" s="104"/>
      <c r="B30" s="104" t="s">
        <v>2550</v>
      </c>
    </row>
    <row r="31" spans="1:2" x14ac:dyDescent="0.45">
      <c r="A31" s="104"/>
      <c r="B31" s="104" t="s">
        <v>2551</v>
      </c>
    </row>
    <row r="32" spans="1:2" x14ac:dyDescent="0.45">
      <c r="A32" s="104"/>
      <c r="B32" s="104" t="s">
        <v>2552</v>
      </c>
    </row>
    <row r="33" spans="1:3" x14ac:dyDescent="0.45">
      <c r="A33" s="104" t="s">
        <v>2553</v>
      </c>
      <c r="B33" s="104" t="s">
        <v>2554</v>
      </c>
    </row>
    <row r="35" spans="1:3" x14ac:dyDescent="0.45">
      <c r="A35" t="s">
        <v>2555</v>
      </c>
      <c r="B35" t="s">
        <v>2556</v>
      </c>
      <c r="C35" t="s">
        <v>2557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381C-6355-467A-A379-2DCC0AF10901}">
  <dimension ref="A1:G23"/>
  <sheetViews>
    <sheetView workbookViewId="0"/>
  </sheetViews>
  <sheetFormatPr defaultRowHeight="16.5" x14ac:dyDescent="0.45"/>
  <cols>
    <col min="2" max="2" width="47.23046875" bestFit="1" customWidth="1"/>
  </cols>
  <sheetData>
    <row r="1" spans="1:7" x14ac:dyDescent="0.45">
      <c r="A1" s="103" t="s">
        <v>2558</v>
      </c>
      <c r="B1" s="119"/>
    </row>
    <row r="2" spans="1:7" x14ac:dyDescent="0.45">
      <c r="A2" s="118" t="s">
        <v>2559</v>
      </c>
      <c r="B2" s="118" t="s">
        <v>2560</v>
      </c>
    </row>
    <row r="3" spans="1:7" x14ac:dyDescent="0.45">
      <c r="A3" s="117" t="s">
        <v>2561</v>
      </c>
      <c r="B3" s="113" t="s">
        <v>2562</v>
      </c>
    </row>
    <row r="4" spans="1:7" x14ac:dyDescent="0.45">
      <c r="A4" s="108" t="s">
        <v>2563</v>
      </c>
      <c r="B4" s="107" t="s">
        <v>47</v>
      </c>
    </row>
    <row r="5" spans="1:7" x14ac:dyDescent="0.45">
      <c r="A5" s="108" t="s">
        <v>2564</v>
      </c>
      <c r="B5" s="107" t="s">
        <v>2565</v>
      </c>
    </row>
    <row r="6" spans="1:7" x14ac:dyDescent="0.45">
      <c r="A6" s="108" t="s">
        <v>2566</v>
      </c>
      <c r="B6" s="107" t="s">
        <v>2567</v>
      </c>
    </row>
    <row r="7" spans="1:7" x14ac:dyDescent="0.45">
      <c r="A7" s="108" t="s">
        <v>2568</v>
      </c>
      <c r="B7" s="107" t="s">
        <v>218</v>
      </c>
      <c r="F7" s="116" t="s">
        <v>2569</v>
      </c>
      <c r="G7" s="115"/>
    </row>
    <row r="8" spans="1:7" x14ac:dyDescent="0.45">
      <c r="A8" s="108" t="s">
        <v>2570</v>
      </c>
      <c r="B8" s="107" t="s">
        <v>2571</v>
      </c>
      <c r="F8" s="114"/>
      <c r="G8" s="113"/>
    </row>
    <row r="9" spans="1:7" x14ac:dyDescent="0.45">
      <c r="A9" s="108" t="s">
        <v>2572</v>
      </c>
      <c r="B9" s="107" t="s">
        <v>280</v>
      </c>
      <c r="F9" s="112" t="s">
        <v>2573</v>
      </c>
      <c r="G9" s="111" t="s">
        <v>2574</v>
      </c>
    </row>
    <row r="10" spans="1:7" x14ac:dyDescent="0.45">
      <c r="A10" s="108" t="s">
        <v>2575</v>
      </c>
      <c r="B10" s="107" t="s">
        <v>2576</v>
      </c>
      <c r="F10" s="112" t="s">
        <v>2577</v>
      </c>
      <c r="G10" s="111" t="s">
        <v>2578</v>
      </c>
    </row>
    <row r="11" spans="1:7" x14ac:dyDescent="0.45">
      <c r="A11" s="108" t="s">
        <v>2579</v>
      </c>
      <c r="B11" s="107" t="s">
        <v>2580</v>
      </c>
      <c r="F11" s="112" t="s">
        <v>2581</v>
      </c>
      <c r="G11" s="111" t="s">
        <v>2582</v>
      </c>
    </row>
    <row r="12" spans="1:7" x14ac:dyDescent="0.45">
      <c r="A12" s="108" t="s">
        <v>2583</v>
      </c>
      <c r="B12" s="107" t="s">
        <v>2584</v>
      </c>
      <c r="F12" s="112" t="s">
        <v>2585</v>
      </c>
      <c r="G12" s="111" t="s">
        <v>2586</v>
      </c>
    </row>
    <row r="13" spans="1:7" x14ac:dyDescent="0.45">
      <c r="A13" s="108" t="s">
        <v>2587</v>
      </c>
      <c r="B13" s="107" t="s">
        <v>2588</v>
      </c>
      <c r="F13" s="110" t="s">
        <v>2589</v>
      </c>
      <c r="G13" s="109" t="s">
        <v>2590</v>
      </c>
    </row>
    <row r="14" spans="1:7" x14ac:dyDescent="0.45">
      <c r="A14" s="108" t="s">
        <v>2591</v>
      </c>
      <c r="B14" s="107" t="s">
        <v>2592</v>
      </c>
    </row>
    <row r="15" spans="1:7" x14ac:dyDescent="0.45">
      <c r="A15" s="108" t="s">
        <v>2593</v>
      </c>
      <c r="B15" s="107" t="s">
        <v>2594</v>
      </c>
    </row>
    <row r="16" spans="1:7" x14ac:dyDescent="0.45">
      <c r="A16" s="108" t="s">
        <v>2595</v>
      </c>
      <c r="B16" s="107" t="s">
        <v>2596</v>
      </c>
    </row>
    <row r="17" spans="1:2" x14ac:dyDescent="0.45">
      <c r="A17" s="108" t="s">
        <v>2597</v>
      </c>
      <c r="B17" s="107" t="s">
        <v>2598</v>
      </c>
    </row>
    <row r="18" spans="1:2" x14ac:dyDescent="0.45">
      <c r="A18" s="108" t="s">
        <v>2599</v>
      </c>
      <c r="B18" s="107" t="s">
        <v>2600</v>
      </c>
    </row>
    <row r="19" spans="1:2" x14ac:dyDescent="0.45">
      <c r="A19" s="108" t="s">
        <v>2601</v>
      </c>
      <c r="B19" s="107" t="s">
        <v>2602</v>
      </c>
    </row>
    <row r="20" spans="1:2" x14ac:dyDescent="0.45">
      <c r="A20" s="108" t="s">
        <v>2603</v>
      </c>
      <c r="B20" s="107" t="s">
        <v>2604</v>
      </c>
    </row>
    <row r="21" spans="1:2" x14ac:dyDescent="0.45">
      <c r="A21" s="108" t="s">
        <v>2605</v>
      </c>
      <c r="B21" s="107" t="s">
        <v>2606</v>
      </c>
    </row>
    <row r="22" spans="1:2" x14ac:dyDescent="0.45">
      <c r="A22" s="108" t="s">
        <v>2607</v>
      </c>
      <c r="B22" s="107" t="s">
        <v>541</v>
      </c>
    </row>
    <row r="23" spans="1:2" x14ac:dyDescent="0.45">
      <c r="A23" s="106" t="s">
        <v>2608</v>
      </c>
      <c r="B23" s="105" t="s">
        <v>2609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31"/>
  <sheetViews>
    <sheetView zoomScale="80" zoomScaleNormal="80" workbookViewId="0">
      <selection activeCell="Y22" sqref="Y22"/>
    </sheetView>
  </sheetViews>
  <sheetFormatPr defaultRowHeight="16.5" x14ac:dyDescent="0.45"/>
  <cols>
    <col min="1" max="1" width="26.3046875" style="2" customWidth="1"/>
    <col min="2" max="2" width="3.4609375" style="2" customWidth="1"/>
    <col min="3" max="3" width="4.4609375" style="2" customWidth="1"/>
    <col min="4" max="4" width="3.765625" style="2" customWidth="1"/>
    <col min="5" max="5" width="9.23046875" style="2" customWidth="1"/>
    <col min="6" max="6" width="3.765625" style="2" customWidth="1"/>
    <col min="7" max="7" width="5.765625" style="2" customWidth="1"/>
    <col min="9" max="9" width="14" bestFit="1" customWidth="1"/>
  </cols>
  <sheetData>
    <row r="2" spans="1:9" x14ac:dyDescent="0.45">
      <c r="A2" s="3" t="s">
        <v>797</v>
      </c>
      <c r="B2" s="3"/>
      <c r="C2" s="3" t="s">
        <v>134</v>
      </c>
      <c r="D2" s="3"/>
      <c r="E2" s="3" t="s">
        <v>799</v>
      </c>
      <c r="F2" s="3"/>
      <c r="G2" s="3" t="s">
        <v>800</v>
      </c>
      <c r="I2" s="2" t="s">
        <v>130</v>
      </c>
    </row>
    <row r="3" spans="1:9" x14ac:dyDescent="0.45">
      <c r="A3" s="2" t="s">
        <v>3</v>
      </c>
      <c r="C3" s="2" t="s">
        <v>181</v>
      </c>
      <c r="E3" s="2" t="s">
        <v>361</v>
      </c>
      <c r="G3" s="2">
        <v>2005</v>
      </c>
      <c r="I3" s="2" t="s">
        <v>153</v>
      </c>
    </row>
    <row r="4" spans="1:9" x14ac:dyDescent="0.45">
      <c r="A4" s="2" t="s">
        <v>170</v>
      </c>
      <c r="C4" s="2" t="s">
        <v>155</v>
      </c>
      <c r="E4" s="2" t="s">
        <v>156</v>
      </c>
      <c r="G4" s="2">
        <v>2006</v>
      </c>
      <c r="I4" s="2" t="s">
        <v>204</v>
      </c>
    </row>
    <row r="5" spans="1:9" x14ac:dyDescent="0.45">
      <c r="A5" s="2" t="s">
        <v>151</v>
      </c>
      <c r="E5" s="2" t="s">
        <v>220</v>
      </c>
      <c r="G5" s="2">
        <v>2007</v>
      </c>
    </row>
    <row r="6" spans="1:9" x14ac:dyDescent="0.45">
      <c r="A6" s="2" t="s">
        <v>175</v>
      </c>
      <c r="E6" s="2" t="s">
        <v>246</v>
      </c>
      <c r="G6" s="2">
        <v>2008</v>
      </c>
    </row>
    <row r="7" spans="1:9" x14ac:dyDescent="0.45">
      <c r="A7" s="2" t="s">
        <v>194</v>
      </c>
      <c r="E7" s="2" t="s">
        <v>282</v>
      </c>
      <c r="G7" s="2">
        <v>2009</v>
      </c>
    </row>
    <row r="8" spans="1:9" x14ac:dyDescent="0.45">
      <c r="A8" s="2" t="s">
        <v>2610</v>
      </c>
      <c r="E8" s="2" t="s">
        <v>299</v>
      </c>
      <c r="G8" s="2">
        <v>2010</v>
      </c>
    </row>
    <row r="9" spans="1:9" x14ac:dyDescent="0.45">
      <c r="A9" s="2" t="s">
        <v>398</v>
      </c>
      <c r="E9" s="2" t="s">
        <v>312</v>
      </c>
      <c r="G9" s="2">
        <v>2011</v>
      </c>
    </row>
    <row r="10" spans="1:9" x14ac:dyDescent="0.45">
      <c r="A10" s="2" t="s">
        <v>152</v>
      </c>
      <c r="E10" s="2" t="s">
        <v>326</v>
      </c>
      <c r="G10" s="2">
        <v>2012</v>
      </c>
    </row>
    <row r="11" spans="1:9" x14ac:dyDescent="0.45">
      <c r="E11" s="2" t="s">
        <v>334</v>
      </c>
      <c r="G11" s="2">
        <v>2013</v>
      </c>
    </row>
    <row r="12" spans="1:9" x14ac:dyDescent="0.45">
      <c r="E12" s="2" t="s">
        <v>338</v>
      </c>
      <c r="G12" s="2">
        <v>2014</v>
      </c>
    </row>
    <row r="13" spans="1:9" x14ac:dyDescent="0.45">
      <c r="E13" s="2" t="s">
        <v>341</v>
      </c>
      <c r="G13" s="2">
        <v>2015</v>
      </c>
    </row>
    <row r="14" spans="1:9" x14ac:dyDescent="0.45">
      <c r="E14" s="2" t="s">
        <v>347</v>
      </c>
      <c r="G14" s="2">
        <v>2016</v>
      </c>
    </row>
    <row r="15" spans="1:9" x14ac:dyDescent="0.45">
      <c r="G15" s="2">
        <v>2017</v>
      </c>
    </row>
    <row r="16" spans="1:9" x14ac:dyDescent="0.45">
      <c r="G16" s="2">
        <v>2018</v>
      </c>
    </row>
    <row r="17" spans="7:7" x14ac:dyDescent="0.45">
      <c r="G17" s="2">
        <v>2019</v>
      </c>
    </row>
    <row r="18" spans="7:7" x14ac:dyDescent="0.45">
      <c r="G18" s="2">
        <v>2020</v>
      </c>
    </row>
    <row r="19" spans="7:7" x14ac:dyDescent="0.45">
      <c r="G19" s="2">
        <v>2021</v>
      </c>
    </row>
    <row r="20" spans="7:7" x14ac:dyDescent="0.45">
      <c r="G20" s="2">
        <v>2022</v>
      </c>
    </row>
    <row r="21" spans="7:7" x14ac:dyDescent="0.45">
      <c r="G21" s="2">
        <v>2023</v>
      </c>
    </row>
    <row r="22" spans="7:7" x14ac:dyDescent="0.45">
      <c r="G22" s="2">
        <v>2024</v>
      </c>
    </row>
    <row r="23" spans="7:7" x14ac:dyDescent="0.45">
      <c r="G23" s="2">
        <v>2025</v>
      </c>
    </row>
    <row r="24" spans="7:7" x14ac:dyDescent="0.45">
      <c r="G24" s="2">
        <v>2026</v>
      </c>
    </row>
    <row r="25" spans="7:7" x14ac:dyDescent="0.45">
      <c r="G25" s="2">
        <v>2027</v>
      </c>
    </row>
    <row r="26" spans="7:7" x14ac:dyDescent="0.45">
      <c r="G26" s="2">
        <v>2028</v>
      </c>
    </row>
    <row r="27" spans="7:7" x14ac:dyDescent="0.45">
      <c r="G27" s="2">
        <v>2029</v>
      </c>
    </row>
    <row r="28" spans="7:7" x14ac:dyDescent="0.45">
      <c r="G28" s="2">
        <v>2030</v>
      </c>
    </row>
    <row r="29" spans="7:7" x14ac:dyDescent="0.45">
      <c r="G29" s="2">
        <v>2031</v>
      </c>
    </row>
    <row r="30" spans="7:7" x14ac:dyDescent="0.45">
      <c r="G30" s="2">
        <v>2032</v>
      </c>
    </row>
    <row r="31" spans="7:7" x14ac:dyDescent="0.45">
      <c r="G31" s="2">
        <v>2033</v>
      </c>
    </row>
  </sheetData>
  <pageMargins left="0.7" right="0.7" top="0.75" bottom="0.75" header="0.3" footer="0.3"/>
  <headerFooter>
    <oddFooter>&amp;L_x000D_&amp;1#&amp;"Calibri"&amp;9&amp;K0078D7 Information Classification: General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8"/>
  <sheetViews>
    <sheetView zoomScale="80" zoomScaleNormal="80" workbookViewId="0">
      <selection activeCell="Y22" sqref="Y22"/>
    </sheetView>
  </sheetViews>
  <sheetFormatPr defaultRowHeight="16.5" x14ac:dyDescent="0.45"/>
  <cols>
    <col min="1" max="1" width="22.765625" customWidth="1"/>
    <col min="3" max="11" width="24.765625" customWidth="1"/>
  </cols>
  <sheetData>
    <row r="1" spans="1:14" x14ac:dyDescent="0.45">
      <c r="A1" t="s">
        <v>792</v>
      </c>
      <c r="C1" t="s">
        <v>702</v>
      </c>
      <c r="D1" t="s">
        <v>265</v>
      </c>
      <c r="E1" t="s">
        <v>157</v>
      </c>
      <c r="F1" t="s">
        <v>504</v>
      </c>
      <c r="G1" t="s">
        <v>272</v>
      </c>
      <c r="H1" t="s">
        <v>142</v>
      </c>
      <c r="I1" t="s">
        <v>819</v>
      </c>
      <c r="J1" t="s">
        <v>1033</v>
      </c>
      <c r="K1" t="s">
        <v>509</v>
      </c>
      <c r="L1" t="s">
        <v>152</v>
      </c>
      <c r="N1" t="s">
        <v>2611</v>
      </c>
    </row>
    <row r="2" spans="1:14" x14ac:dyDescent="0.45">
      <c r="A2" t="s">
        <v>702</v>
      </c>
      <c r="C2" s="4" t="s">
        <v>801</v>
      </c>
      <c r="D2" s="5" t="s">
        <v>406</v>
      </c>
      <c r="E2" s="8" t="s">
        <v>907</v>
      </c>
      <c r="F2" s="10" t="s">
        <v>934</v>
      </c>
      <c r="G2" s="12" t="s">
        <v>961</v>
      </c>
      <c r="H2" s="6" t="s">
        <v>405</v>
      </c>
      <c r="I2" s="14" t="s">
        <v>971</v>
      </c>
      <c r="J2" s="15"/>
      <c r="K2" s="83" t="s">
        <v>2612</v>
      </c>
      <c r="L2" t="s">
        <v>152</v>
      </c>
      <c r="N2" t="s">
        <v>189</v>
      </c>
    </row>
    <row r="3" spans="1:14" x14ac:dyDescent="0.45">
      <c r="A3" t="s">
        <v>265</v>
      </c>
      <c r="C3" s="4" t="s">
        <v>805</v>
      </c>
      <c r="D3" s="5" t="s">
        <v>890</v>
      </c>
      <c r="E3" s="8" t="s">
        <v>908</v>
      </c>
      <c r="F3" s="10" t="s">
        <v>935</v>
      </c>
      <c r="G3" s="12" t="s">
        <v>495</v>
      </c>
      <c r="H3" s="6" t="s">
        <v>143</v>
      </c>
      <c r="I3" s="14" t="s">
        <v>972</v>
      </c>
      <c r="J3" s="15"/>
      <c r="K3" s="83" t="s">
        <v>2613</v>
      </c>
      <c r="N3" t="s">
        <v>144</v>
      </c>
    </row>
    <row r="4" spans="1:14" x14ac:dyDescent="0.45">
      <c r="A4" t="s">
        <v>157</v>
      </c>
      <c r="C4" s="4" t="s">
        <v>810</v>
      </c>
      <c r="D4" s="5" t="s">
        <v>891</v>
      </c>
      <c r="E4" s="8" t="s">
        <v>619</v>
      </c>
      <c r="F4" s="10" t="s">
        <v>936</v>
      </c>
      <c r="G4" s="12" t="s">
        <v>561</v>
      </c>
      <c r="H4" t="s">
        <v>152</v>
      </c>
      <c r="I4" s="14" t="s">
        <v>973</v>
      </c>
      <c r="J4" s="15"/>
      <c r="K4" s="83" t="s">
        <v>2614</v>
      </c>
      <c r="N4" t="s">
        <v>159</v>
      </c>
    </row>
    <row r="5" spans="1:14" x14ac:dyDescent="0.45">
      <c r="A5" t="s">
        <v>504</v>
      </c>
      <c r="C5" s="4" t="s">
        <v>813</v>
      </c>
      <c r="D5" s="5" t="s">
        <v>892</v>
      </c>
      <c r="E5" s="8" t="s">
        <v>909</v>
      </c>
      <c r="F5" s="10" t="s">
        <v>937</v>
      </c>
      <c r="G5" s="12" t="s">
        <v>962</v>
      </c>
      <c r="I5" s="14" t="s">
        <v>974</v>
      </c>
      <c r="J5" s="15"/>
      <c r="K5" s="83" t="s">
        <v>152</v>
      </c>
      <c r="N5" t="s">
        <v>165</v>
      </c>
    </row>
    <row r="6" spans="1:14" x14ac:dyDescent="0.45">
      <c r="A6" t="s">
        <v>272</v>
      </c>
      <c r="C6" s="4" t="s">
        <v>815</v>
      </c>
      <c r="D6" s="5" t="s">
        <v>894</v>
      </c>
      <c r="E6" s="8" t="s">
        <v>486</v>
      </c>
      <c r="F6" s="10" t="s">
        <v>938</v>
      </c>
      <c r="G6" s="12" t="s">
        <v>273</v>
      </c>
      <c r="I6" s="14" t="s">
        <v>975</v>
      </c>
      <c r="J6" s="15"/>
      <c r="K6" s="83"/>
      <c r="N6" t="s">
        <v>673</v>
      </c>
    </row>
    <row r="7" spans="1:14" x14ac:dyDescent="0.45">
      <c r="A7" t="s">
        <v>142</v>
      </c>
      <c r="C7" s="4" t="s">
        <v>816</v>
      </c>
      <c r="D7" s="5" t="s">
        <v>895</v>
      </c>
      <c r="E7" s="8" t="s">
        <v>910</v>
      </c>
      <c r="F7" s="10" t="s">
        <v>505</v>
      </c>
      <c r="G7" s="12" t="s">
        <v>572</v>
      </c>
      <c r="I7" s="14" t="s">
        <v>976</v>
      </c>
      <c r="J7" s="15"/>
      <c r="K7" s="83"/>
      <c r="N7" t="s">
        <v>329</v>
      </c>
    </row>
    <row r="8" spans="1:14" x14ac:dyDescent="0.45">
      <c r="A8" t="s">
        <v>819</v>
      </c>
      <c r="C8" s="4" t="s">
        <v>820</v>
      </c>
      <c r="D8" s="5" t="s">
        <v>277</v>
      </c>
      <c r="E8" s="8" t="s">
        <v>911</v>
      </c>
      <c r="F8" s="10" t="s">
        <v>939</v>
      </c>
      <c r="G8" s="12" t="s">
        <v>963</v>
      </c>
      <c r="I8" s="14" t="s">
        <v>977</v>
      </c>
      <c r="J8" s="15"/>
      <c r="K8" s="83"/>
      <c r="N8" t="s">
        <v>207</v>
      </c>
    </row>
    <row r="9" spans="1:14" x14ac:dyDescent="0.45">
      <c r="A9" t="s">
        <v>509</v>
      </c>
      <c r="C9" s="4" t="s">
        <v>822</v>
      </c>
      <c r="D9" s="5" t="s">
        <v>896</v>
      </c>
      <c r="E9" s="8" t="s">
        <v>737</v>
      </c>
      <c r="F9" s="10" t="s">
        <v>940</v>
      </c>
      <c r="G9" s="12" t="s">
        <v>355</v>
      </c>
      <c r="I9" s="14" t="s">
        <v>978</v>
      </c>
    </row>
    <row r="10" spans="1:14" x14ac:dyDescent="0.45">
      <c r="A10" t="s">
        <v>152</v>
      </c>
      <c r="C10" s="4" t="s">
        <v>824</v>
      </c>
      <c r="D10" s="5" t="s">
        <v>897</v>
      </c>
      <c r="E10" s="8" t="s">
        <v>723</v>
      </c>
      <c r="F10" s="10" t="s">
        <v>941</v>
      </c>
      <c r="G10" s="12" t="s">
        <v>964</v>
      </c>
      <c r="I10" s="14" t="s">
        <v>979</v>
      </c>
    </row>
    <row r="11" spans="1:14" x14ac:dyDescent="0.45">
      <c r="C11" s="4" t="s">
        <v>825</v>
      </c>
      <c r="D11" s="5" t="s">
        <v>898</v>
      </c>
      <c r="E11" s="8" t="s">
        <v>912</v>
      </c>
      <c r="F11" s="10" t="s">
        <v>942</v>
      </c>
      <c r="G11" s="12" t="s">
        <v>965</v>
      </c>
      <c r="I11" s="14" t="s">
        <v>980</v>
      </c>
    </row>
    <row r="12" spans="1:14" x14ac:dyDescent="0.45">
      <c r="A12" t="s">
        <v>119</v>
      </c>
      <c r="C12" s="4" t="s">
        <v>826</v>
      </c>
      <c r="D12" s="5" t="s">
        <v>899</v>
      </c>
      <c r="E12" s="8" t="s">
        <v>788</v>
      </c>
      <c r="F12" s="10" t="s">
        <v>943</v>
      </c>
      <c r="G12" s="12" t="s">
        <v>966</v>
      </c>
      <c r="I12" t="s">
        <v>152</v>
      </c>
    </row>
    <row r="13" spans="1:14" x14ac:dyDescent="0.45">
      <c r="A13" t="s">
        <v>145</v>
      </c>
      <c r="C13" s="4" t="s">
        <v>828</v>
      </c>
      <c r="D13" s="5" t="s">
        <v>538</v>
      </c>
      <c r="E13" s="8" t="s">
        <v>256</v>
      </c>
      <c r="F13" s="10" t="s">
        <v>944</v>
      </c>
      <c r="G13" s="12" t="s">
        <v>733</v>
      </c>
    </row>
    <row r="14" spans="1:14" x14ac:dyDescent="0.45">
      <c r="A14" t="s">
        <v>166</v>
      </c>
      <c r="C14" s="4" t="s">
        <v>830</v>
      </c>
      <c r="D14" s="5" t="s">
        <v>900</v>
      </c>
      <c r="E14" s="8" t="s">
        <v>158</v>
      </c>
      <c r="F14" s="10" t="s">
        <v>945</v>
      </c>
      <c r="G14" s="12" t="s">
        <v>967</v>
      </c>
    </row>
    <row r="15" spans="1:14" x14ac:dyDescent="0.45">
      <c r="A15" t="s">
        <v>198</v>
      </c>
      <c r="C15" s="4" t="s">
        <v>832</v>
      </c>
      <c r="D15" s="5" t="s">
        <v>902</v>
      </c>
      <c r="E15" s="8" t="s">
        <v>477</v>
      </c>
      <c r="F15" s="10" t="s">
        <v>946</v>
      </c>
      <c r="G15" s="12" t="s">
        <v>968</v>
      </c>
    </row>
    <row r="16" spans="1:14" x14ac:dyDescent="0.45">
      <c r="A16" t="s">
        <v>685</v>
      </c>
      <c r="C16" s="4" t="s">
        <v>834</v>
      </c>
      <c r="D16" s="5" t="s">
        <v>904</v>
      </c>
      <c r="E16" s="8" t="s">
        <v>914</v>
      </c>
      <c r="F16" s="10" t="s">
        <v>947</v>
      </c>
      <c r="G16" s="12" t="s">
        <v>402</v>
      </c>
    </row>
    <row r="17" spans="3:7" x14ac:dyDescent="0.45">
      <c r="C17" s="4" t="s">
        <v>836</v>
      </c>
      <c r="D17" s="5" t="s">
        <v>677</v>
      </c>
      <c r="E17" s="8" t="s">
        <v>916</v>
      </c>
      <c r="F17" s="10" t="s">
        <v>948</v>
      </c>
      <c r="G17" s="12" t="s">
        <v>969</v>
      </c>
    </row>
    <row r="18" spans="3:7" x14ac:dyDescent="0.45">
      <c r="C18" s="4" t="s">
        <v>838</v>
      </c>
      <c r="D18" s="5" t="s">
        <v>407</v>
      </c>
      <c r="E18" s="8" t="s">
        <v>918</v>
      </c>
      <c r="F18" s="10" t="s">
        <v>949</v>
      </c>
      <c r="G18" s="12" t="s">
        <v>577</v>
      </c>
    </row>
    <row r="19" spans="3:7" x14ac:dyDescent="0.45">
      <c r="C19" s="4" t="s">
        <v>839</v>
      </c>
      <c r="D19" s="5" t="s">
        <v>266</v>
      </c>
      <c r="E19" s="8" t="s">
        <v>919</v>
      </c>
      <c r="F19" s="10" t="s">
        <v>950</v>
      </c>
      <c r="G19" s="12" t="s">
        <v>418</v>
      </c>
    </row>
    <row r="20" spans="3:7" x14ac:dyDescent="0.45">
      <c r="C20" s="4" t="s">
        <v>841</v>
      </c>
      <c r="D20" s="5" t="s">
        <v>696</v>
      </c>
      <c r="E20" s="8" t="s">
        <v>394</v>
      </c>
      <c r="F20" s="10" t="s">
        <v>951</v>
      </c>
      <c r="G20" s="12" t="s">
        <v>970</v>
      </c>
    </row>
    <row r="21" spans="3:7" x14ac:dyDescent="0.45">
      <c r="C21" s="4" t="s">
        <v>843</v>
      </c>
      <c r="D21" s="5" t="s">
        <v>906</v>
      </c>
      <c r="E21" s="8" t="s">
        <v>920</v>
      </c>
      <c r="F21" s="10" t="s">
        <v>952</v>
      </c>
      <c r="G21" t="s">
        <v>152</v>
      </c>
    </row>
    <row r="22" spans="3:7" x14ac:dyDescent="0.45">
      <c r="C22" s="4" t="s">
        <v>846</v>
      </c>
      <c r="D22" t="s">
        <v>562</v>
      </c>
      <c r="E22" s="8" t="s">
        <v>921</v>
      </c>
      <c r="F22" s="10" t="s">
        <v>953</v>
      </c>
    </row>
    <row r="23" spans="3:7" x14ac:dyDescent="0.45">
      <c r="C23" s="4" t="s">
        <v>848</v>
      </c>
      <c r="D23" t="s">
        <v>981</v>
      </c>
      <c r="E23" s="8" t="s">
        <v>661</v>
      </c>
      <c r="F23" s="10" t="s">
        <v>954</v>
      </c>
    </row>
    <row r="24" spans="3:7" x14ac:dyDescent="0.45">
      <c r="C24" s="4" t="s">
        <v>850</v>
      </c>
      <c r="D24" t="s">
        <v>390</v>
      </c>
      <c r="E24" s="8" t="s">
        <v>923</v>
      </c>
      <c r="F24" s="10" t="s">
        <v>955</v>
      </c>
    </row>
    <row r="25" spans="3:7" x14ac:dyDescent="0.45">
      <c r="C25" s="4" t="s">
        <v>852</v>
      </c>
      <c r="D25" t="s">
        <v>982</v>
      </c>
      <c r="E25" s="8" t="s">
        <v>924</v>
      </c>
      <c r="F25" s="10" t="s">
        <v>956</v>
      </c>
    </row>
    <row r="26" spans="3:7" x14ac:dyDescent="0.45">
      <c r="C26" s="4" t="s">
        <v>854</v>
      </c>
      <c r="D26" t="s">
        <v>713</v>
      </c>
      <c r="E26" s="8" t="s">
        <v>662</v>
      </c>
      <c r="F26" s="10" t="s">
        <v>957</v>
      </c>
    </row>
    <row r="27" spans="3:7" x14ac:dyDescent="0.45">
      <c r="C27" s="4" t="s">
        <v>856</v>
      </c>
      <c r="D27" t="s">
        <v>983</v>
      </c>
      <c r="E27" s="8" t="s">
        <v>580</v>
      </c>
      <c r="F27" s="10" t="s">
        <v>958</v>
      </c>
    </row>
    <row r="28" spans="3:7" x14ac:dyDescent="0.45">
      <c r="C28" s="4" t="s">
        <v>858</v>
      </c>
      <c r="D28" t="s">
        <v>984</v>
      </c>
      <c r="E28" s="8" t="s">
        <v>925</v>
      </c>
      <c r="F28" s="10" t="s">
        <v>959</v>
      </c>
    </row>
    <row r="29" spans="3:7" x14ac:dyDescent="0.45">
      <c r="C29" s="4" t="s">
        <v>860</v>
      </c>
      <c r="D29" t="s">
        <v>152</v>
      </c>
      <c r="E29" s="8" t="s">
        <v>287</v>
      </c>
      <c r="F29" s="10" t="s">
        <v>960</v>
      </c>
    </row>
    <row r="30" spans="3:7" x14ac:dyDescent="0.45">
      <c r="C30" s="4" t="s">
        <v>862</v>
      </c>
      <c r="E30" s="8" t="s">
        <v>694</v>
      </c>
      <c r="F30" t="s">
        <v>152</v>
      </c>
    </row>
    <row r="31" spans="3:7" x14ac:dyDescent="0.45">
      <c r="C31" s="4" t="s">
        <v>864</v>
      </c>
      <c r="E31" s="8" t="s">
        <v>928</v>
      </c>
    </row>
    <row r="32" spans="3:7" x14ac:dyDescent="0.45">
      <c r="C32" s="4" t="s">
        <v>867</v>
      </c>
      <c r="E32" s="8" t="s">
        <v>645</v>
      </c>
    </row>
    <row r="33" spans="3:5" x14ac:dyDescent="0.45">
      <c r="C33" s="4" t="s">
        <v>869</v>
      </c>
      <c r="E33" s="8" t="s">
        <v>929</v>
      </c>
    </row>
    <row r="34" spans="3:5" x14ac:dyDescent="0.45">
      <c r="C34" s="4" t="s">
        <v>871</v>
      </c>
      <c r="E34" s="8" t="s">
        <v>930</v>
      </c>
    </row>
    <row r="35" spans="3:5" x14ac:dyDescent="0.45">
      <c r="C35" s="4" t="s">
        <v>873</v>
      </c>
      <c r="E35" s="8" t="s">
        <v>931</v>
      </c>
    </row>
    <row r="36" spans="3:5" x14ac:dyDescent="0.45">
      <c r="C36" s="4" t="s">
        <v>875</v>
      </c>
      <c r="E36" s="8" t="s">
        <v>408</v>
      </c>
    </row>
    <row r="37" spans="3:5" x14ac:dyDescent="0.45">
      <c r="C37" s="4" t="s">
        <v>877</v>
      </c>
      <c r="E37" s="8" t="s">
        <v>932</v>
      </c>
    </row>
    <row r="38" spans="3:5" x14ac:dyDescent="0.45">
      <c r="C38" s="4" t="s">
        <v>879</v>
      </c>
      <c r="E38" s="8" t="s">
        <v>933</v>
      </c>
    </row>
    <row r="39" spans="3:5" x14ac:dyDescent="0.45">
      <c r="C39" s="4" t="s">
        <v>880</v>
      </c>
      <c r="E39" s="8" t="s">
        <v>493</v>
      </c>
    </row>
    <row r="40" spans="3:5" x14ac:dyDescent="0.45">
      <c r="C40" s="4" t="s">
        <v>881</v>
      </c>
      <c r="E40" s="8" t="s">
        <v>719</v>
      </c>
    </row>
    <row r="41" spans="3:5" x14ac:dyDescent="0.45">
      <c r="C41" s="4" t="s">
        <v>882</v>
      </c>
      <c r="E41" s="8" t="s">
        <v>673</v>
      </c>
    </row>
    <row r="42" spans="3:5" x14ac:dyDescent="0.45">
      <c r="C42" s="4" t="s">
        <v>884</v>
      </c>
      <c r="E42" s="8" t="s">
        <v>460</v>
      </c>
    </row>
    <row r="43" spans="3:5" x14ac:dyDescent="0.45">
      <c r="C43" s="4" t="s">
        <v>885</v>
      </c>
      <c r="E43" s="8" t="s">
        <v>996</v>
      </c>
    </row>
    <row r="44" spans="3:5" x14ac:dyDescent="0.45">
      <c r="C44" s="4" t="s">
        <v>886</v>
      </c>
      <c r="E44" t="s">
        <v>152</v>
      </c>
    </row>
    <row r="45" spans="3:5" x14ac:dyDescent="0.45">
      <c r="C45" s="4" t="s">
        <v>887</v>
      </c>
    </row>
    <row r="46" spans="3:5" x14ac:dyDescent="0.45">
      <c r="C46" s="4" t="s">
        <v>888</v>
      </c>
    </row>
    <row r="47" spans="3:5" x14ac:dyDescent="0.45">
      <c r="C47" s="4" t="s">
        <v>889</v>
      </c>
    </row>
    <row r="48" spans="3:5" x14ac:dyDescent="0.45">
      <c r="C48" s="4" t="s">
        <v>2615</v>
      </c>
    </row>
  </sheetData>
  <pageMargins left="0.7" right="0.7" top="0.75" bottom="0.75" header="0.3" footer="0.3"/>
  <headerFooter>
    <oddFooter>&amp;L_x000D_&amp;1#&amp;"Calibri"&amp;9&amp;K0078D7 Information Classification: General</oddFooter>
  </headerFooter>
  <tableParts count="4">
    <tablePart r:id="rId1"/>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D129-A664-4F26-9664-CA6CD1B210CA}">
  <dimension ref="A1:Y9"/>
  <sheetViews>
    <sheetView workbookViewId="0">
      <selection activeCell="G25" sqref="G25"/>
    </sheetView>
  </sheetViews>
  <sheetFormatPr defaultRowHeight="16.5" x14ac:dyDescent="0.45"/>
  <cols>
    <col min="1" max="1" width="17" customWidth="1"/>
    <col min="2" max="2" width="18" customWidth="1"/>
    <col min="3" max="3" width="19" customWidth="1"/>
    <col min="4" max="4" width="15.765625" customWidth="1"/>
    <col min="5" max="5" width="16.765625" customWidth="1"/>
    <col min="6" max="6" width="17.69140625" customWidth="1"/>
    <col min="7" max="7" width="16.23046875" customWidth="1"/>
    <col min="8" max="8" width="21.3046875" customWidth="1"/>
    <col min="9" max="9" width="21" customWidth="1"/>
    <col min="10" max="10" width="22.23046875" customWidth="1"/>
    <col min="11" max="11" width="21.765625" customWidth="1"/>
    <col min="12" max="12" width="15.3046875" customWidth="1"/>
    <col min="13" max="13" width="14.765625" customWidth="1"/>
    <col min="14" max="14" width="14.3046875" customWidth="1"/>
    <col min="15" max="15" width="9.69140625" customWidth="1"/>
    <col min="16" max="16" width="15.3046875" customWidth="1"/>
    <col min="17" max="17" width="14.3046875" customWidth="1"/>
    <col min="18" max="18" width="10.07421875" customWidth="1"/>
    <col min="19" max="19" width="18.3046875" customWidth="1"/>
    <col min="20" max="20" width="10.4609375" customWidth="1"/>
    <col min="23" max="23" width="22.3046875" customWidth="1"/>
    <col min="24" max="24" width="29.23046875" customWidth="1"/>
    <col min="25" max="25" width="14.3046875" customWidth="1"/>
  </cols>
  <sheetData>
    <row r="1" spans="1:25" x14ac:dyDescent="0.45">
      <c r="A1" t="s">
        <v>114</v>
      </c>
      <c r="B1" t="s">
        <v>115</v>
      </c>
      <c r="C1" t="s">
        <v>116</v>
      </c>
      <c r="D1" t="s">
        <v>117</v>
      </c>
      <c r="E1" t="s">
        <v>118</v>
      </c>
      <c r="F1" t="s">
        <v>119</v>
      </c>
      <c r="G1" t="s">
        <v>120</v>
      </c>
      <c r="H1" t="s">
        <v>121</v>
      </c>
      <c r="I1" t="s">
        <v>122</v>
      </c>
      <c r="J1" t="s">
        <v>123</v>
      </c>
      <c r="K1" t="s">
        <v>124</v>
      </c>
      <c r="L1" t="s">
        <v>125</v>
      </c>
      <c r="M1" t="s">
        <v>126</v>
      </c>
      <c r="N1" t="s">
        <v>127</v>
      </c>
      <c r="O1" t="s">
        <v>129</v>
      </c>
      <c r="P1" t="s">
        <v>130</v>
      </c>
      <c r="Q1" t="s">
        <v>131</v>
      </c>
      <c r="R1" t="s">
        <v>132</v>
      </c>
      <c r="S1" t="s">
        <v>2616</v>
      </c>
      <c r="T1" t="s">
        <v>134</v>
      </c>
      <c r="U1" t="s">
        <v>799</v>
      </c>
      <c r="V1" t="s">
        <v>800</v>
      </c>
      <c r="W1" t="s">
        <v>137</v>
      </c>
      <c r="X1" t="s">
        <v>138</v>
      </c>
      <c r="Y1" t="s">
        <v>139</v>
      </c>
    </row>
    <row r="2" spans="1:25" x14ac:dyDescent="0.45">
      <c r="A2" t="s">
        <v>265</v>
      </c>
      <c r="B2" t="s">
        <v>277</v>
      </c>
      <c r="D2" t="s">
        <v>265</v>
      </c>
      <c r="E2" t="s">
        <v>277</v>
      </c>
      <c r="F2" t="s">
        <v>166</v>
      </c>
      <c r="G2" t="s">
        <v>182</v>
      </c>
      <c r="H2" t="s">
        <v>207</v>
      </c>
      <c r="M2" t="s">
        <v>1870</v>
      </c>
      <c r="N2" t="s">
        <v>2617</v>
      </c>
      <c r="O2" t="s">
        <v>812</v>
      </c>
      <c r="P2" t="s">
        <v>153</v>
      </c>
      <c r="Q2">
        <v>22100</v>
      </c>
      <c r="R2" t="s">
        <v>2618</v>
      </c>
      <c r="S2">
        <v>158.28700000000001</v>
      </c>
      <c r="T2" t="s">
        <v>155</v>
      </c>
      <c r="U2" t="s">
        <v>299</v>
      </c>
      <c r="V2">
        <v>2023</v>
      </c>
      <c r="W2" t="s">
        <v>2619</v>
      </c>
      <c r="X2" t="s">
        <v>2620</v>
      </c>
      <c r="Y2" t="s">
        <v>2621</v>
      </c>
    </row>
    <row r="3" spans="1:25" x14ac:dyDescent="0.45">
      <c r="A3" t="s">
        <v>265</v>
      </c>
      <c r="B3" t="s">
        <v>277</v>
      </c>
      <c r="D3" t="s">
        <v>265</v>
      </c>
      <c r="E3" t="s">
        <v>277</v>
      </c>
      <c r="F3" t="s">
        <v>166</v>
      </c>
      <c r="G3" t="s">
        <v>176</v>
      </c>
      <c r="H3" t="s">
        <v>259</v>
      </c>
      <c r="I3" t="s">
        <v>260</v>
      </c>
      <c r="J3" t="s">
        <v>2622</v>
      </c>
      <c r="K3" t="s">
        <v>2622</v>
      </c>
      <c r="L3" t="s">
        <v>812</v>
      </c>
      <c r="M3" t="s">
        <v>1870</v>
      </c>
      <c r="N3" t="s">
        <v>2617</v>
      </c>
      <c r="O3" t="s">
        <v>812</v>
      </c>
      <c r="P3" t="s">
        <v>153</v>
      </c>
      <c r="Q3">
        <v>200300</v>
      </c>
      <c r="R3" t="s">
        <v>2618</v>
      </c>
      <c r="S3">
        <v>1435.328</v>
      </c>
      <c r="T3" t="s">
        <v>155</v>
      </c>
      <c r="U3" t="s">
        <v>299</v>
      </c>
      <c r="V3">
        <v>2023</v>
      </c>
      <c r="W3" t="s">
        <v>2623</v>
      </c>
      <c r="X3" t="s">
        <v>2624</v>
      </c>
      <c r="Y3" t="s">
        <v>2621</v>
      </c>
    </row>
    <row r="4" spans="1:25" x14ac:dyDescent="0.45">
      <c r="A4" t="s">
        <v>265</v>
      </c>
      <c r="B4" t="s">
        <v>277</v>
      </c>
      <c r="D4" t="s">
        <v>265</v>
      </c>
      <c r="E4" t="s">
        <v>277</v>
      </c>
      <c r="F4" t="s">
        <v>166</v>
      </c>
      <c r="G4" t="s">
        <v>176</v>
      </c>
      <c r="H4" t="s">
        <v>259</v>
      </c>
      <c r="I4" t="s">
        <v>260</v>
      </c>
      <c r="J4" t="s">
        <v>2625</v>
      </c>
      <c r="K4" t="s">
        <v>2625</v>
      </c>
      <c r="L4" t="s">
        <v>812</v>
      </c>
      <c r="M4" t="s">
        <v>1870</v>
      </c>
      <c r="N4" t="s">
        <v>2617</v>
      </c>
      <c r="O4" t="s">
        <v>812</v>
      </c>
      <c r="P4" t="s">
        <v>153</v>
      </c>
      <c r="Q4">
        <v>58400</v>
      </c>
      <c r="R4" t="s">
        <v>2618</v>
      </c>
      <c r="S4">
        <v>418.45800000000003</v>
      </c>
      <c r="T4" t="s">
        <v>155</v>
      </c>
      <c r="U4" t="s">
        <v>299</v>
      </c>
      <c r="V4">
        <v>2023</v>
      </c>
      <c r="W4" t="s">
        <v>2626</v>
      </c>
      <c r="X4" t="s">
        <v>2624</v>
      </c>
      <c r="Y4" t="s">
        <v>2621</v>
      </c>
    </row>
    <row r="5" spans="1:25" x14ac:dyDescent="0.45">
      <c r="A5" t="s">
        <v>265</v>
      </c>
      <c r="B5" t="s">
        <v>277</v>
      </c>
      <c r="C5" t="s">
        <v>189</v>
      </c>
      <c r="D5" t="s">
        <v>265</v>
      </c>
      <c r="E5" t="s">
        <v>277</v>
      </c>
      <c r="F5" t="s">
        <v>166</v>
      </c>
      <c r="G5" t="s">
        <v>176</v>
      </c>
      <c r="H5" t="s">
        <v>259</v>
      </c>
      <c r="I5" t="s">
        <v>703</v>
      </c>
      <c r="J5" t="s">
        <v>2627</v>
      </c>
      <c r="K5" t="s">
        <v>2627</v>
      </c>
      <c r="L5" t="s">
        <v>812</v>
      </c>
      <c r="M5" t="s">
        <v>1744</v>
      </c>
      <c r="N5" t="s">
        <v>2617</v>
      </c>
      <c r="O5" t="s">
        <v>812</v>
      </c>
      <c r="P5" t="s">
        <v>153</v>
      </c>
      <c r="Q5">
        <v>33900</v>
      </c>
      <c r="R5" t="s">
        <v>2618</v>
      </c>
      <c r="S5">
        <v>242.959</v>
      </c>
      <c r="T5" t="s">
        <v>155</v>
      </c>
      <c r="U5" t="s">
        <v>299</v>
      </c>
      <c r="V5">
        <v>2023</v>
      </c>
      <c r="W5" t="s">
        <v>2628</v>
      </c>
      <c r="X5" t="s">
        <v>2624</v>
      </c>
      <c r="Y5" t="s">
        <v>2621</v>
      </c>
    </row>
    <row r="6" spans="1:25" x14ac:dyDescent="0.45">
      <c r="A6" t="s">
        <v>265</v>
      </c>
      <c r="B6" t="s">
        <v>277</v>
      </c>
      <c r="D6" t="s">
        <v>265</v>
      </c>
      <c r="E6" t="s">
        <v>277</v>
      </c>
      <c r="F6" t="s">
        <v>166</v>
      </c>
      <c r="G6" t="s">
        <v>176</v>
      </c>
      <c r="H6" t="s">
        <v>259</v>
      </c>
      <c r="I6" t="s">
        <v>260</v>
      </c>
      <c r="J6" t="s">
        <v>2629</v>
      </c>
      <c r="K6" t="s">
        <v>2629</v>
      </c>
      <c r="L6" t="s">
        <v>812</v>
      </c>
      <c r="M6" t="s">
        <v>1870</v>
      </c>
      <c r="N6" t="s">
        <v>170</v>
      </c>
      <c r="O6" t="s">
        <v>2630</v>
      </c>
      <c r="P6" t="s">
        <v>153</v>
      </c>
      <c r="Q6">
        <v>119400</v>
      </c>
      <c r="R6" t="s">
        <v>2618</v>
      </c>
      <c r="S6">
        <v>888.99900000000002</v>
      </c>
      <c r="T6" t="s">
        <v>155</v>
      </c>
      <c r="U6" t="s">
        <v>246</v>
      </c>
      <c r="V6">
        <v>2023</v>
      </c>
      <c r="W6" t="s">
        <v>2631</v>
      </c>
      <c r="X6" t="s">
        <v>2632</v>
      </c>
      <c r="Y6" t="s">
        <v>2633</v>
      </c>
    </row>
    <row r="7" spans="1:25" x14ac:dyDescent="0.45">
      <c r="A7" t="s">
        <v>265</v>
      </c>
      <c r="B7" t="s">
        <v>277</v>
      </c>
      <c r="C7" t="s">
        <v>144</v>
      </c>
      <c r="D7" t="s">
        <v>265</v>
      </c>
      <c r="E7" t="s">
        <v>277</v>
      </c>
      <c r="F7" t="s">
        <v>166</v>
      </c>
      <c r="G7" t="s">
        <v>176</v>
      </c>
      <c r="H7" t="s">
        <v>259</v>
      </c>
      <c r="I7" t="s">
        <v>420</v>
      </c>
      <c r="J7" t="s">
        <v>2634</v>
      </c>
      <c r="K7" t="s">
        <v>2634</v>
      </c>
      <c r="L7" t="s">
        <v>812</v>
      </c>
      <c r="M7" t="s">
        <v>1870</v>
      </c>
      <c r="N7" t="s">
        <v>2617</v>
      </c>
      <c r="O7" t="s">
        <v>812</v>
      </c>
      <c r="P7" t="s">
        <v>153</v>
      </c>
      <c r="Q7">
        <v>58400</v>
      </c>
      <c r="R7" t="s">
        <v>2618</v>
      </c>
      <c r="S7">
        <v>434.82</v>
      </c>
      <c r="T7" t="s">
        <v>155</v>
      </c>
      <c r="U7" t="s">
        <v>246</v>
      </c>
      <c r="V7">
        <v>2023</v>
      </c>
      <c r="W7" t="s">
        <v>2635</v>
      </c>
      <c r="X7" t="s">
        <v>2636</v>
      </c>
      <c r="Y7" t="s">
        <v>2633</v>
      </c>
    </row>
    <row r="8" spans="1:25" x14ac:dyDescent="0.45">
      <c r="A8" t="s">
        <v>265</v>
      </c>
      <c r="B8" t="s">
        <v>277</v>
      </c>
      <c r="C8" t="s">
        <v>189</v>
      </c>
      <c r="D8" t="s">
        <v>265</v>
      </c>
      <c r="E8" t="s">
        <v>277</v>
      </c>
      <c r="F8" t="s">
        <v>166</v>
      </c>
      <c r="G8" t="s">
        <v>176</v>
      </c>
      <c r="H8" t="s">
        <v>259</v>
      </c>
      <c r="I8" t="s">
        <v>703</v>
      </c>
      <c r="J8" t="s">
        <v>2637</v>
      </c>
      <c r="K8" t="s">
        <v>2637</v>
      </c>
      <c r="L8" t="s">
        <v>812</v>
      </c>
      <c r="M8" t="s">
        <v>1870</v>
      </c>
      <c r="N8" t="s">
        <v>2617</v>
      </c>
      <c r="O8" t="s">
        <v>812</v>
      </c>
      <c r="P8" t="s">
        <v>153</v>
      </c>
      <c r="Q8">
        <v>26900</v>
      </c>
      <c r="R8" t="s">
        <v>2618</v>
      </c>
      <c r="S8">
        <v>200.285</v>
      </c>
      <c r="T8" t="s">
        <v>155</v>
      </c>
      <c r="U8" t="s">
        <v>246</v>
      </c>
      <c r="V8">
        <v>2023</v>
      </c>
      <c r="W8" t="s">
        <v>2638</v>
      </c>
      <c r="X8" t="s">
        <v>2639</v>
      </c>
      <c r="Y8" t="s">
        <v>2640</v>
      </c>
    </row>
    <row r="9" spans="1:25" x14ac:dyDescent="0.45">
      <c r="A9" t="s">
        <v>265</v>
      </c>
      <c r="B9" t="s">
        <v>277</v>
      </c>
      <c r="C9" t="s">
        <v>189</v>
      </c>
      <c r="D9" t="s">
        <v>265</v>
      </c>
      <c r="E9" t="s">
        <v>277</v>
      </c>
      <c r="F9" t="s">
        <v>166</v>
      </c>
      <c r="G9" t="s">
        <v>176</v>
      </c>
      <c r="H9" t="s">
        <v>259</v>
      </c>
      <c r="I9" t="s">
        <v>703</v>
      </c>
      <c r="J9" t="s">
        <v>2637</v>
      </c>
      <c r="K9" t="s">
        <v>2637</v>
      </c>
      <c r="L9" t="s">
        <v>812</v>
      </c>
      <c r="M9" t="s">
        <v>1870</v>
      </c>
      <c r="N9" t="s">
        <v>170</v>
      </c>
      <c r="O9" t="s">
        <v>152</v>
      </c>
      <c r="P9" t="s">
        <v>153</v>
      </c>
      <c r="Q9">
        <v>173400</v>
      </c>
      <c r="R9" t="s">
        <v>2618</v>
      </c>
      <c r="S9">
        <v>1291.058</v>
      </c>
      <c r="T9" t="s">
        <v>155</v>
      </c>
      <c r="U9" t="s">
        <v>246</v>
      </c>
      <c r="V9">
        <v>2023</v>
      </c>
      <c r="W9" t="s">
        <v>2641</v>
      </c>
      <c r="X9" t="s">
        <v>2642</v>
      </c>
      <c r="Y9" t="s">
        <v>2640</v>
      </c>
    </row>
  </sheetData>
  <pageMargins left="0.7" right="0.7" top="0.75" bottom="0.75" header="0.3" footer="0.3"/>
  <headerFooter>
    <oddFooter>&amp;L_x000D_&amp;1#&amp;"Rockwell"&amp;9&amp;K0078D7 Information Classification: General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5B6FA-9361-4EF7-97CE-BC2C20D6C278}">
  <dimension ref="A1:Y101"/>
  <sheetViews>
    <sheetView topLeftCell="L1" workbookViewId="0">
      <selection activeCell="P91" sqref="P91"/>
    </sheetView>
  </sheetViews>
  <sheetFormatPr defaultRowHeight="16.5" x14ac:dyDescent="0.45"/>
  <cols>
    <col min="1" max="1" width="17.4609375" customWidth="1"/>
    <col min="2" max="2" width="18.69140625" customWidth="1"/>
    <col min="3" max="3" width="19.69140625" customWidth="1"/>
    <col min="4" max="4" width="16.3046875" customWidth="1"/>
    <col min="5" max="5" width="17.3046875" customWidth="1"/>
    <col min="6" max="6" width="18.23046875" customWidth="1"/>
    <col min="7" max="7" width="16.765625" customWidth="1"/>
    <col min="8" max="8" width="22.07421875" customWidth="1"/>
    <col min="9" max="9" width="21.69140625" customWidth="1"/>
    <col min="10" max="10" width="23" customWidth="1"/>
    <col min="11" max="11" width="22.69140625" customWidth="1"/>
    <col min="12" max="12" width="15.765625" customWidth="1"/>
    <col min="13" max="13" width="15.3046875" customWidth="1"/>
    <col min="14" max="14" width="14.765625" customWidth="1"/>
    <col min="15" max="15" width="9.765625" customWidth="1"/>
    <col min="16" max="16" width="15.765625" customWidth="1"/>
    <col min="17" max="17" width="14.765625" customWidth="1"/>
    <col min="18" max="18" width="10.3046875" customWidth="1"/>
    <col min="19" max="19" width="18.765625" customWidth="1"/>
    <col min="20" max="20" width="10.765625" customWidth="1"/>
    <col min="23" max="23" width="23.07421875" customWidth="1"/>
    <col min="24" max="24" width="30.23046875" customWidth="1"/>
    <col min="25" max="25" width="14.765625" customWidth="1"/>
  </cols>
  <sheetData>
    <row r="1" spans="1:25" x14ac:dyDescent="0.45">
      <c r="A1" t="s">
        <v>114</v>
      </c>
      <c r="B1" t="s">
        <v>115</v>
      </c>
      <c r="C1" t="s">
        <v>116</v>
      </c>
      <c r="D1" t="s">
        <v>117</v>
      </c>
      <c r="E1" t="s">
        <v>118</v>
      </c>
      <c r="F1" t="s">
        <v>119</v>
      </c>
      <c r="G1" t="s">
        <v>120</v>
      </c>
      <c r="H1" t="s">
        <v>121</v>
      </c>
      <c r="I1" t="s">
        <v>122</v>
      </c>
      <c r="J1" t="s">
        <v>123</v>
      </c>
      <c r="K1" t="s">
        <v>124</v>
      </c>
      <c r="L1" t="s">
        <v>125</v>
      </c>
      <c r="M1" t="s">
        <v>126</v>
      </c>
      <c r="N1" t="s">
        <v>127</v>
      </c>
      <c r="O1" t="s">
        <v>129</v>
      </c>
      <c r="P1" t="s">
        <v>130</v>
      </c>
      <c r="Q1" t="s">
        <v>131</v>
      </c>
      <c r="R1" t="s">
        <v>132</v>
      </c>
      <c r="S1" t="s">
        <v>2616</v>
      </c>
      <c r="T1" t="s">
        <v>134</v>
      </c>
      <c r="U1" t="s">
        <v>799</v>
      </c>
      <c r="V1" t="s">
        <v>800</v>
      </c>
      <c r="W1" t="s">
        <v>137</v>
      </c>
      <c r="X1" t="s">
        <v>138</v>
      </c>
      <c r="Y1" t="s">
        <v>139</v>
      </c>
    </row>
    <row r="2" spans="1:25" x14ac:dyDescent="0.45">
      <c r="A2" t="s">
        <v>504</v>
      </c>
      <c r="B2" t="s">
        <v>950</v>
      </c>
      <c r="C2" t="s">
        <v>159</v>
      </c>
      <c r="D2" t="s">
        <v>142</v>
      </c>
      <c r="E2" t="s">
        <v>143</v>
      </c>
      <c r="F2" t="s">
        <v>145</v>
      </c>
      <c r="G2" t="s">
        <v>160</v>
      </c>
      <c r="H2" t="s">
        <v>221</v>
      </c>
      <c r="I2" t="s">
        <v>222</v>
      </c>
      <c r="J2" t="s">
        <v>2643</v>
      </c>
      <c r="K2" t="s">
        <v>2643</v>
      </c>
      <c r="L2" t="s">
        <v>149</v>
      </c>
      <c r="M2" t="s">
        <v>1219</v>
      </c>
      <c r="N2" t="s">
        <v>170</v>
      </c>
      <c r="O2">
        <v>2</v>
      </c>
      <c r="P2" t="s">
        <v>153</v>
      </c>
      <c r="Q2">
        <v>16</v>
      </c>
      <c r="R2" t="s">
        <v>2644</v>
      </c>
      <c r="S2">
        <v>16</v>
      </c>
      <c r="T2" t="s">
        <v>181</v>
      </c>
      <c r="U2" t="s">
        <v>246</v>
      </c>
      <c r="V2">
        <v>2023</v>
      </c>
      <c r="W2" t="s">
        <v>2645</v>
      </c>
      <c r="X2" t="s">
        <v>2646</v>
      </c>
      <c r="Y2" t="s">
        <v>2647</v>
      </c>
    </row>
    <row r="3" spans="1:25" x14ac:dyDescent="0.45">
      <c r="A3" t="s">
        <v>504</v>
      </c>
      <c r="B3" t="s">
        <v>950</v>
      </c>
      <c r="C3" t="s">
        <v>159</v>
      </c>
      <c r="D3" t="s">
        <v>157</v>
      </c>
      <c r="E3" t="s">
        <v>256</v>
      </c>
      <c r="F3" t="s">
        <v>145</v>
      </c>
      <c r="G3" t="s">
        <v>160</v>
      </c>
      <c r="H3" t="s">
        <v>221</v>
      </c>
      <c r="I3" t="s">
        <v>222</v>
      </c>
      <c r="J3" t="s">
        <v>2648</v>
      </c>
      <c r="K3" t="s">
        <v>2649</v>
      </c>
      <c r="L3" t="s">
        <v>149</v>
      </c>
      <c r="M3" t="s">
        <v>304</v>
      </c>
      <c r="N3" t="s">
        <v>170</v>
      </c>
      <c r="O3">
        <v>6</v>
      </c>
      <c r="P3" t="s">
        <v>153</v>
      </c>
      <c r="Q3">
        <v>38</v>
      </c>
      <c r="R3" t="s">
        <v>2644</v>
      </c>
      <c r="S3">
        <v>38</v>
      </c>
      <c r="T3" t="s">
        <v>155</v>
      </c>
      <c r="U3" t="s">
        <v>246</v>
      </c>
      <c r="V3">
        <v>2023</v>
      </c>
      <c r="W3" t="s">
        <v>2650</v>
      </c>
      <c r="Y3" t="s">
        <v>2647</v>
      </c>
    </row>
    <row r="4" spans="1:25" x14ac:dyDescent="0.45">
      <c r="A4" t="s">
        <v>142</v>
      </c>
      <c r="B4" t="s">
        <v>143</v>
      </c>
      <c r="C4" t="s">
        <v>165</v>
      </c>
      <c r="D4" t="s">
        <v>142</v>
      </c>
      <c r="E4" t="s">
        <v>143</v>
      </c>
      <c r="F4" t="s">
        <v>166</v>
      </c>
      <c r="G4" t="s">
        <v>176</v>
      </c>
      <c r="H4" t="s">
        <v>215</v>
      </c>
      <c r="I4" t="s">
        <v>351</v>
      </c>
      <c r="J4" t="s">
        <v>2651</v>
      </c>
      <c r="K4" t="s">
        <v>2651</v>
      </c>
      <c r="L4" t="s">
        <v>812</v>
      </c>
      <c r="M4" t="s">
        <v>150</v>
      </c>
      <c r="N4" t="s">
        <v>2617</v>
      </c>
      <c r="O4" t="s">
        <v>812</v>
      </c>
      <c r="P4" t="s">
        <v>153</v>
      </c>
      <c r="Q4">
        <v>17.7</v>
      </c>
      <c r="R4" t="s">
        <v>2644</v>
      </c>
      <c r="S4">
        <v>17.7</v>
      </c>
      <c r="T4" t="s">
        <v>155</v>
      </c>
      <c r="U4" t="s">
        <v>246</v>
      </c>
      <c r="V4">
        <v>2023</v>
      </c>
      <c r="W4" t="s">
        <v>2652</v>
      </c>
      <c r="X4" t="s">
        <v>2653</v>
      </c>
    </row>
    <row r="5" spans="1:25" x14ac:dyDescent="0.45">
      <c r="A5" t="s">
        <v>142</v>
      </c>
      <c r="B5" t="s">
        <v>143</v>
      </c>
      <c r="C5" t="s">
        <v>165</v>
      </c>
      <c r="D5" t="s">
        <v>142</v>
      </c>
      <c r="E5" t="s">
        <v>143</v>
      </c>
      <c r="F5" t="s">
        <v>166</v>
      </c>
      <c r="G5" t="s">
        <v>176</v>
      </c>
      <c r="H5" t="s">
        <v>215</v>
      </c>
      <c r="I5" t="s">
        <v>351</v>
      </c>
      <c r="J5" t="s">
        <v>2651</v>
      </c>
      <c r="K5" t="s">
        <v>2651</v>
      </c>
      <c r="L5" t="s">
        <v>812</v>
      </c>
      <c r="M5" t="s">
        <v>180</v>
      </c>
      <c r="N5" t="s">
        <v>2617</v>
      </c>
      <c r="O5" t="s">
        <v>812</v>
      </c>
      <c r="P5" t="s">
        <v>153</v>
      </c>
      <c r="Q5">
        <v>29.361000000000001</v>
      </c>
      <c r="R5" t="s">
        <v>2644</v>
      </c>
      <c r="S5">
        <v>29.361000000000001</v>
      </c>
      <c r="T5" t="s">
        <v>155</v>
      </c>
      <c r="U5" t="s">
        <v>246</v>
      </c>
      <c r="V5">
        <v>2023</v>
      </c>
      <c r="W5" t="s">
        <v>2654</v>
      </c>
      <c r="X5" t="s">
        <v>2655</v>
      </c>
    </row>
    <row r="6" spans="1:25" x14ac:dyDescent="0.45">
      <c r="A6" t="s">
        <v>142</v>
      </c>
      <c r="B6" t="s">
        <v>143</v>
      </c>
      <c r="C6" t="s">
        <v>189</v>
      </c>
      <c r="D6" t="s">
        <v>142</v>
      </c>
      <c r="E6" t="s">
        <v>143</v>
      </c>
      <c r="F6" t="s">
        <v>166</v>
      </c>
      <c r="G6" t="s">
        <v>176</v>
      </c>
      <c r="H6" t="s">
        <v>259</v>
      </c>
      <c r="I6" t="s">
        <v>269</v>
      </c>
      <c r="J6" t="s">
        <v>383</v>
      </c>
      <c r="K6" t="s">
        <v>383</v>
      </c>
      <c r="L6" t="s">
        <v>812</v>
      </c>
      <c r="M6" t="s">
        <v>210</v>
      </c>
      <c r="N6" t="s">
        <v>170</v>
      </c>
      <c r="O6" t="s">
        <v>152</v>
      </c>
      <c r="P6" t="s">
        <v>153</v>
      </c>
      <c r="Q6">
        <v>64.448999999999998</v>
      </c>
      <c r="R6" t="s">
        <v>2644</v>
      </c>
      <c r="S6">
        <v>64.448999999999998</v>
      </c>
      <c r="T6" t="s">
        <v>155</v>
      </c>
      <c r="U6" t="s">
        <v>246</v>
      </c>
      <c r="V6">
        <v>2023</v>
      </c>
      <c r="W6" t="s">
        <v>2656</v>
      </c>
      <c r="X6" t="s">
        <v>2657</v>
      </c>
    </row>
    <row r="7" spans="1:25" x14ac:dyDescent="0.45">
      <c r="A7" t="s">
        <v>142</v>
      </c>
      <c r="B7" t="s">
        <v>143</v>
      </c>
      <c r="C7" t="s">
        <v>189</v>
      </c>
      <c r="D7" t="s">
        <v>142</v>
      </c>
      <c r="E7" t="s">
        <v>143</v>
      </c>
      <c r="F7" t="s">
        <v>166</v>
      </c>
      <c r="G7" t="s">
        <v>160</v>
      </c>
      <c r="H7" t="s">
        <v>221</v>
      </c>
      <c r="I7" t="s">
        <v>429</v>
      </c>
      <c r="J7" t="s">
        <v>2658</v>
      </c>
      <c r="K7" t="s">
        <v>2658</v>
      </c>
      <c r="L7" t="s">
        <v>812</v>
      </c>
      <c r="M7" t="s">
        <v>1990</v>
      </c>
      <c r="N7" t="s">
        <v>151</v>
      </c>
      <c r="O7" t="s">
        <v>812</v>
      </c>
      <c r="P7" t="s">
        <v>153</v>
      </c>
      <c r="Q7">
        <v>221.52500000000001</v>
      </c>
      <c r="R7" t="s">
        <v>2644</v>
      </c>
      <c r="S7">
        <v>221.52500000000001</v>
      </c>
      <c r="T7" t="s">
        <v>155</v>
      </c>
      <c r="U7" t="s">
        <v>246</v>
      </c>
      <c r="V7">
        <v>2023</v>
      </c>
      <c r="W7" t="s">
        <v>2659</v>
      </c>
      <c r="X7" t="s">
        <v>2660</v>
      </c>
    </row>
    <row r="8" spans="1:25" x14ac:dyDescent="0.45">
      <c r="A8" t="s">
        <v>142</v>
      </c>
      <c r="B8" t="s">
        <v>143</v>
      </c>
      <c r="C8" t="s">
        <v>189</v>
      </c>
      <c r="D8" t="s">
        <v>142</v>
      </c>
      <c r="E8" t="s">
        <v>143</v>
      </c>
      <c r="F8" t="s">
        <v>166</v>
      </c>
      <c r="G8" t="s">
        <v>167</v>
      </c>
      <c r="H8" t="s">
        <v>207</v>
      </c>
      <c r="I8" t="s">
        <v>207</v>
      </c>
      <c r="J8" t="s">
        <v>2661</v>
      </c>
      <c r="K8" t="s">
        <v>2661</v>
      </c>
      <c r="L8" t="s">
        <v>812</v>
      </c>
      <c r="M8" t="s">
        <v>501</v>
      </c>
      <c r="N8" t="s">
        <v>151</v>
      </c>
      <c r="O8" t="s">
        <v>812</v>
      </c>
      <c r="P8" t="s">
        <v>153</v>
      </c>
      <c r="Q8">
        <v>2090.9870000000001</v>
      </c>
      <c r="R8" t="s">
        <v>2644</v>
      </c>
      <c r="S8">
        <v>2090.9870000000001</v>
      </c>
      <c r="T8" t="s">
        <v>155</v>
      </c>
      <c r="U8" t="s">
        <v>246</v>
      </c>
      <c r="V8">
        <v>2023</v>
      </c>
      <c r="W8" t="s">
        <v>2662</v>
      </c>
      <c r="X8" t="s">
        <v>2663</v>
      </c>
    </row>
    <row r="9" spans="1:25" x14ac:dyDescent="0.45">
      <c r="A9" t="s">
        <v>142</v>
      </c>
      <c r="B9" t="s">
        <v>143</v>
      </c>
      <c r="C9" t="s">
        <v>144</v>
      </c>
      <c r="D9" t="s">
        <v>142</v>
      </c>
      <c r="E9" t="s">
        <v>143</v>
      </c>
      <c r="F9" t="s">
        <v>166</v>
      </c>
      <c r="G9" t="s">
        <v>146</v>
      </c>
      <c r="H9" t="s">
        <v>202</v>
      </c>
      <c r="I9" t="s">
        <v>202</v>
      </c>
      <c r="J9" t="s">
        <v>812</v>
      </c>
      <c r="K9" t="s">
        <v>812</v>
      </c>
      <c r="L9" t="s">
        <v>149</v>
      </c>
      <c r="M9" t="s">
        <v>1424</v>
      </c>
      <c r="N9" t="s">
        <v>151</v>
      </c>
      <c r="O9" t="s">
        <v>812</v>
      </c>
      <c r="P9" t="s">
        <v>153</v>
      </c>
      <c r="Q9">
        <v>83.132000000000005</v>
      </c>
      <c r="R9" t="s">
        <v>2644</v>
      </c>
      <c r="S9">
        <v>83.132000000000005</v>
      </c>
      <c r="T9" t="s">
        <v>155</v>
      </c>
      <c r="U9" t="s">
        <v>246</v>
      </c>
      <c r="V9">
        <v>2023</v>
      </c>
      <c r="W9" t="s">
        <v>2664</v>
      </c>
      <c r="X9" t="s">
        <v>2665</v>
      </c>
    </row>
    <row r="10" spans="1:25" ht="396" x14ac:dyDescent="0.45">
      <c r="A10" t="s">
        <v>142</v>
      </c>
      <c r="B10" t="s">
        <v>143</v>
      </c>
      <c r="C10" t="s">
        <v>189</v>
      </c>
      <c r="D10" t="s">
        <v>142</v>
      </c>
      <c r="E10" t="s">
        <v>143</v>
      </c>
      <c r="F10" t="s">
        <v>166</v>
      </c>
      <c r="G10" t="s">
        <v>190</v>
      </c>
      <c r="H10" t="s">
        <v>317</v>
      </c>
      <c r="I10" t="s">
        <v>845</v>
      </c>
      <c r="J10" t="s">
        <v>659</v>
      </c>
      <c r="K10" t="s">
        <v>659</v>
      </c>
      <c r="L10" t="s">
        <v>149</v>
      </c>
      <c r="M10" t="s">
        <v>196</v>
      </c>
      <c r="N10" t="s">
        <v>170</v>
      </c>
      <c r="O10" t="s">
        <v>152</v>
      </c>
      <c r="P10" t="s">
        <v>153</v>
      </c>
      <c r="Q10">
        <v>87.963999999999999</v>
      </c>
      <c r="R10" t="s">
        <v>2644</v>
      </c>
      <c r="S10">
        <v>87.963999999999999</v>
      </c>
      <c r="T10" t="s">
        <v>155</v>
      </c>
      <c r="U10" t="s">
        <v>246</v>
      </c>
      <c r="V10">
        <v>2023</v>
      </c>
      <c r="W10" t="s">
        <v>2666</v>
      </c>
      <c r="X10" s="93" t="s">
        <v>2667</v>
      </c>
    </row>
    <row r="11" spans="1:25" x14ac:dyDescent="0.45">
      <c r="A11" t="s">
        <v>142</v>
      </c>
      <c r="B11" t="s">
        <v>143</v>
      </c>
      <c r="C11" t="s">
        <v>189</v>
      </c>
      <c r="D11" t="s">
        <v>142</v>
      </c>
      <c r="E11" t="s">
        <v>143</v>
      </c>
      <c r="F11" t="s">
        <v>166</v>
      </c>
      <c r="G11" t="s">
        <v>176</v>
      </c>
      <c r="H11" t="s">
        <v>259</v>
      </c>
      <c r="I11" t="s">
        <v>269</v>
      </c>
      <c r="J11" t="s">
        <v>383</v>
      </c>
      <c r="K11" t="s">
        <v>383</v>
      </c>
      <c r="L11" t="s">
        <v>812</v>
      </c>
      <c r="M11" t="s">
        <v>210</v>
      </c>
      <c r="N11" t="s">
        <v>170</v>
      </c>
      <c r="O11" t="s">
        <v>152</v>
      </c>
      <c r="P11" t="s">
        <v>153</v>
      </c>
      <c r="Q11">
        <v>615.95899999999995</v>
      </c>
      <c r="R11" t="s">
        <v>2644</v>
      </c>
      <c r="S11">
        <v>615.95899999999995</v>
      </c>
      <c r="T11" t="s">
        <v>155</v>
      </c>
      <c r="U11" t="s">
        <v>246</v>
      </c>
      <c r="V11">
        <v>2023</v>
      </c>
      <c r="W11" t="s">
        <v>2668</v>
      </c>
      <c r="X11" t="s">
        <v>2669</v>
      </c>
    </row>
    <row r="12" spans="1:25" x14ac:dyDescent="0.45">
      <c r="A12" t="s">
        <v>142</v>
      </c>
      <c r="B12" t="s">
        <v>143</v>
      </c>
      <c r="C12" t="s">
        <v>144</v>
      </c>
      <c r="D12" t="s">
        <v>142</v>
      </c>
      <c r="E12" t="s">
        <v>143</v>
      </c>
      <c r="F12" t="s">
        <v>166</v>
      </c>
      <c r="G12" t="s">
        <v>160</v>
      </c>
      <c r="H12" t="s">
        <v>161</v>
      </c>
      <c r="I12" t="s">
        <v>218</v>
      </c>
      <c r="J12" t="s">
        <v>348</v>
      </c>
      <c r="K12" t="s">
        <v>790</v>
      </c>
      <c r="L12" t="s">
        <v>149</v>
      </c>
      <c r="M12" t="s">
        <v>210</v>
      </c>
      <c r="N12" t="s">
        <v>170</v>
      </c>
      <c r="O12">
        <v>6</v>
      </c>
      <c r="P12" t="s">
        <v>204</v>
      </c>
      <c r="Q12">
        <v>420.64694794543999</v>
      </c>
      <c r="R12" t="s">
        <v>2644</v>
      </c>
      <c r="S12">
        <v>420.64694794543999</v>
      </c>
      <c r="T12" t="s">
        <v>181</v>
      </c>
      <c r="U12" t="s">
        <v>246</v>
      </c>
      <c r="V12">
        <v>2023</v>
      </c>
      <c r="W12" t="s">
        <v>2670</v>
      </c>
      <c r="X12" t="s">
        <v>2671</v>
      </c>
    </row>
    <row r="13" spans="1:25" x14ac:dyDescent="0.45">
      <c r="A13" t="s">
        <v>142</v>
      </c>
      <c r="B13" t="s">
        <v>143</v>
      </c>
      <c r="C13" t="s">
        <v>144</v>
      </c>
      <c r="D13" t="s">
        <v>142</v>
      </c>
      <c r="E13" t="s">
        <v>143</v>
      </c>
      <c r="F13" t="s">
        <v>166</v>
      </c>
      <c r="G13" t="s">
        <v>160</v>
      </c>
      <c r="H13" t="s">
        <v>161</v>
      </c>
      <c r="I13" t="s">
        <v>218</v>
      </c>
      <c r="J13" t="s">
        <v>348</v>
      </c>
      <c r="K13" t="s">
        <v>790</v>
      </c>
      <c r="L13" t="s">
        <v>149</v>
      </c>
      <c r="M13" t="s">
        <v>210</v>
      </c>
      <c r="N13" t="s">
        <v>170</v>
      </c>
      <c r="O13">
        <v>13</v>
      </c>
      <c r="P13" t="s">
        <v>204</v>
      </c>
      <c r="Q13">
        <v>911.45369076687996</v>
      </c>
      <c r="R13" t="s">
        <v>2644</v>
      </c>
      <c r="S13">
        <v>911.45369076687996</v>
      </c>
      <c r="T13" t="s">
        <v>155</v>
      </c>
      <c r="U13" t="s">
        <v>246</v>
      </c>
      <c r="V13">
        <v>2023</v>
      </c>
      <c r="W13" t="s">
        <v>2670</v>
      </c>
      <c r="X13" t="s">
        <v>2672</v>
      </c>
    </row>
    <row r="14" spans="1:25" x14ac:dyDescent="0.45">
      <c r="A14" t="s">
        <v>265</v>
      </c>
      <c r="B14" t="s">
        <v>277</v>
      </c>
      <c r="C14" t="s">
        <v>144</v>
      </c>
      <c r="D14" t="s">
        <v>142</v>
      </c>
      <c r="E14" t="s">
        <v>143</v>
      </c>
      <c r="F14" t="s">
        <v>166</v>
      </c>
      <c r="G14" t="s">
        <v>160</v>
      </c>
      <c r="H14" t="s">
        <v>161</v>
      </c>
      <c r="I14" t="s">
        <v>218</v>
      </c>
      <c r="J14" t="s">
        <v>348</v>
      </c>
      <c r="K14" t="s">
        <v>789</v>
      </c>
      <c r="L14" t="s">
        <v>149</v>
      </c>
      <c r="M14" t="s">
        <v>210</v>
      </c>
      <c r="N14" t="s">
        <v>170</v>
      </c>
      <c r="O14">
        <v>2</v>
      </c>
      <c r="P14" t="s">
        <v>204</v>
      </c>
      <c r="Q14">
        <v>147.33556923960001</v>
      </c>
      <c r="R14" t="s">
        <v>154</v>
      </c>
      <c r="S14">
        <v>147.33556923960001</v>
      </c>
      <c r="T14" t="s">
        <v>181</v>
      </c>
      <c r="U14" t="s">
        <v>246</v>
      </c>
      <c r="V14">
        <v>2023</v>
      </c>
      <c r="W14" t="s">
        <v>2670</v>
      </c>
      <c r="X14" t="s">
        <v>2673</v>
      </c>
    </row>
    <row r="15" spans="1:25" x14ac:dyDescent="0.45">
      <c r="A15" t="s">
        <v>157</v>
      </c>
      <c r="B15" t="s">
        <v>394</v>
      </c>
      <c r="C15" t="s">
        <v>144</v>
      </c>
      <c r="D15" t="s">
        <v>142</v>
      </c>
      <c r="E15" t="s">
        <v>143</v>
      </c>
      <c r="F15" t="s">
        <v>166</v>
      </c>
      <c r="G15" t="s">
        <v>160</v>
      </c>
      <c r="H15" t="s">
        <v>161</v>
      </c>
      <c r="I15" t="s">
        <v>218</v>
      </c>
      <c r="J15" t="s">
        <v>348</v>
      </c>
      <c r="K15" t="s">
        <v>789</v>
      </c>
      <c r="L15" t="s">
        <v>149</v>
      </c>
      <c r="M15" t="s">
        <v>210</v>
      </c>
      <c r="N15" t="s">
        <v>170</v>
      </c>
      <c r="O15">
        <v>2</v>
      </c>
      <c r="P15" t="s">
        <v>204</v>
      </c>
      <c r="Q15">
        <v>147.33556923960001</v>
      </c>
      <c r="R15" t="s">
        <v>2644</v>
      </c>
      <c r="S15">
        <v>147.33556923960001</v>
      </c>
      <c r="T15" t="s">
        <v>181</v>
      </c>
      <c r="U15" t="s">
        <v>246</v>
      </c>
      <c r="V15">
        <v>2023</v>
      </c>
      <c r="W15" t="s">
        <v>2670</v>
      </c>
      <c r="X15" t="s">
        <v>2674</v>
      </c>
    </row>
    <row r="16" spans="1:25" x14ac:dyDescent="0.45">
      <c r="A16" t="s">
        <v>157</v>
      </c>
      <c r="B16" t="s">
        <v>460</v>
      </c>
      <c r="C16" t="s">
        <v>144</v>
      </c>
      <c r="D16" t="s">
        <v>142</v>
      </c>
      <c r="E16" t="s">
        <v>143</v>
      </c>
      <c r="F16" t="s">
        <v>166</v>
      </c>
      <c r="G16" t="s">
        <v>160</v>
      </c>
      <c r="H16" t="s">
        <v>161</v>
      </c>
      <c r="I16" t="s">
        <v>218</v>
      </c>
      <c r="J16" t="s">
        <v>348</v>
      </c>
      <c r="K16" t="s">
        <v>789</v>
      </c>
      <c r="L16" t="s">
        <v>149</v>
      </c>
      <c r="M16" t="s">
        <v>210</v>
      </c>
      <c r="N16" t="s">
        <v>170</v>
      </c>
      <c r="O16">
        <v>7</v>
      </c>
      <c r="P16" t="s">
        <v>204</v>
      </c>
      <c r="Q16">
        <v>515.67449233859998</v>
      </c>
      <c r="R16" t="s">
        <v>2644</v>
      </c>
      <c r="S16">
        <v>515.67449233859998</v>
      </c>
      <c r="T16" t="s">
        <v>181</v>
      </c>
      <c r="U16" t="s">
        <v>246</v>
      </c>
      <c r="V16">
        <v>2023</v>
      </c>
      <c r="W16" t="s">
        <v>2670</v>
      </c>
      <c r="X16" t="s">
        <v>2675</v>
      </c>
    </row>
    <row r="17" spans="1:25" x14ac:dyDescent="0.45">
      <c r="A17" t="s">
        <v>142</v>
      </c>
      <c r="B17" t="s">
        <v>143</v>
      </c>
      <c r="C17" t="s">
        <v>144</v>
      </c>
      <c r="D17" t="s">
        <v>142</v>
      </c>
      <c r="E17" t="s">
        <v>143</v>
      </c>
      <c r="F17" t="s">
        <v>166</v>
      </c>
      <c r="G17" t="s">
        <v>160</v>
      </c>
      <c r="H17" t="s">
        <v>161</v>
      </c>
      <c r="I17" t="s">
        <v>218</v>
      </c>
      <c r="J17" t="s">
        <v>348</v>
      </c>
      <c r="K17" t="s">
        <v>789</v>
      </c>
      <c r="L17" t="s">
        <v>149</v>
      </c>
      <c r="M17" t="s">
        <v>210</v>
      </c>
      <c r="N17" t="s">
        <v>170</v>
      </c>
      <c r="O17">
        <v>15</v>
      </c>
      <c r="P17" t="s">
        <v>204</v>
      </c>
      <c r="Q17">
        <v>1105.0167692969999</v>
      </c>
      <c r="R17" t="s">
        <v>2644</v>
      </c>
      <c r="S17">
        <v>1105.0167692969999</v>
      </c>
      <c r="T17" t="s">
        <v>155</v>
      </c>
      <c r="U17" t="s">
        <v>246</v>
      </c>
      <c r="V17">
        <v>2023</v>
      </c>
      <c r="W17" t="s">
        <v>2670</v>
      </c>
      <c r="X17" t="s">
        <v>2676</v>
      </c>
    </row>
    <row r="18" spans="1:25" x14ac:dyDescent="0.45">
      <c r="A18" t="s">
        <v>157</v>
      </c>
      <c r="B18" t="s">
        <v>723</v>
      </c>
      <c r="C18" t="s">
        <v>159</v>
      </c>
      <c r="D18" t="s">
        <v>142</v>
      </c>
      <c r="E18" t="s">
        <v>143</v>
      </c>
      <c r="F18" t="s">
        <v>166</v>
      </c>
      <c r="G18" t="s">
        <v>160</v>
      </c>
      <c r="H18" t="s">
        <v>161</v>
      </c>
      <c r="I18" t="s">
        <v>218</v>
      </c>
      <c r="J18" t="s">
        <v>348</v>
      </c>
      <c r="K18" t="s">
        <v>525</v>
      </c>
      <c r="L18" t="s">
        <v>149</v>
      </c>
      <c r="M18" t="s">
        <v>210</v>
      </c>
      <c r="N18" t="s">
        <v>170</v>
      </c>
      <c r="O18">
        <v>3</v>
      </c>
      <c r="P18" t="s">
        <v>204</v>
      </c>
      <c r="Q18">
        <v>168.46146303003999</v>
      </c>
      <c r="R18" t="s">
        <v>2644</v>
      </c>
      <c r="S18">
        <v>168.46146303003999</v>
      </c>
      <c r="T18" t="s">
        <v>181</v>
      </c>
      <c r="U18" t="s">
        <v>246</v>
      </c>
      <c r="V18">
        <v>2023</v>
      </c>
      <c r="W18" t="s">
        <v>2670</v>
      </c>
      <c r="X18" t="s">
        <v>2677</v>
      </c>
    </row>
    <row r="19" spans="1:25" x14ac:dyDescent="0.45">
      <c r="A19" t="s">
        <v>157</v>
      </c>
      <c r="B19" t="s">
        <v>619</v>
      </c>
      <c r="C19" t="s">
        <v>159</v>
      </c>
      <c r="D19" t="s">
        <v>142</v>
      </c>
      <c r="E19" t="s">
        <v>143</v>
      </c>
      <c r="F19" t="s">
        <v>166</v>
      </c>
      <c r="G19" t="s">
        <v>160</v>
      </c>
      <c r="H19" t="s">
        <v>161</v>
      </c>
      <c r="I19" t="s">
        <v>218</v>
      </c>
      <c r="J19" t="s">
        <v>348</v>
      </c>
      <c r="K19" t="s">
        <v>525</v>
      </c>
      <c r="L19" t="s">
        <v>149</v>
      </c>
      <c r="M19" t="s">
        <v>210</v>
      </c>
      <c r="N19" t="s">
        <v>170</v>
      </c>
      <c r="O19">
        <v>4</v>
      </c>
      <c r="P19" t="s">
        <v>204</v>
      </c>
      <c r="Q19">
        <v>224.58929893083999</v>
      </c>
      <c r="R19" t="s">
        <v>2644</v>
      </c>
      <c r="S19">
        <v>224.58929893083999</v>
      </c>
      <c r="T19" t="s">
        <v>181</v>
      </c>
      <c r="U19" t="s">
        <v>246</v>
      </c>
      <c r="V19">
        <v>2023</v>
      </c>
      <c r="W19" t="s">
        <v>2670</v>
      </c>
      <c r="X19" t="s">
        <v>2678</v>
      </c>
    </row>
    <row r="20" spans="1:25" x14ac:dyDescent="0.45">
      <c r="A20" t="s">
        <v>265</v>
      </c>
      <c r="B20" t="s">
        <v>277</v>
      </c>
      <c r="C20" t="s">
        <v>159</v>
      </c>
      <c r="D20" t="s">
        <v>142</v>
      </c>
      <c r="E20" t="s">
        <v>143</v>
      </c>
      <c r="F20" t="s">
        <v>166</v>
      </c>
      <c r="G20" t="s">
        <v>160</v>
      </c>
      <c r="H20" t="s">
        <v>161</v>
      </c>
      <c r="I20" t="s">
        <v>218</v>
      </c>
      <c r="J20" t="s">
        <v>348</v>
      </c>
      <c r="K20" t="s">
        <v>525</v>
      </c>
      <c r="L20" t="s">
        <v>149</v>
      </c>
      <c r="M20" t="s">
        <v>210</v>
      </c>
      <c r="N20" t="s">
        <v>170</v>
      </c>
      <c r="O20">
        <v>4</v>
      </c>
      <c r="P20" t="s">
        <v>204</v>
      </c>
      <c r="Q20">
        <v>224.58929893083999</v>
      </c>
      <c r="R20" t="s">
        <v>154</v>
      </c>
      <c r="S20">
        <v>224.58929893083999</v>
      </c>
      <c r="T20" t="s">
        <v>181</v>
      </c>
      <c r="U20" t="s">
        <v>246</v>
      </c>
      <c r="V20">
        <v>2023</v>
      </c>
      <c r="W20" t="s">
        <v>2670</v>
      </c>
      <c r="X20" t="s">
        <v>2673</v>
      </c>
    </row>
    <row r="21" spans="1:25" x14ac:dyDescent="0.45">
      <c r="A21" t="s">
        <v>157</v>
      </c>
      <c r="B21" t="s">
        <v>694</v>
      </c>
      <c r="C21" t="s">
        <v>159</v>
      </c>
      <c r="D21" t="s">
        <v>142</v>
      </c>
      <c r="E21" t="s">
        <v>143</v>
      </c>
      <c r="F21" t="s">
        <v>166</v>
      </c>
      <c r="G21" t="s">
        <v>160</v>
      </c>
      <c r="H21" t="s">
        <v>161</v>
      </c>
      <c r="I21" t="s">
        <v>218</v>
      </c>
      <c r="J21" t="s">
        <v>348</v>
      </c>
      <c r="K21" t="s">
        <v>525</v>
      </c>
      <c r="L21" t="s">
        <v>149</v>
      </c>
      <c r="M21" t="s">
        <v>210</v>
      </c>
      <c r="N21" t="s">
        <v>170</v>
      </c>
      <c r="O21">
        <v>6</v>
      </c>
      <c r="P21" t="s">
        <v>204</v>
      </c>
      <c r="Q21">
        <v>336.92292606007999</v>
      </c>
      <c r="R21" t="s">
        <v>2644</v>
      </c>
      <c r="S21">
        <v>336.92292606007999</v>
      </c>
      <c r="T21" t="s">
        <v>181</v>
      </c>
      <c r="U21" t="s">
        <v>246</v>
      </c>
      <c r="V21">
        <v>2023</v>
      </c>
      <c r="W21" t="s">
        <v>2670</v>
      </c>
      <c r="X21" t="s">
        <v>2679</v>
      </c>
    </row>
    <row r="22" spans="1:25" x14ac:dyDescent="0.45">
      <c r="A22" t="s">
        <v>157</v>
      </c>
      <c r="B22" t="s">
        <v>580</v>
      </c>
      <c r="C22" t="s">
        <v>159</v>
      </c>
      <c r="D22" t="s">
        <v>142</v>
      </c>
      <c r="E22" t="s">
        <v>143</v>
      </c>
      <c r="F22" t="s">
        <v>166</v>
      </c>
      <c r="G22" t="s">
        <v>160</v>
      </c>
      <c r="H22" t="s">
        <v>161</v>
      </c>
      <c r="I22" t="s">
        <v>218</v>
      </c>
      <c r="J22" t="s">
        <v>348</v>
      </c>
      <c r="K22" t="s">
        <v>525</v>
      </c>
      <c r="L22" t="s">
        <v>149</v>
      </c>
      <c r="M22" t="s">
        <v>210</v>
      </c>
      <c r="N22" t="s">
        <v>170</v>
      </c>
      <c r="O22">
        <v>6</v>
      </c>
      <c r="P22" t="s">
        <v>204</v>
      </c>
      <c r="Q22">
        <v>336.92292606007999</v>
      </c>
      <c r="R22" t="s">
        <v>2644</v>
      </c>
      <c r="S22">
        <v>336.92292606007999</v>
      </c>
      <c r="T22" t="s">
        <v>181</v>
      </c>
      <c r="U22" t="s">
        <v>246</v>
      </c>
      <c r="V22">
        <v>2023</v>
      </c>
      <c r="W22" t="s">
        <v>2670</v>
      </c>
      <c r="X22" t="s">
        <v>2680</v>
      </c>
    </row>
    <row r="23" spans="1:25" x14ac:dyDescent="0.45">
      <c r="A23" t="s">
        <v>157</v>
      </c>
      <c r="B23" t="s">
        <v>394</v>
      </c>
      <c r="C23" t="s">
        <v>159</v>
      </c>
      <c r="D23" t="s">
        <v>142</v>
      </c>
      <c r="E23" t="s">
        <v>143</v>
      </c>
      <c r="F23" t="s">
        <v>166</v>
      </c>
      <c r="G23" t="s">
        <v>160</v>
      </c>
      <c r="H23" t="s">
        <v>161</v>
      </c>
      <c r="I23" t="s">
        <v>218</v>
      </c>
      <c r="J23" t="s">
        <v>348</v>
      </c>
      <c r="K23" t="s">
        <v>525</v>
      </c>
      <c r="L23" t="s">
        <v>149</v>
      </c>
      <c r="M23" t="s">
        <v>210</v>
      </c>
      <c r="N23" t="s">
        <v>170</v>
      </c>
      <c r="O23">
        <v>7</v>
      </c>
      <c r="P23" t="s">
        <v>204</v>
      </c>
      <c r="Q23">
        <v>393.05076196087998</v>
      </c>
      <c r="R23" t="s">
        <v>2644</v>
      </c>
      <c r="S23">
        <v>393.05076196087998</v>
      </c>
      <c r="T23" t="s">
        <v>181</v>
      </c>
      <c r="U23" t="s">
        <v>246</v>
      </c>
      <c r="V23">
        <v>2023</v>
      </c>
      <c r="W23" t="s">
        <v>2670</v>
      </c>
      <c r="X23" t="s">
        <v>2674</v>
      </c>
    </row>
    <row r="24" spans="1:25" x14ac:dyDescent="0.45">
      <c r="A24" t="s">
        <v>157</v>
      </c>
      <c r="B24" t="s">
        <v>788</v>
      </c>
      <c r="C24" t="s">
        <v>159</v>
      </c>
      <c r="D24" t="s">
        <v>142</v>
      </c>
      <c r="E24" t="s">
        <v>143</v>
      </c>
      <c r="F24" t="s">
        <v>166</v>
      </c>
      <c r="G24" t="s">
        <v>160</v>
      </c>
      <c r="H24" t="s">
        <v>161</v>
      </c>
      <c r="I24" t="s">
        <v>218</v>
      </c>
      <c r="J24" t="s">
        <v>348</v>
      </c>
      <c r="K24" t="s">
        <v>525</v>
      </c>
      <c r="L24" t="s">
        <v>149</v>
      </c>
      <c r="M24" t="s">
        <v>210</v>
      </c>
      <c r="N24" t="s">
        <v>170</v>
      </c>
      <c r="O24">
        <v>8</v>
      </c>
      <c r="P24" t="s">
        <v>204</v>
      </c>
      <c r="Q24">
        <v>449.17859786167998</v>
      </c>
      <c r="R24" t="s">
        <v>2644</v>
      </c>
      <c r="S24">
        <v>449.17859786167998</v>
      </c>
      <c r="T24" t="s">
        <v>181</v>
      </c>
      <c r="U24" t="s">
        <v>246</v>
      </c>
      <c r="V24">
        <v>2023</v>
      </c>
      <c r="W24" t="s">
        <v>2670</v>
      </c>
      <c r="X24" t="s">
        <v>2681</v>
      </c>
    </row>
    <row r="25" spans="1:25" x14ac:dyDescent="0.45">
      <c r="A25" t="s">
        <v>142</v>
      </c>
      <c r="B25" t="s">
        <v>143</v>
      </c>
      <c r="C25" t="s">
        <v>159</v>
      </c>
      <c r="D25" t="s">
        <v>142</v>
      </c>
      <c r="E25" t="s">
        <v>143</v>
      </c>
      <c r="F25" t="s">
        <v>166</v>
      </c>
      <c r="G25" t="s">
        <v>160</v>
      </c>
      <c r="H25" t="s">
        <v>161</v>
      </c>
      <c r="I25" t="s">
        <v>218</v>
      </c>
      <c r="J25" t="s">
        <v>348</v>
      </c>
      <c r="K25" t="s">
        <v>525</v>
      </c>
      <c r="L25" t="s">
        <v>149</v>
      </c>
      <c r="M25" t="s">
        <v>210</v>
      </c>
      <c r="N25" t="s">
        <v>170</v>
      </c>
      <c r="O25">
        <v>43</v>
      </c>
      <c r="P25" t="s">
        <v>204</v>
      </c>
      <c r="Q25">
        <v>2414.4324076660801</v>
      </c>
      <c r="R25" t="s">
        <v>2644</v>
      </c>
      <c r="S25">
        <v>2414.4324076660801</v>
      </c>
      <c r="T25" t="s">
        <v>155</v>
      </c>
      <c r="U25" t="s">
        <v>246</v>
      </c>
      <c r="V25">
        <v>2023</v>
      </c>
      <c r="W25" t="s">
        <v>2670</v>
      </c>
      <c r="X25" t="s">
        <v>2676</v>
      </c>
    </row>
    <row r="26" spans="1:25" ht="231" x14ac:dyDescent="0.45">
      <c r="A26" t="s">
        <v>142</v>
      </c>
      <c r="B26" t="s">
        <v>143</v>
      </c>
      <c r="C26" t="s">
        <v>159</v>
      </c>
      <c r="D26" t="s">
        <v>142</v>
      </c>
      <c r="E26" t="s">
        <v>143</v>
      </c>
      <c r="F26" t="s">
        <v>166</v>
      </c>
      <c r="G26" t="s">
        <v>160</v>
      </c>
      <c r="H26" t="s">
        <v>1014</v>
      </c>
      <c r="I26" t="s">
        <v>359</v>
      </c>
      <c r="J26" t="s">
        <v>2682</v>
      </c>
      <c r="K26" t="s">
        <v>2682</v>
      </c>
      <c r="L26" t="s">
        <v>149</v>
      </c>
      <c r="M26" t="s">
        <v>1726</v>
      </c>
      <c r="N26" t="s">
        <v>170</v>
      </c>
      <c r="O26">
        <v>2</v>
      </c>
      <c r="P26" t="s">
        <v>153</v>
      </c>
      <c r="Q26">
        <v>55</v>
      </c>
      <c r="R26" t="s">
        <v>2644</v>
      </c>
      <c r="S26">
        <v>55</v>
      </c>
      <c r="T26" t="s">
        <v>155</v>
      </c>
      <c r="U26" t="s">
        <v>246</v>
      </c>
      <c r="V26">
        <v>2023</v>
      </c>
      <c r="W26" s="93" t="s">
        <v>2683</v>
      </c>
      <c r="X26" t="s">
        <v>2684</v>
      </c>
      <c r="Y26" t="s">
        <v>2685</v>
      </c>
    </row>
    <row r="27" spans="1:25" x14ac:dyDescent="0.45">
      <c r="A27" t="s">
        <v>142</v>
      </c>
      <c r="B27" t="s">
        <v>143</v>
      </c>
      <c r="C27" t="s">
        <v>159</v>
      </c>
      <c r="D27" t="s">
        <v>142</v>
      </c>
      <c r="E27" t="s">
        <v>143</v>
      </c>
      <c r="F27" t="s">
        <v>166</v>
      </c>
      <c r="G27" t="s">
        <v>160</v>
      </c>
      <c r="H27" t="s">
        <v>161</v>
      </c>
      <c r="I27" t="s">
        <v>218</v>
      </c>
      <c r="J27" t="s">
        <v>275</v>
      </c>
      <c r="K27" t="s">
        <v>275</v>
      </c>
      <c r="L27" t="s">
        <v>149</v>
      </c>
      <c r="M27" t="s">
        <v>180</v>
      </c>
      <c r="N27" t="s">
        <v>2617</v>
      </c>
      <c r="O27" t="s">
        <v>812</v>
      </c>
      <c r="P27" t="s">
        <v>153</v>
      </c>
      <c r="Q27">
        <v>28.661999999999999</v>
      </c>
      <c r="R27" t="s">
        <v>2644</v>
      </c>
      <c r="S27">
        <v>28.661999999999999</v>
      </c>
      <c r="T27" t="s">
        <v>155</v>
      </c>
      <c r="U27" t="s">
        <v>246</v>
      </c>
      <c r="V27">
        <v>2023</v>
      </c>
      <c r="W27" t="s">
        <v>2686</v>
      </c>
      <c r="X27" t="s">
        <v>2687</v>
      </c>
    </row>
    <row r="28" spans="1:25" x14ac:dyDescent="0.45">
      <c r="A28" t="s">
        <v>157</v>
      </c>
      <c r="B28" t="s">
        <v>694</v>
      </c>
      <c r="C28" t="s">
        <v>159</v>
      </c>
      <c r="D28" t="s">
        <v>157</v>
      </c>
      <c r="E28" t="s">
        <v>694</v>
      </c>
      <c r="F28" t="s">
        <v>166</v>
      </c>
      <c r="G28" t="s">
        <v>176</v>
      </c>
      <c r="H28" t="s">
        <v>259</v>
      </c>
      <c r="I28" t="s">
        <v>303</v>
      </c>
      <c r="J28" t="s">
        <v>2688</v>
      </c>
      <c r="K28" t="s">
        <v>2689</v>
      </c>
      <c r="L28" t="s">
        <v>812</v>
      </c>
      <c r="M28" t="s">
        <v>2005</v>
      </c>
      <c r="N28" t="s">
        <v>170</v>
      </c>
      <c r="O28">
        <v>22</v>
      </c>
      <c r="P28" t="s">
        <v>153</v>
      </c>
      <c r="Q28">
        <v>3000</v>
      </c>
      <c r="R28" t="s">
        <v>2690</v>
      </c>
      <c r="S28">
        <v>721.44600000000003</v>
      </c>
      <c r="T28" t="s">
        <v>155</v>
      </c>
      <c r="U28" t="s">
        <v>246</v>
      </c>
      <c r="V28">
        <v>2023</v>
      </c>
      <c r="W28" t="s">
        <v>2691</v>
      </c>
      <c r="Y28" t="s">
        <v>2692</v>
      </c>
    </row>
    <row r="29" spans="1:25" x14ac:dyDescent="0.45">
      <c r="A29" t="s">
        <v>157</v>
      </c>
      <c r="B29" t="s">
        <v>694</v>
      </c>
      <c r="C29" t="s">
        <v>159</v>
      </c>
      <c r="D29" t="s">
        <v>157</v>
      </c>
      <c r="E29" t="s">
        <v>460</v>
      </c>
      <c r="F29" t="s">
        <v>145</v>
      </c>
      <c r="G29" t="s">
        <v>176</v>
      </c>
      <c r="H29" t="s">
        <v>259</v>
      </c>
      <c r="I29" t="s">
        <v>303</v>
      </c>
      <c r="J29" t="s">
        <v>2693</v>
      </c>
      <c r="K29" t="s">
        <v>2693</v>
      </c>
      <c r="L29" t="s">
        <v>812</v>
      </c>
      <c r="M29" t="s">
        <v>709</v>
      </c>
      <c r="N29" t="s">
        <v>170</v>
      </c>
      <c r="O29" t="s">
        <v>2694</v>
      </c>
      <c r="P29" t="s">
        <v>153</v>
      </c>
      <c r="Q29">
        <v>1900</v>
      </c>
      <c r="R29" t="s">
        <v>2695</v>
      </c>
      <c r="S29">
        <v>2376.723</v>
      </c>
      <c r="T29" t="s">
        <v>155</v>
      </c>
      <c r="U29" t="s">
        <v>246</v>
      </c>
      <c r="V29">
        <v>2023</v>
      </c>
      <c r="W29" t="s">
        <v>2696</v>
      </c>
      <c r="X29" t="s">
        <v>2697</v>
      </c>
      <c r="Y29" t="s">
        <v>2692</v>
      </c>
    </row>
    <row r="30" spans="1:25" x14ac:dyDescent="0.45">
      <c r="A30" t="s">
        <v>142</v>
      </c>
      <c r="B30" t="s">
        <v>143</v>
      </c>
      <c r="C30" t="s">
        <v>144</v>
      </c>
      <c r="D30" t="s">
        <v>142</v>
      </c>
      <c r="E30" t="s">
        <v>143</v>
      </c>
      <c r="F30" t="s">
        <v>166</v>
      </c>
      <c r="G30" t="s">
        <v>146</v>
      </c>
      <c r="H30" t="s">
        <v>236</v>
      </c>
      <c r="I30" t="s">
        <v>243</v>
      </c>
      <c r="J30" t="s">
        <v>812</v>
      </c>
      <c r="K30" t="s">
        <v>812</v>
      </c>
      <c r="L30" t="s">
        <v>149</v>
      </c>
      <c r="M30" t="s">
        <v>199</v>
      </c>
      <c r="N30" t="s">
        <v>151</v>
      </c>
      <c r="O30" t="s">
        <v>812</v>
      </c>
      <c r="P30" t="s">
        <v>153</v>
      </c>
      <c r="Q30">
        <v>53.521000000000001</v>
      </c>
      <c r="R30" t="s">
        <v>2644</v>
      </c>
      <c r="S30">
        <v>53.521000000000001</v>
      </c>
      <c r="T30" t="s">
        <v>155</v>
      </c>
      <c r="U30" t="s">
        <v>246</v>
      </c>
      <c r="V30">
        <v>2023</v>
      </c>
      <c r="W30" t="s">
        <v>2698</v>
      </c>
      <c r="X30" t="s">
        <v>2699</v>
      </c>
      <c r="Y30" t="s">
        <v>2700</v>
      </c>
    </row>
    <row r="31" spans="1:25" x14ac:dyDescent="0.45">
      <c r="A31" t="s">
        <v>142</v>
      </c>
      <c r="B31" t="s">
        <v>143</v>
      </c>
      <c r="C31" t="s">
        <v>165</v>
      </c>
      <c r="D31" t="s">
        <v>142</v>
      </c>
      <c r="E31" t="s">
        <v>143</v>
      </c>
      <c r="F31" t="s">
        <v>166</v>
      </c>
      <c r="G31" t="s">
        <v>176</v>
      </c>
      <c r="H31" t="s">
        <v>215</v>
      </c>
      <c r="I31" t="s">
        <v>419</v>
      </c>
      <c r="J31" t="s">
        <v>2701</v>
      </c>
      <c r="K31" t="s">
        <v>2701</v>
      </c>
      <c r="L31" t="s">
        <v>812</v>
      </c>
      <c r="M31" t="s">
        <v>210</v>
      </c>
      <c r="N31" t="s">
        <v>170</v>
      </c>
      <c r="O31" t="s">
        <v>152</v>
      </c>
      <c r="P31" t="s">
        <v>153</v>
      </c>
      <c r="Q31">
        <v>180.36099999999999</v>
      </c>
      <c r="R31" t="s">
        <v>2644</v>
      </c>
      <c r="S31">
        <v>180.36099999999999</v>
      </c>
      <c r="T31" t="s">
        <v>155</v>
      </c>
      <c r="U31" t="s">
        <v>246</v>
      </c>
      <c r="V31">
        <v>2023</v>
      </c>
      <c r="W31" t="s">
        <v>2702</v>
      </c>
    </row>
    <row r="32" spans="1:25" x14ac:dyDescent="0.45">
      <c r="A32" t="s">
        <v>142</v>
      </c>
      <c r="B32" t="s">
        <v>143</v>
      </c>
      <c r="C32" t="s">
        <v>189</v>
      </c>
      <c r="D32" t="s">
        <v>142</v>
      </c>
      <c r="E32" t="s">
        <v>143</v>
      </c>
      <c r="F32" t="s">
        <v>166</v>
      </c>
      <c r="G32" t="s">
        <v>190</v>
      </c>
      <c r="H32" t="s">
        <v>317</v>
      </c>
      <c r="I32" t="s">
        <v>851</v>
      </c>
      <c r="J32" t="s">
        <v>2703</v>
      </c>
      <c r="K32" t="s">
        <v>2703</v>
      </c>
      <c r="L32" t="s">
        <v>812</v>
      </c>
      <c r="M32" t="s">
        <v>210</v>
      </c>
      <c r="N32" t="s">
        <v>170</v>
      </c>
      <c r="O32" t="s">
        <v>152</v>
      </c>
      <c r="P32" t="s">
        <v>153</v>
      </c>
      <c r="Q32">
        <v>4791.4319999999998</v>
      </c>
      <c r="R32" t="s">
        <v>2644</v>
      </c>
      <c r="S32">
        <v>4791.4319999999998</v>
      </c>
      <c r="T32" t="s">
        <v>155</v>
      </c>
      <c r="U32" t="s">
        <v>246</v>
      </c>
      <c r="V32">
        <v>2023</v>
      </c>
      <c r="W32" t="s">
        <v>2704</v>
      </c>
      <c r="X32" t="s">
        <v>2705</v>
      </c>
    </row>
    <row r="33" spans="1:25" x14ac:dyDescent="0.45">
      <c r="A33" t="s">
        <v>157</v>
      </c>
      <c r="B33" t="s">
        <v>645</v>
      </c>
      <c r="C33" t="s">
        <v>159</v>
      </c>
      <c r="D33" t="s">
        <v>157</v>
      </c>
      <c r="E33" t="s">
        <v>493</v>
      </c>
      <c r="F33" t="s">
        <v>145</v>
      </c>
      <c r="G33" t="s">
        <v>160</v>
      </c>
      <c r="H33" t="s">
        <v>161</v>
      </c>
      <c r="I33" t="s">
        <v>313</v>
      </c>
      <c r="J33" t="s">
        <v>2706</v>
      </c>
      <c r="K33" t="s">
        <v>2706</v>
      </c>
      <c r="L33" t="s">
        <v>179</v>
      </c>
      <c r="M33" t="s">
        <v>1214</v>
      </c>
      <c r="N33" t="s">
        <v>170</v>
      </c>
      <c r="O33">
        <v>18</v>
      </c>
      <c r="P33" t="s">
        <v>153</v>
      </c>
      <c r="Q33">
        <v>321</v>
      </c>
      <c r="R33" t="s">
        <v>2644</v>
      </c>
      <c r="S33">
        <v>321</v>
      </c>
      <c r="T33" t="s">
        <v>155</v>
      </c>
      <c r="U33" t="s">
        <v>246</v>
      </c>
      <c r="V33">
        <v>2023</v>
      </c>
      <c r="W33" t="s">
        <v>2707</v>
      </c>
      <c r="Y33" t="s">
        <v>2708</v>
      </c>
    </row>
    <row r="34" spans="1:25" x14ac:dyDescent="0.45">
      <c r="A34" t="s">
        <v>265</v>
      </c>
      <c r="B34" t="s">
        <v>407</v>
      </c>
      <c r="C34" t="s">
        <v>159</v>
      </c>
      <c r="D34" t="s">
        <v>142</v>
      </c>
      <c r="E34" t="s">
        <v>143</v>
      </c>
      <c r="F34" t="s">
        <v>145</v>
      </c>
      <c r="G34" t="s">
        <v>160</v>
      </c>
      <c r="H34" t="s">
        <v>161</v>
      </c>
      <c r="I34" t="s">
        <v>321</v>
      </c>
      <c r="J34" t="s">
        <v>2709</v>
      </c>
      <c r="K34" t="s">
        <v>2709</v>
      </c>
      <c r="L34" t="s">
        <v>179</v>
      </c>
      <c r="M34" t="s">
        <v>180</v>
      </c>
      <c r="N34" t="s">
        <v>151</v>
      </c>
      <c r="O34" t="s">
        <v>812</v>
      </c>
      <c r="P34" t="s">
        <v>153</v>
      </c>
      <c r="Q34">
        <v>158.126</v>
      </c>
      <c r="R34" t="s">
        <v>2644</v>
      </c>
      <c r="S34">
        <v>158.126</v>
      </c>
      <c r="T34" t="s">
        <v>181</v>
      </c>
      <c r="U34" t="s">
        <v>246</v>
      </c>
      <c r="V34">
        <v>2023</v>
      </c>
      <c r="W34" t="s">
        <v>2710</v>
      </c>
    </row>
    <row r="35" spans="1:25" x14ac:dyDescent="0.45">
      <c r="A35" t="s">
        <v>272</v>
      </c>
      <c r="B35" t="s">
        <v>572</v>
      </c>
      <c r="C35" t="s">
        <v>159</v>
      </c>
      <c r="D35" t="s">
        <v>142</v>
      </c>
      <c r="E35" t="s">
        <v>143</v>
      </c>
      <c r="F35" t="s">
        <v>145</v>
      </c>
      <c r="G35" t="s">
        <v>160</v>
      </c>
      <c r="H35" t="s">
        <v>221</v>
      </c>
      <c r="I35" t="s">
        <v>429</v>
      </c>
      <c r="J35" t="s">
        <v>2711</v>
      </c>
      <c r="K35" t="s">
        <v>2711</v>
      </c>
      <c r="L35" t="s">
        <v>812</v>
      </c>
      <c r="M35" t="s">
        <v>320</v>
      </c>
      <c r="N35" t="s">
        <v>170</v>
      </c>
      <c r="O35">
        <v>40</v>
      </c>
      <c r="P35" t="s">
        <v>204</v>
      </c>
      <c r="Q35">
        <v>212.005</v>
      </c>
      <c r="R35" t="s">
        <v>2644</v>
      </c>
      <c r="S35">
        <v>212.005</v>
      </c>
      <c r="T35" t="s">
        <v>181</v>
      </c>
      <c r="U35" t="s">
        <v>246</v>
      </c>
      <c r="V35">
        <v>2023</v>
      </c>
      <c r="W35" t="s">
        <v>2712</v>
      </c>
      <c r="X35" t="s">
        <v>2713</v>
      </c>
    </row>
    <row r="36" spans="1:25" x14ac:dyDescent="0.45">
      <c r="A36" t="s">
        <v>142</v>
      </c>
      <c r="B36" t="s">
        <v>143</v>
      </c>
      <c r="C36" t="s">
        <v>144</v>
      </c>
      <c r="D36" t="s">
        <v>142</v>
      </c>
      <c r="E36" t="s">
        <v>143</v>
      </c>
      <c r="F36" t="s">
        <v>166</v>
      </c>
      <c r="G36" t="s">
        <v>160</v>
      </c>
      <c r="H36" t="s">
        <v>221</v>
      </c>
      <c r="I36" t="s">
        <v>429</v>
      </c>
      <c r="J36" t="s">
        <v>2711</v>
      </c>
      <c r="K36" t="s">
        <v>2711</v>
      </c>
      <c r="L36" t="s">
        <v>812</v>
      </c>
      <c r="M36" t="s">
        <v>320</v>
      </c>
      <c r="N36" t="s">
        <v>170</v>
      </c>
      <c r="O36">
        <v>129</v>
      </c>
      <c r="P36" t="s">
        <v>204</v>
      </c>
      <c r="Q36">
        <v>471.71100000000001</v>
      </c>
      <c r="R36" t="s">
        <v>2644</v>
      </c>
      <c r="S36">
        <v>471.71100000000001</v>
      </c>
      <c r="T36" t="s">
        <v>155</v>
      </c>
      <c r="U36" t="s">
        <v>246</v>
      </c>
      <c r="V36">
        <v>2023</v>
      </c>
      <c r="W36" t="s">
        <v>2712</v>
      </c>
      <c r="X36" t="s">
        <v>2713</v>
      </c>
    </row>
    <row r="37" spans="1:25" x14ac:dyDescent="0.45">
      <c r="A37" t="s">
        <v>157</v>
      </c>
      <c r="B37" t="s">
        <v>493</v>
      </c>
      <c r="C37" t="s">
        <v>144</v>
      </c>
      <c r="D37" t="s">
        <v>157</v>
      </c>
      <c r="E37" t="s">
        <v>493</v>
      </c>
      <c r="F37" t="s">
        <v>166</v>
      </c>
      <c r="G37" t="s">
        <v>146</v>
      </c>
      <c r="H37" t="s">
        <v>231</v>
      </c>
      <c r="I37" t="s">
        <v>548</v>
      </c>
      <c r="J37" t="s">
        <v>2714</v>
      </c>
      <c r="K37" t="s">
        <v>2715</v>
      </c>
      <c r="L37" t="s">
        <v>149</v>
      </c>
      <c r="M37" t="s">
        <v>2167</v>
      </c>
      <c r="N37" t="s">
        <v>170</v>
      </c>
      <c r="O37">
        <v>1</v>
      </c>
      <c r="P37" t="s">
        <v>204</v>
      </c>
      <c r="Q37">
        <v>320</v>
      </c>
      <c r="R37" t="s">
        <v>2644</v>
      </c>
      <c r="S37">
        <v>320</v>
      </c>
      <c r="T37" t="s">
        <v>155</v>
      </c>
      <c r="U37" t="s">
        <v>246</v>
      </c>
      <c r="V37">
        <v>2023</v>
      </c>
      <c r="W37" t="s">
        <v>2716</v>
      </c>
      <c r="X37" t="s">
        <v>2717</v>
      </c>
      <c r="Y37" t="s">
        <v>2718</v>
      </c>
    </row>
    <row r="38" spans="1:25" x14ac:dyDescent="0.45">
      <c r="A38" t="s">
        <v>157</v>
      </c>
      <c r="B38" t="s">
        <v>493</v>
      </c>
      <c r="C38" t="s">
        <v>144</v>
      </c>
      <c r="D38" t="s">
        <v>157</v>
      </c>
      <c r="E38" t="s">
        <v>493</v>
      </c>
      <c r="F38" t="s">
        <v>166</v>
      </c>
      <c r="G38" t="s">
        <v>146</v>
      </c>
      <c r="H38" t="s">
        <v>231</v>
      </c>
      <c r="I38" t="s">
        <v>548</v>
      </c>
      <c r="J38" t="s">
        <v>2714</v>
      </c>
      <c r="K38" t="s">
        <v>2719</v>
      </c>
      <c r="L38" t="s">
        <v>149</v>
      </c>
      <c r="M38" t="s">
        <v>2164</v>
      </c>
      <c r="N38" t="s">
        <v>170</v>
      </c>
      <c r="O38">
        <v>1</v>
      </c>
      <c r="P38" t="s">
        <v>204</v>
      </c>
      <c r="Q38">
        <v>320</v>
      </c>
      <c r="R38" t="s">
        <v>2644</v>
      </c>
      <c r="S38">
        <v>320</v>
      </c>
      <c r="T38" t="s">
        <v>155</v>
      </c>
      <c r="U38" t="s">
        <v>246</v>
      </c>
      <c r="V38">
        <v>2023</v>
      </c>
      <c r="W38" t="s">
        <v>2716</v>
      </c>
      <c r="X38" t="s">
        <v>2717</v>
      </c>
      <c r="Y38" t="s">
        <v>2718</v>
      </c>
    </row>
    <row r="39" spans="1:25" x14ac:dyDescent="0.45">
      <c r="A39" t="s">
        <v>157</v>
      </c>
      <c r="B39" t="s">
        <v>493</v>
      </c>
      <c r="C39" t="s">
        <v>144</v>
      </c>
      <c r="D39" t="s">
        <v>157</v>
      </c>
      <c r="E39" t="s">
        <v>493</v>
      </c>
      <c r="F39" t="s">
        <v>166</v>
      </c>
      <c r="G39" t="s">
        <v>146</v>
      </c>
      <c r="H39" t="s">
        <v>231</v>
      </c>
      <c r="I39" t="s">
        <v>548</v>
      </c>
      <c r="J39" t="s">
        <v>2714</v>
      </c>
      <c r="K39" t="s">
        <v>2720</v>
      </c>
      <c r="L39" t="s">
        <v>149</v>
      </c>
      <c r="M39" t="s">
        <v>1121</v>
      </c>
      <c r="N39" t="s">
        <v>170</v>
      </c>
      <c r="O39">
        <v>1</v>
      </c>
      <c r="P39" t="s">
        <v>204</v>
      </c>
      <c r="Q39">
        <v>320</v>
      </c>
      <c r="R39" t="s">
        <v>2644</v>
      </c>
      <c r="S39">
        <v>320</v>
      </c>
      <c r="T39" t="s">
        <v>155</v>
      </c>
      <c r="U39" t="s">
        <v>246</v>
      </c>
      <c r="V39">
        <v>2023</v>
      </c>
      <c r="W39" t="s">
        <v>2716</v>
      </c>
      <c r="X39" t="s">
        <v>2717</v>
      </c>
      <c r="Y39" t="s">
        <v>2718</v>
      </c>
    </row>
    <row r="40" spans="1:25" x14ac:dyDescent="0.45">
      <c r="A40" t="s">
        <v>265</v>
      </c>
      <c r="B40" t="s">
        <v>266</v>
      </c>
      <c r="C40" t="s">
        <v>159</v>
      </c>
      <c r="D40" t="s">
        <v>142</v>
      </c>
      <c r="E40" t="s">
        <v>143</v>
      </c>
      <c r="F40" t="s">
        <v>145</v>
      </c>
      <c r="G40" t="s">
        <v>160</v>
      </c>
      <c r="H40" t="s">
        <v>161</v>
      </c>
      <c r="I40" t="s">
        <v>218</v>
      </c>
      <c r="J40" t="s">
        <v>275</v>
      </c>
      <c r="K40" t="s">
        <v>275</v>
      </c>
      <c r="L40" t="s">
        <v>149</v>
      </c>
      <c r="N40" t="s">
        <v>170</v>
      </c>
      <c r="O40" t="s">
        <v>812</v>
      </c>
      <c r="P40" t="s">
        <v>153</v>
      </c>
      <c r="Q40">
        <v>2940</v>
      </c>
      <c r="R40" t="s">
        <v>2721</v>
      </c>
      <c r="S40">
        <v>95.787000000000006</v>
      </c>
      <c r="T40" t="s">
        <v>181</v>
      </c>
      <c r="U40" t="s">
        <v>246</v>
      </c>
      <c r="V40">
        <v>2023</v>
      </c>
      <c r="W40" t="s">
        <v>2722</v>
      </c>
      <c r="X40" t="s">
        <v>2723</v>
      </c>
      <c r="Y40" t="s">
        <v>2724</v>
      </c>
    </row>
    <row r="41" spans="1:25" x14ac:dyDescent="0.45">
      <c r="A41" t="s">
        <v>265</v>
      </c>
      <c r="B41" t="s">
        <v>266</v>
      </c>
      <c r="C41" t="s">
        <v>159</v>
      </c>
      <c r="D41" t="s">
        <v>142</v>
      </c>
      <c r="E41" t="s">
        <v>143</v>
      </c>
      <c r="F41" t="s">
        <v>145</v>
      </c>
      <c r="G41" t="s">
        <v>160</v>
      </c>
      <c r="H41" t="s">
        <v>161</v>
      </c>
      <c r="I41" t="s">
        <v>218</v>
      </c>
      <c r="J41" t="s">
        <v>275</v>
      </c>
      <c r="K41" t="s">
        <v>275</v>
      </c>
      <c r="L41" t="s">
        <v>149</v>
      </c>
      <c r="N41" t="s">
        <v>170</v>
      </c>
      <c r="O41" t="s">
        <v>812</v>
      </c>
      <c r="P41" t="s">
        <v>153</v>
      </c>
      <c r="Q41">
        <v>9900</v>
      </c>
      <c r="R41" t="s">
        <v>2721</v>
      </c>
      <c r="S41">
        <v>322.54700000000003</v>
      </c>
      <c r="T41" t="s">
        <v>181</v>
      </c>
      <c r="U41" t="s">
        <v>246</v>
      </c>
      <c r="V41">
        <v>2023</v>
      </c>
      <c r="W41" t="s">
        <v>2725</v>
      </c>
      <c r="X41" t="s">
        <v>2726</v>
      </c>
      <c r="Y41" t="s">
        <v>2724</v>
      </c>
    </row>
    <row r="42" spans="1:25" x14ac:dyDescent="0.45">
      <c r="A42" t="s">
        <v>157</v>
      </c>
      <c r="B42" t="s">
        <v>477</v>
      </c>
      <c r="C42" t="s">
        <v>189</v>
      </c>
      <c r="D42" t="s">
        <v>157</v>
      </c>
      <c r="E42" t="s">
        <v>932</v>
      </c>
      <c r="F42" t="s">
        <v>145</v>
      </c>
      <c r="G42" t="s">
        <v>190</v>
      </c>
      <c r="H42" t="s">
        <v>821</v>
      </c>
      <c r="I42" t="s">
        <v>878</v>
      </c>
      <c r="J42" t="s">
        <v>2727</v>
      </c>
      <c r="K42" t="s">
        <v>2727</v>
      </c>
      <c r="L42" t="s">
        <v>149</v>
      </c>
      <c r="M42" t="s">
        <v>196</v>
      </c>
      <c r="N42" t="s">
        <v>170</v>
      </c>
      <c r="O42">
        <v>227</v>
      </c>
      <c r="P42" t="s">
        <v>153</v>
      </c>
      <c r="Q42">
        <v>400</v>
      </c>
      <c r="R42" t="s">
        <v>2644</v>
      </c>
      <c r="S42">
        <v>400</v>
      </c>
      <c r="T42" t="s">
        <v>155</v>
      </c>
      <c r="U42" t="s">
        <v>246</v>
      </c>
      <c r="V42">
        <v>2023</v>
      </c>
      <c r="W42" t="s">
        <v>2728</v>
      </c>
      <c r="X42" t="s">
        <v>2729</v>
      </c>
      <c r="Y42" t="s">
        <v>2730</v>
      </c>
    </row>
    <row r="43" spans="1:25" x14ac:dyDescent="0.45">
      <c r="A43" t="s">
        <v>142</v>
      </c>
      <c r="B43" t="s">
        <v>143</v>
      </c>
      <c r="C43" t="s">
        <v>144</v>
      </c>
      <c r="D43" t="s">
        <v>142</v>
      </c>
      <c r="E43" t="s">
        <v>143</v>
      </c>
      <c r="F43" t="s">
        <v>166</v>
      </c>
      <c r="G43" t="s">
        <v>146</v>
      </c>
      <c r="H43" t="s">
        <v>697</v>
      </c>
      <c r="I43" t="s">
        <v>720</v>
      </c>
      <c r="J43" t="s">
        <v>2731</v>
      </c>
      <c r="K43" t="s">
        <v>2731</v>
      </c>
      <c r="L43" t="s">
        <v>149</v>
      </c>
      <c r="M43" t="s">
        <v>2071</v>
      </c>
      <c r="N43" t="s">
        <v>170</v>
      </c>
      <c r="O43">
        <v>12</v>
      </c>
      <c r="P43" t="s">
        <v>153</v>
      </c>
      <c r="Q43">
        <v>35.92</v>
      </c>
      <c r="R43" t="s">
        <v>2644</v>
      </c>
      <c r="S43">
        <v>35.92</v>
      </c>
      <c r="T43" t="s">
        <v>155</v>
      </c>
      <c r="U43" t="s">
        <v>246</v>
      </c>
      <c r="V43">
        <v>2023</v>
      </c>
      <c r="W43" t="s">
        <v>2732</v>
      </c>
    </row>
    <row r="44" spans="1:25" x14ac:dyDescent="0.45">
      <c r="A44" t="s">
        <v>142</v>
      </c>
      <c r="B44" t="s">
        <v>143</v>
      </c>
      <c r="C44" t="s">
        <v>144</v>
      </c>
      <c r="D44" t="s">
        <v>142</v>
      </c>
      <c r="E44" t="s">
        <v>143</v>
      </c>
      <c r="F44" t="s">
        <v>166</v>
      </c>
      <c r="G44" t="s">
        <v>146</v>
      </c>
      <c r="H44" t="s">
        <v>236</v>
      </c>
      <c r="I44" t="s">
        <v>243</v>
      </c>
      <c r="J44" t="s">
        <v>2733</v>
      </c>
      <c r="K44" t="s">
        <v>483</v>
      </c>
      <c r="L44" t="s">
        <v>149</v>
      </c>
      <c r="M44" t="s">
        <v>203</v>
      </c>
      <c r="N44" t="s">
        <v>151</v>
      </c>
      <c r="O44" t="s">
        <v>812</v>
      </c>
      <c r="P44" t="s">
        <v>153</v>
      </c>
      <c r="Q44">
        <v>115</v>
      </c>
      <c r="R44" t="s">
        <v>2644</v>
      </c>
      <c r="S44">
        <v>115</v>
      </c>
      <c r="T44" t="s">
        <v>155</v>
      </c>
      <c r="U44" t="s">
        <v>246</v>
      </c>
      <c r="V44">
        <v>2023</v>
      </c>
      <c r="W44" t="s">
        <v>2734</v>
      </c>
    </row>
    <row r="45" spans="1:25" x14ac:dyDescent="0.45">
      <c r="A45" t="s">
        <v>272</v>
      </c>
      <c r="B45" t="s">
        <v>561</v>
      </c>
      <c r="C45" t="s">
        <v>144</v>
      </c>
      <c r="D45" t="s">
        <v>142</v>
      </c>
      <c r="E45" t="s">
        <v>143</v>
      </c>
      <c r="F45" t="s">
        <v>198</v>
      </c>
      <c r="G45" t="s">
        <v>146</v>
      </c>
      <c r="H45" t="s">
        <v>697</v>
      </c>
      <c r="I45" t="s">
        <v>720</v>
      </c>
      <c r="J45" t="s">
        <v>2735</v>
      </c>
      <c r="K45" t="s">
        <v>2735</v>
      </c>
      <c r="L45" t="s">
        <v>149</v>
      </c>
      <c r="M45" t="s">
        <v>286</v>
      </c>
      <c r="N45" t="s">
        <v>170</v>
      </c>
      <c r="O45">
        <v>6</v>
      </c>
      <c r="P45" t="s">
        <v>153</v>
      </c>
      <c r="Q45">
        <v>22</v>
      </c>
      <c r="R45" t="s">
        <v>2644</v>
      </c>
      <c r="S45">
        <v>22</v>
      </c>
      <c r="T45" t="s">
        <v>181</v>
      </c>
      <c r="U45" t="s">
        <v>246</v>
      </c>
      <c r="V45">
        <v>2022</v>
      </c>
      <c r="W45" t="s">
        <v>2736</v>
      </c>
      <c r="Y45" t="s">
        <v>2737</v>
      </c>
    </row>
    <row r="46" spans="1:25" x14ac:dyDescent="0.45">
      <c r="A46" t="s">
        <v>142</v>
      </c>
      <c r="B46" t="s">
        <v>143</v>
      </c>
      <c r="C46" t="s">
        <v>144</v>
      </c>
      <c r="D46" t="s">
        <v>142</v>
      </c>
      <c r="E46" t="s">
        <v>143</v>
      </c>
      <c r="F46" t="s">
        <v>166</v>
      </c>
      <c r="G46" t="s">
        <v>146</v>
      </c>
      <c r="H46" t="s">
        <v>231</v>
      </c>
      <c r="I46" t="s">
        <v>682</v>
      </c>
      <c r="J46" t="s">
        <v>2738</v>
      </c>
      <c r="K46" t="s">
        <v>2738</v>
      </c>
      <c r="L46" t="s">
        <v>149</v>
      </c>
      <c r="M46" t="s">
        <v>210</v>
      </c>
      <c r="N46" t="s">
        <v>151</v>
      </c>
      <c r="O46" t="s">
        <v>812</v>
      </c>
      <c r="P46" t="s">
        <v>153</v>
      </c>
      <c r="Q46">
        <v>100.673</v>
      </c>
      <c r="R46" t="s">
        <v>2644</v>
      </c>
      <c r="S46">
        <v>100.673</v>
      </c>
      <c r="T46" t="s">
        <v>155</v>
      </c>
      <c r="U46" t="s">
        <v>246</v>
      </c>
      <c r="V46">
        <v>2023</v>
      </c>
      <c r="W46" t="s">
        <v>2739</v>
      </c>
      <c r="X46" t="s">
        <v>2740</v>
      </c>
    </row>
    <row r="47" spans="1:25" x14ac:dyDescent="0.45">
      <c r="A47" t="s">
        <v>142</v>
      </c>
      <c r="B47" t="s">
        <v>143</v>
      </c>
      <c r="C47" t="s">
        <v>144</v>
      </c>
      <c r="D47" t="s">
        <v>142</v>
      </c>
      <c r="E47" t="s">
        <v>143</v>
      </c>
      <c r="F47" t="s">
        <v>166</v>
      </c>
      <c r="G47" t="s">
        <v>146</v>
      </c>
      <c r="H47" t="s">
        <v>231</v>
      </c>
      <c r="I47" t="s">
        <v>62</v>
      </c>
      <c r="J47" t="s">
        <v>812</v>
      </c>
      <c r="K47" t="s">
        <v>812</v>
      </c>
      <c r="L47" t="s">
        <v>149</v>
      </c>
      <c r="M47" t="s">
        <v>199</v>
      </c>
      <c r="N47" t="s">
        <v>151</v>
      </c>
      <c r="O47" t="s">
        <v>812</v>
      </c>
      <c r="P47" t="s">
        <v>153</v>
      </c>
      <c r="Q47">
        <v>847.26199999999994</v>
      </c>
      <c r="R47" t="s">
        <v>2644</v>
      </c>
      <c r="S47">
        <v>847.26199999999994</v>
      </c>
      <c r="T47" t="s">
        <v>155</v>
      </c>
      <c r="U47" t="s">
        <v>246</v>
      </c>
      <c r="V47">
        <v>2023</v>
      </c>
      <c r="W47" t="s">
        <v>2741</v>
      </c>
      <c r="X47" t="s">
        <v>2742</v>
      </c>
    </row>
    <row r="48" spans="1:25" x14ac:dyDescent="0.45">
      <c r="A48" t="s">
        <v>142</v>
      </c>
      <c r="B48" t="s">
        <v>143</v>
      </c>
      <c r="C48" t="s">
        <v>189</v>
      </c>
      <c r="D48" t="s">
        <v>142</v>
      </c>
      <c r="E48" t="s">
        <v>143</v>
      </c>
      <c r="F48" t="s">
        <v>166</v>
      </c>
      <c r="G48" t="s">
        <v>176</v>
      </c>
      <c r="H48" t="s">
        <v>17</v>
      </c>
      <c r="I48" t="s">
        <v>17</v>
      </c>
      <c r="J48" t="s">
        <v>2743</v>
      </c>
      <c r="K48" t="s">
        <v>2743</v>
      </c>
      <c r="L48" t="s">
        <v>812</v>
      </c>
      <c r="M48" t="s">
        <v>578</v>
      </c>
      <c r="N48" t="s">
        <v>170</v>
      </c>
      <c r="O48" t="s">
        <v>152</v>
      </c>
      <c r="P48" t="s">
        <v>153</v>
      </c>
      <c r="Q48">
        <v>94.8</v>
      </c>
      <c r="R48" t="s">
        <v>2644</v>
      </c>
      <c r="S48">
        <v>94.8</v>
      </c>
      <c r="T48" t="s">
        <v>155</v>
      </c>
      <c r="U48" t="s">
        <v>246</v>
      </c>
      <c r="V48">
        <v>2023</v>
      </c>
      <c r="W48" t="s">
        <v>2744</v>
      </c>
      <c r="X48" t="s">
        <v>2745</v>
      </c>
    </row>
    <row r="49" spans="1:25" x14ac:dyDescent="0.45">
      <c r="C49" t="s">
        <v>189</v>
      </c>
      <c r="D49" t="s">
        <v>142</v>
      </c>
      <c r="E49" t="s">
        <v>143</v>
      </c>
      <c r="F49" t="s">
        <v>145</v>
      </c>
      <c r="G49" t="s">
        <v>176</v>
      </c>
      <c r="H49" t="s">
        <v>259</v>
      </c>
      <c r="I49" t="s">
        <v>303</v>
      </c>
      <c r="J49" t="s">
        <v>2746</v>
      </c>
      <c r="K49" t="s">
        <v>2746</v>
      </c>
      <c r="L49" t="s">
        <v>812</v>
      </c>
      <c r="M49" t="s">
        <v>210</v>
      </c>
      <c r="N49" t="s">
        <v>170</v>
      </c>
      <c r="O49" t="s">
        <v>152</v>
      </c>
      <c r="P49" t="s">
        <v>153</v>
      </c>
      <c r="Q49">
        <v>2451.4319999999998</v>
      </c>
      <c r="R49" t="s">
        <v>2644</v>
      </c>
      <c r="S49">
        <v>2451.4319999999998</v>
      </c>
      <c r="T49" t="s">
        <v>181</v>
      </c>
      <c r="U49" t="s">
        <v>246</v>
      </c>
      <c r="V49">
        <v>2023</v>
      </c>
      <c r="W49" t="s">
        <v>2747</v>
      </c>
      <c r="X49" t="s">
        <v>2748</v>
      </c>
    </row>
    <row r="50" spans="1:25" x14ac:dyDescent="0.45">
      <c r="A50" t="s">
        <v>819</v>
      </c>
      <c r="B50" t="s">
        <v>978</v>
      </c>
      <c r="C50" t="s">
        <v>159</v>
      </c>
      <c r="D50" t="s">
        <v>504</v>
      </c>
      <c r="E50" t="s">
        <v>952</v>
      </c>
      <c r="F50" t="s">
        <v>145</v>
      </c>
      <c r="G50" t="s">
        <v>160</v>
      </c>
      <c r="H50" t="s">
        <v>161</v>
      </c>
      <c r="I50" t="s">
        <v>162</v>
      </c>
      <c r="J50" t="s">
        <v>2749</v>
      </c>
      <c r="K50" t="s">
        <v>2750</v>
      </c>
      <c r="L50" t="s">
        <v>149</v>
      </c>
      <c r="M50" t="s">
        <v>262</v>
      </c>
      <c r="N50" t="s">
        <v>170</v>
      </c>
      <c r="O50">
        <v>1</v>
      </c>
      <c r="P50" t="s">
        <v>153</v>
      </c>
      <c r="Q50">
        <v>1658.684</v>
      </c>
      <c r="R50" t="s">
        <v>2751</v>
      </c>
      <c r="S50">
        <v>91.975999999999999</v>
      </c>
      <c r="T50" t="s">
        <v>181</v>
      </c>
      <c r="U50" t="s">
        <v>246</v>
      </c>
      <c r="V50">
        <v>2023</v>
      </c>
      <c r="W50" t="s">
        <v>2752</v>
      </c>
      <c r="Y50" t="s">
        <v>2753</v>
      </c>
    </row>
    <row r="51" spans="1:25" x14ac:dyDescent="0.45">
      <c r="A51" t="s">
        <v>504</v>
      </c>
      <c r="B51" t="s">
        <v>940</v>
      </c>
      <c r="C51" t="s">
        <v>189</v>
      </c>
      <c r="D51" t="s">
        <v>272</v>
      </c>
      <c r="E51" t="s">
        <v>572</v>
      </c>
      <c r="F51" t="s">
        <v>145</v>
      </c>
      <c r="G51" t="s">
        <v>190</v>
      </c>
      <c r="H51" t="s">
        <v>317</v>
      </c>
      <c r="I51" t="s">
        <v>845</v>
      </c>
      <c r="J51" t="s">
        <v>2754</v>
      </c>
      <c r="K51" t="s">
        <v>2754</v>
      </c>
      <c r="L51" t="s">
        <v>149</v>
      </c>
      <c r="M51" t="s">
        <v>598</v>
      </c>
      <c r="N51" t="s">
        <v>170</v>
      </c>
      <c r="O51" t="s">
        <v>152</v>
      </c>
      <c r="P51" t="s">
        <v>153</v>
      </c>
      <c r="Q51">
        <v>101.711</v>
      </c>
      <c r="R51" t="s">
        <v>2644</v>
      </c>
      <c r="S51">
        <v>101.711</v>
      </c>
      <c r="T51" t="s">
        <v>155</v>
      </c>
      <c r="U51" t="s">
        <v>246</v>
      </c>
      <c r="V51">
        <v>2023</v>
      </c>
      <c r="W51" t="s">
        <v>2755</v>
      </c>
      <c r="X51" t="s">
        <v>2756</v>
      </c>
      <c r="Y51" t="s">
        <v>2757</v>
      </c>
    </row>
    <row r="52" spans="1:25" x14ac:dyDescent="0.45">
      <c r="A52" t="s">
        <v>142</v>
      </c>
      <c r="B52" t="s">
        <v>143</v>
      </c>
      <c r="C52" t="s">
        <v>189</v>
      </c>
      <c r="D52" t="s">
        <v>142</v>
      </c>
      <c r="E52" t="s">
        <v>143</v>
      </c>
      <c r="F52" t="s">
        <v>166</v>
      </c>
      <c r="G52" t="s">
        <v>176</v>
      </c>
      <c r="H52" t="s">
        <v>215</v>
      </c>
      <c r="I52" t="s">
        <v>351</v>
      </c>
      <c r="J52" t="s">
        <v>2758</v>
      </c>
      <c r="K52" t="s">
        <v>2759</v>
      </c>
      <c r="L52" t="s">
        <v>812</v>
      </c>
      <c r="M52" t="s">
        <v>150</v>
      </c>
      <c r="N52" t="s">
        <v>170</v>
      </c>
      <c r="O52" t="s">
        <v>152</v>
      </c>
      <c r="P52" t="s">
        <v>153</v>
      </c>
      <c r="Q52">
        <v>237</v>
      </c>
      <c r="R52" t="s">
        <v>2644</v>
      </c>
      <c r="S52">
        <v>237</v>
      </c>
      <c r="T52" t="s">
        <v>155</v>
      </c>
      <c r="U52" t="s">
        <v>246</v>
      </c>
      <c r="V52">
        <v>2023</v>
      </c>
      <c r="W52" t="s">
        <v>2760</v>
      </c>
      <c r="X52" t="s">
        <v>2761</v>
      </c>
      <c r="Y52" t="s">
        <v>2762</v>
      </c>
    </row>
    <row r="53" spans="1:25" x14ac:dyDescent="0.45">
      <c r="A53" t="s">
        <v>142</v>
      </c>
      <c r="B53" t="s">
        <v>143</v>
      </c>
      <c r="C53" t="s">
        <v>144</v>
      </c>
      <c r="D53" t="s">
        <v>142</v>
      </c>
      <c r="E53" t="s">
        <v>143</v>
      </c>
      <c r="F53" t="s">
        <v>166</v>
      </c>
      <c r="G53" t="s">
        <v>167</v>
      </c>
      <c r="H53" t="s">
        <v>274</v>
      </c>
      <c r="I53" t="s">
        <v>812</v>
      </c>
      <c r="J53" t="s">
        <v>812</v>
      </c>
      <c r="K53" t="s">
        <v>812</v>
      </c>
      <c r="L53" t="s">
        <v>812</v>
      </c>
      <c r="M53" t="s">
        <v>1238</v>
      </c>
      <c r="N53" t="s">
        <v>398</v>
      </c>
      <c r="O53" t="s">
        <v>812</v>
      </c>
      <c r="P53" t="s">
        <v>153</v>
      </c>
      <c r="Q53">
        <v>221.691</v>
      </c>
      <c r="R53" t="s">
        <v>2644</v>
      </c>
      <c r="S53">
        <v>221.691</v>
      </c>
      <c r="T53" t="s">
        <v>155</v>
      </c>
      <c r="U53" t="s">
        <v>246</v>
      </c>
      <c r="V53">
        <v>2023</v>
      </c>
      <c r="W53" t="s">
        <v>2763</v>
      </c>
    </row>
    <row r="54" spans="1:25" x14ac:dyDescent="0.45">
      <c r="A54" t="s">
        <v>142</v>
      </c>
      <c r="B54" t="s">
        <v>143</v>
      </c>
      <c r="C54" t="s">
        <v>144</v>
      </c>
      <c r="D54" t="s">
        <v>142</v>
      </c>
      <c r="E54" t="s">
        <v>143</v>
      </c>
      <c r="F54" t="s">
        <v>166</v>
      </c>
      <c r="G54" t="s">
        <v>146</v>
      </c>
      <c r="H54" t="s">
        <v>231</v>
      </c>
      <c r="I54" t="s">
        <v>301</v>
      </c>
      <c r="J54" t="s">
        <v>2764</v>
      </c>
      <c r="K54" t="s">
        <v>2764</v>
      </c>
      <c r="L54" t="s">
        <v>149</v>
      </c>
      <c r="M54" t="s">
        <v>150</v>
      </c>
      <c r="N54" t="s">
        <v>151</v>
      </c>
      <c r="O54" t="s">
        <v>812</v>
      </c>
      <c r="P54" t="s">
        <v>153</v>
      </c>
      <c r="Q54">
        <v>308.45600000000002</v>
      </c>
      <c r="R54" t="s">
        <v>2644</v>
      </c>
      <c r="S54">
        <v>308.45600000000002</v>
      </c>
      <c r="T54" t="s">
        <v>155</v>
      </c>
      <c r="U54" t="s">
        <v>246</v>
      </c>
      <c r="V54">
        <v>2023</v>
      </c>
      <c r="W54" t="s">
        <v>2765</v>
      </c>
      <c r="X54" t="s">
        <v>2766</v>
      </c>
    </row>
    <row r="55" spans="1:25" x14ac:dyDescent="0.45">
      <c r="A55" t="s">
        <v>142</v>
      </c>
      <c r="B55" t="s">
        <v>143</v>
      </c>
      <c r="C55" t="s">
        <v>144</v>
      </c>
      <c r="D55" t="s">
        <v>142</v>
      </c>
      <c r="E55" t="s">
        <v>143</v>
      </c>
      <c r="F55" t="s">
        <v>166</v>
      </c>
      <c r="G55" t="s">
        <v>160</v>
      </c>
      <c r="H55" t="s">
        <v>161</v>
      </c>
      <c r="I55" t="s">
        <v>218</v>
      </c>
      <c r="J55" t="s">
        <v>333</v>
      </c>
      <c r="K55" t="s">
        <v>2767</v>
      </c>
      <c r="L55" t="s">
        <v>149</v>
      </c>
      <c r="M55" t="s">
        <v>262</v>
      </c>
      <c r="N55" t="s">
        <v>151</v>
      </c>
      <c r="O55" t="s">
        <v>812</v>
      </c>
      <c r="P55" t="s">
        <v>153</v>
      </c>
      <c r="Q55">
        <v>313.43400000000003</v>
      </c>
      <c r="R55" t="s">
        <v>2644</v>
      </c>
      <c r="S55">
        <v>313.43400000000003</v>
      </c>
      <c r="T55" t="s">
        <v>155</v>
      </c>
      <c r="U55" t="s">
        <v>246</v>
      </c>
      <c r="V55">
        <v>2023</v>
      </c>
      <c r="W55" t="s">
        <v>2768</v>
      </c>
      <c r="X55" t="s">
        <v>2769</v>
      </c>
    </row>
    <row r="56" spans="1:25" x14ac:dyDescent="0.45">
      <c r="A56" t="s">
        <v>142</v>
      </c>
      <c r="B56" t="s">
        <v>143</v>
      </c>
      <c r="C56" t="s">
        <v>189</v>
      </c>
      <c r="D56" t="s">
        <v>142</v>
      </c>
      <c r="E56" t="s">
        <v>143</v>
      </c>
      <c r="F56" t="s">
        <v>166</v>
      </c>
      <c r="G56" t="s">
        <v>167</v>
      </c>
      <c r="H56" t="s">
        <v>274</v>
      </c>
      <c r="I56" t="s">
        <v>812</v>
      </c>
      <c r="J56" t="s">
        <v>2770</v>
      </c>
      <c r="K56" t="s">
        <v>2770</v>
      </c>
      <c r="L56" t="s">
        <v>812</v>
      </c>
      <c r="M56" t="s">
        <v>1336</v>
      </c>
      <c r="N56" t="s">
        <v>170</v>
      </c>
      <c r="O56">
        <v>1</v>
      </c>
      <c r="P56" t="s">
        <v>153</v>
      </c>
      <c r="Q56">
        <v>70.5</v>
      </c>
      <c r="R56" t="s">
        <v>2644</v>
      </c>
      <c r="S56">
        <v>70.5</v>
      </c>
      <c r="T56" t="s">
        <v>155</v>
      </c>
      <c r="U56" t="s">
        <v>246</v>
      </c>
      <c r="V56">
        <v>2023</v>
      </c>
      <c r="W56" t="s">
        <v>2771</v>
      </c>
      <c r="Y56" t="s">
        <v>2772</v>
      </c>
    </row>
    <row r="57" spans="1:25" x14ac:dyDescent="0.45">
      <c r="A57" t="s">
        <v>265</v>
      </c>
      <c r="B57" t="s">
        <v>406</v>
      </c>
      <c r="C57" t="s">
        <v>144</v>
      </c>
      <c r="D57" t="s">
        <v>157</v>
      </c>
      <c r="E57" t="s">
        <v>287</v>
      </c>
      <c r="F57" t="s">
        <v>145</v>
      </c>
      <c r="G57" t="s">
        <v>146</v>
      </c>
      <c r="H57" t="s">
        <v>147</v>
      </c>
      <c r="I57" t="s">
        <v>148</v>
      </c>
      <c r="J57" t="s">
        <v>2773</v>
      </c>
      <c r="K57" t="s">
        <v>2773</v>
      </c>
      <c r="L57" t="s">
        <v>149</v>
      </c>
      <c r="M57" t="s">
        <v>2222</v>
      </c>
      <c r="N57" t="s">
        <v>170</v>
      </c>
      <c r="O57">
        <v>1</v>
      </c>
      <c r="P57" t="s">
        <v>153</v>
      </c>
      <c r="Q57">
        <v>110</v>
      </c>
      <c r="R57" t="s">
        <v>2774</v>
      </c>
      <c r="S57">
        <v>73.906000000000006</v>
      </c>
      <c r="T57" t="s">
        <v>155</v>
      </c>
      <c r="U57" t="s">
        <v>246</v>
      </c>
      <c r="V57">
        <v>2023</v>
      </c>
      <c r="W57" t="s">
        <v>2775</v>
      </c>
      <c r="Y57" t="s">
        <v>2776</v>
      </c>
    </row>
    <row r="58" spans="1:25" x14ac:dyDescent="0.45">
      <c r="A58" t="s">
        <v>157</v>
      </c>
      <c r="B58" t="s">
        <v>460</v>
      </c>
      <c r="C58" t="s">
        <v>159</v>
      </c>
      <c r="D58" t="s">
        <v>157</v>
      </c>
      <c r="E58" t="s">
        <v>460</v>
      </c>
      <c r="F58" t="s">
        <v>166</v>
      </c>
      <c r="G58" t="s">
        <v>182</v>
      </c>
      <c r="H58" t="s">
        <v>200</v>
      </c>
      <c r="I58" t="s">
        <v>305</v>
      </c>
      <c r="J58" t="s">
        <v>2777</v>
      </c>
      <c r="K58" t="s">
        <v>2777</v>
      </c>
      <c r="L58" t="s">
        <v>812</v>
      </c>
      <c r="M58" t="s">
        <v>466</v>
      </c>
      <c r="N58" t="s">
        <v>151</v>
      </c>
      <c r="O58" t="s">
        <v>812</v>
      </c>
      <c r="P58" t="s">
        <v>153</v>
      </c>
      <c r="Q58">
        <v>32</v>
      </c>
      <c r="R58" t="s">
        <v>2695</v>
      </c>
      <c r="S58">
        <v>39.807000000000002</v>
      </c>
      <c r="T58" t="s">
        <v>155</v>
      </c>
      <c r="U58" t="s">
        <v>246</v>
      </c>
      <c r="V58">
        <v>2023</v>
      </c>
      <c r="W58" t="s">
        <v>2778</v>
      </c>
      <c r="Y58" t="s">
        <v>2779</v>
      </c>
    </row>
    <row r="59" spans="1:25" x14ac:dyDescent="0.45">
      <c r="A59" t="s">
        <v>157</v>
      </c>
      <c r="B59" t="s">
        <v>477</v>
      </c>
      <c r="C59" t="s">
        <v>189</v>
      </c>
      <c r="D59" t="s">
        <v>157</v>
      </c>
      <c r="E59" t="s">
        <v>477</v>
      </c>
      <c r="F59" t="s">
        <v>166</v>
      </c>
      <c r="G59" t="s">
        <v>190</v>
      </c>
      <c r="H59" t="s">
        <v>238</v>
      </c>
      <c r="I59" t="s">
        <v>859</v>
      </c>
      <c r="J59" t="s">
        <v>2780</v>
      </c>
      <c r="K59" t="s">
        <v>2780</v>
      </c>
      <c r="L59" t="s">
        <v>149</v>
      </c>
      <c r="M59" t="s">
        <v>2035</v>
      </c>
      <c r="N59" t="s">
        <v>194</v>
      </c>
      <c r="O59">
        <v>143</v>
      </c>
      <c r="P59" t="s">
        <v>153</v>
      </c>
      <c r="Q59">
        <v>770</v>
      </c>
      <c r="R59" t="s">
        <v>2781</v>
      </c>
      <c r="S59">
        <v>841.495</v>
      </c>
      <c r="T59" t="s">
        <v>155</v>
      </c>
      <c r="U59" t="s">
        <v>246</v>
      </c>
      <c r="V59">
        <v>2023</v>
      </c>
      <c r="W59" t="s">
        <v>2782</v>
      </c>
      <c r="X59" t="s">
        <v>2783</v>
      </c>
      <c r="Y59" t="s">
        <v>2784</v>
      </c>
    </row>
    <row r="60" spans="1:25" x14ac:dyDescent="0.45">
      <c r="A60" t="s">
        <v>142</v>
      </c>
      <c r="B60" t="s">
        <v>143</v>
      </c>
      <c r="C60" t="s">
        <v>144</v>
      </c>
      <c r="D60" t="s">
        <v>142</v>
      </c>
      <c r="E60" t="s">
        <v>143</v>
      </c>
      <c r="F60" t="s">
        <v>166</v>
      </c>
      <c r="G60" t="s">
        <v>167</v>
      </c>
      <c r="H60" t="s">
        <v>403</v>
      </c>
      <c r="J60" t="s">
        <v>2785</v>
      </c>
      <c r="K60" t="s">
        <v>2785</v>
      </c>
      <c r="L60" t="s">
        <v>812</v>
      </c>
      <c r="M60" t="s">
        <v>203</v>
      </c>
      <c r="N60" t="s">
        <v>151</v>
      </c>
      <c r="O60" t="s">
        <v>812</v>
      </c>
      <c r="P60" t="s">
        <v>153</v>
      </c>
      <c r="Q60">
        <v>64.087999999999994</v>
      </c>
      <c r="R60" t="s">
        <v>2644</v>
      </c>
      <c r="S60">
        <v>64.087999999999994</v>
      </c>
      <c r="T60" t="s">
        <v>155</v>
      </c>
      <c r="U60" t="s">
        <v>246</v>
      </c>
      <c r="V60">
        <v>2023</v>
      </c>
      <c r="W60" t="s">
        <v>2786</v>
      </c>
    </row>
    <row r="61" spans="1:25" x14ac:dyDescent="0.45">
      <c r="A61" t="s">
        <v>157</v>
      </c>
      <c r="B61" t="s">
        <v>932</v>
      </c>
      <c r="C61" t="s">
        <v>189</v>
      </c>
      <c r="D61" t="s">
        <v>157</v>
      </c>
      <c r="E61" t="s">
        <v>788</v>
      </c>
      <c r="F61" t="s">
        <v>145</v>
      </c>
      <c r="G61" t="s">
        <v>190</v>
      </c>
      <c r="H61" t="s">
        <v>238</v>
      </c>
      <c r="I61" t="s">
        <v>861</v>
      </c>
      <c r="J61" t="s">
        <v>2787</v>
      </c>
      <c r="K61" t="s">
        <v>2787</v>
      </c>
      <c r="L61" t="s">
        <v>149</v>
      </c>
      <c r="M61" t="s">
        <v>1993</v>
      </c>
      <c r="N61" t="s">
        <v>170</v>
      </c>
      <c r="O61">
        <v>20</v>
      </c>
      <c r="P61" t="s">
        <v>153</v>
      </c>
      <c r="Q61">
        <v>220</v>
      </c>
      <c r="R61" t="s">
        <v>2788</v>
      </c>
      <c r="S61">
        <v>21.332999999999998</v>
      </c>
      <c r="T61" t="s">
        <v>155</v>
      </c>
      <c r="U61" t="s">
        <v>246</v>
      </c>
      <c r="V61">
        <v>2023</v>
      </c>
      <c r="W61" t="s">
        <v>2789</v>
      </c>
      <c r="X61" t="s">
        <v>2790</v>
      </c>
      <c r="Y61" t="s">
        <v>2791</v>
      </c>
    </row>
    <row r="62" spans="1:25" x14ac:dyDescent="0.45">
      <c r="A62" t="s">
        <v>157</v>
      </c>
      <c r="B62" t="s">
        <v>931</v>
      </c>
      <c r="C62" t="s">
        <v>159</v>
      </c>
      <c r="D62" t="s">
        <v>142</v>
      </c>
      <c r="E62" t="s">
        <v>143</v>
      </c>
      <c r="F62" t="s">
        <v>145</v>
      </c>
      <c r="G62" t="s">
        <v>160</v>
      </c>
      <c r="H62" t="s">
        <v>161</v>
      </c>
      <c r="I62" t="s">
        <v>267</v>
      </c>
      <c r="J62" t="s">
        <v>2792</v>
      </c>
      <c r="K62" t="s">
        <v>2793</v>
      </c>
      <c r="L62" t="s">
        <v>149</v>
      </c>
      <c r="M62" t="s">
        <v>1089</v>
      </c>
      <c r="N62" t="s">
        <v>170</v>
      </c>
      <c r="O62">
        <v>4</v>
      </c>
      <c r="P62" t="s">
        <v>204</v>
      </c>
      <c r="Q62">
        <v>26</v>
      </c>
      <c r="R62" t="s">
        <v>2644</v>
      </c>
      <c r="S62">
        <v>26</v>
      </c>
      <c r="T62" t="s">
        <v>155</v>
      </c>
      <c r="U62" t="s">
        <v>246</v>
      </c>
      <c r="V62">
        <v>2023</v>
      </c>
      <c r="W62" t="s">
        <v>2794</v>
      </c>
      <c r="X62" t="s">
        <v>2795</v>
      </c>
      <c r="Y62" t="s">
        <v>2796</v>
      </c>
    </row>
    <row r="63" spans="1:25" x14ac:dyDescent="0.45">
      <c r="A63" t="s">
        <v>142</v>
      </c>
      <c r="B63" t="s">
        <v>143</v>
      </c>
      <c r="C63" t="s">
        <v>144</v>
      </c>
      <c r="D63" t="s">
        <v>142</v>
      </c>
      <c r="E63" t="s">
        <v>143</v>
      </c>
      <c r="F63" t="s">
        <v>166</v>
      </c>
      <c r="G63" t="s">
        <v>182</v>
      </c>
      <c r="H63" t="s">
        <v>235</v>
      </c>
      <c r="I63" t="s">
        <v>363</v>
      </c>
      <c r="J63" t="s">
        <v>2797</v>
      </c>
      <c r="K63" t="s">
        <v>2797</v>
      </c>
      <c r="L63" t="s">
        <v>812</v>
      </c>
      <c r="M63" t="s">
        <v>2334</v>
      </c>
      <c r="N63" t="s">
        <v>170</v>
      </c>
      <c r="O63" t="s">
        <v>812</v>
      </c>
      <c r="P63" t="s">
        <v>153</v>
      </c>
      <c r="Q63">
        <v>55.014000000000003</v>
      </c>
      <c r="R63" t="s">
        <v>2644</v>
      </c>
      <c r="S63">
        <v>55.014000000000003</v>
      </c>
      <c r="T63" t="s">
        <v>155</v>
      </c>
      <c r="U63" t="s">
        <v>246</v>
      </c>
      <c r="V63">
        <v>2023</v>
      </c>
      <c r="W63" t="s">
        <v>2798</v>
      </c>
      <c r="X63" t="s">
        <v>2799</v>
      </c>
    </row>
    <row r="64" spans="1:25" x14ac:dyDescent="0.45">
      <c r="A64" t="s">
        <v>142</v>
      </c>
      <c r="B64" t="s">
        <v>143</v>
      </c>
      <c r="C64" t="s">
        <v>144</v>
      </c>
      <c r="D64" t="s">
        <v>142</v>
      </c>
      <c r="E64" t="s">
        <v>143</v>
      </c>
      <c r="F64" t="s">
        <v>166</v>
      </c>
      <c r="G64" t="s">
        <v>167</v>
      </c>
      <c r="H64" t="s">
        <v>274</v>
      </c>
      <c r="I64" t="s">
        <v>812</v>
      </c>
      <c r="J64" t="s">
        <v>2800</v>
      </c>
      <c r="K64" t="s">
        <v>2800</v>
      </c>
      <c r="L64" t="s">
        <v>812</v>
      </c>
      <c r="M64" t="s">
        <v>642</v>
      </c>
      <c r="N64" t="s">
        <v>170</v>
      </c>
      <c r="O64" t="s">
        <v>812</v>
      </c>
      <c r="P64" t="s">
        <v>153</v>
      </c>
      <c r="Q64">
        <v>60.295000000000002</v>
      </c>
      <c r="R64" t="s">
        <v>2644</v>
      </c>
      <c r="S64">
        <v>60.295000000000002</v>
      </c>
      <c r="T64" t="s">
        <v>155</v>
      </c>
      <c r="U64" t="s">
        <v>246</v>
      </c>
      <c r="V64">
        <v>2023</v>
      </c>
      <c r="W64" t="s">
        <v>2801</v>
      </c>
      <c r="X64" t="s">
        <v>2802</v>
      </c>
    </row>
    <row r="65" spans="1:25" x14ac:dyDescent="0.45">
      <c r="A65" t="s">
        <v>142</v>
      </c>
      <c r="B65" t="s">
        <v>143</v>
      </c>
      <c r="C65" t="s">
        <v>144</v>
      </c>
      <c r="D65" t="s">
        <v>142</v>
      </c>
      <c r="E65" t="s">
        <v>143</v>
      </c>
      <c r="F65" t="s">
        <v>166</v>
      </c>
      <c r="G65" t="s">
        <v>182</v>
      </c>
      <c r="H65" t="s">
        <v>278</v>
      </c>
      <c r="I65" t="s">
        <v>279</v>
      </c>
      <c r="J65" t="s">
        <v>656</v>
      </c>
      <c r="K65" t="s">
        <v>657</v>
      </c>
      <c r="L65" t="s">
        <v>812</v>
      </c>
      <c r="M65" t="s">
        <v>210</v>
      </c>
      <c r="N65" t="s">
        <v>170</v>
      </c>
      <c r="O65" t="s">
        <v>152</v>
      </c>
      <c r="P65" t="s">
        <v>153</v>
      </c>
      <c r="Q65">
        <v>63.271000000000001</v>
      </c>
      <c r="R65" t="s">
        <v>2644</v>
      </c>
      <c r="S65">
        <v>63.271000000000001</v>
      </c>
      <c r="T65" t="s">
        <v>155</v>
      </c>
      <c r="U65" t="s">
        <v>246</v>
      </c>
      <c r="V65">
        <v>2023</v>
      </c>
      <c r="W65" t="s">
        <v>2803</v>
      </c>
      <c r="X65" t="s">
        <v>2804</v>
      </c>
    </row>
    <row r="66" spans="1:25" x14ac:dyDescent="0.45">
      <c r="A66" t="s">
        <v>142</v>
      </c>
      <c r="B66" t="s">
        <v>143</v>
      </c>
      <c r="C66" t="s">
        <v>189</v>
      </c>
      <c r="D66" t="s">
        <v>142</v>
      </c>
      <c r="E66" t="s">
        <v>143</v>
      </c>
      <c r="F66" t="s">
        <v>166</v>
      </c>
      <c r="G66" t="s">
        <v>167</v>
      </c>
      <c r="H66" t="s">
        <v>207</v>
      </c>
      <c r="I66" t="s">
        <v>812</v>
      </c>
      <c r="J66" t="s">
        <v>2805</v>
      </c>
      <c r="K66" t="s">
        <v>2805</v>
      </c>
      <c r="L66" t="s">
        <v>812</v>
      </c>
      <c r="M66" t="s">
        <v>442</v>
      </c>
      <c r="N66" t="s">
        <v>170</v>
      </c>
      <c r="O66">
        <v>1</v>
      </c>
      <c r="P66" t="s">
        <v>153</v>
      </c>
      <c r="Q66">
        <v>59.566000000000003</v>
      </c>
      <c r="R66" t="s">
        <v>2644</v>
      </c>
      <c r="S66">
        <v>59.566000000000003</v>
      </c>
      <c r="T66" t="s">
        <v>155</v>
      </c>
      <c r="U66" t="s">
        <v>246</v>
      </c>
      <c r="V66">
        <v>2023</v>
      </c>
      <c r="W66" t="s">
        <v>2806</v>
      </c>
      <c r="X66" t="s">
        <v>2807</v>
      </c>
    </row>
    <row r="67" spans="1:25" x14ac:dyDescent="0.45">
      <c r="A67" t="s">
        <v>142</v>
      </c>
      <c r="B67" t="s">
        <v>143</v>
      </c>
      <c r="C67" t="s">
        <v>189</v>
      </c>
      <c r="D67" t="s">
        <v>142</v>
      </c>
      <c r="E67" t="s">
        <v>143</v>
      </c>
      <c r="F67" t="s">
        <v>166</v>
      </c>
      <c r="G67" t="s">
        <v>167</v>
      </c>
      <c r="H67" t="s">
        <v>207</v>
      </c>
      <c r="I67" t="s">
        <v>812</v>
      </c>
      <c r="J67" t="s">
        <v>2808</v>
      </c>
      <c r="K67" t="s">
        <v>2808</v>
      </c>
      <c r="L67" t="s">
        <v>812</v>
      </c>
      <c r="M67" t="s">
        <v>1084</v>
      </c>
      <c r="N67" t="s">
        <v>151</v>
      </c>
      <c r="O67" t="s">
        <v>812</v>
      </c>
      <c r="P67" t="s">
        <v>153</v>
      </c>
      <c r="Q67">
        <v>100</v>
      </c>
      <c r="R67" t="s">
        <v>2644</v>
      </c>
      <c r="S67">
        <v>100</v>
      </c>
      <c r="T67" t="s">
        <v>155</v>
      </c>
      <c r="U67" t="s">
        <v>246</v>
      </c>
      <c r="V67">
        <v>2023</v>
      </c>
      <c r="W67" t="s">
        <v>2809</v>
      </c>
      <c r="X67" t="s">
        <v>2810</v>
      </c>
    </row>
    <row r="68" spans="1:25" x14ac:dyDescent="0.45">
      <c r="A68" t="s">
        <v>142</v>
      </c>
      <c r="B68" t="s">
        <v>143</v>
      </c>
      <c r="C68" t="s">
        <v>189</v>
      </c>
      <c r="D68" t="s">
        <v>142</v>
      </c>
      <c r="E68" t="s">
        <v>143</v>
      </c>
      <c r="F68" t="s">
        <v>166</v>
      </c>
      <c r="G68" t="s">
        <v>167</v>
      </c>
      <c r="H68" t="s">
        <v>207</v>
      </c>
      <c r="I68" t="s">
        <v>812</v>
      </c>
      <c r="J68" t="s">
        <v>2811</v>
      </c>
      <c r="K68" t="s">
        <v>2811</v>
      </c>
      <c r="L68" t="s">
        <v>812</v>
      </c>
      <c r="M68" t="s">
        <v>1812</v>
      </c>
      <c r="N68" t="s">
        <v>170</v>
      </c>
      <c r="O68" t="s">
        <v>812</v>
      </c>
      <c r="P68" t="s">
        <v>153</v>
      </c>
      <c r="Q68">
        <v>108.863</v>
      </c>
      <c r="R68" t="s">
        <v>2644</v>
      </c>
      <c r="S68">
        <v>108.863</v>
      </c>
      <c r="T68" t="s">
        <v>155</v>
      </c>
      <c r="U68" t="s">
        <v>246</v>
      </c>
      <c r="V68">
        <v>2023</v>
      </c>
      <c r="W68" t="s">
        <v>2812</v>
      </c>
      <c r="X68" t="s">
        <v>2813</v>
      </c>
    </row>
    <row r="69" spans="1:25" x14ac:dyDescent="0.45">
      <c r="A69" t="s">
        <v>142</v>
      </c>
      <c r="B69" t="s">
        <v>143</v>
      </c>
      <c r="C69" t="s">
        <v>189</v>
      </c>
      <c r="D69" t="s">
        <v>142</v>
      </c>
      <c r="E69" t="s">
        <v>143</v>
      </c>
      <c r="F69" t="s">
        <v>166</v>
      </c>
      <c r="G69" t="s">
        <v>176</v>
      </c>
      <c r="H69" t="s">
        <v>17</v>
      </c>
      <c r="I69" t="s">
        <v>237</v>
      </c>
      <c r="J69" t="s">
        <v>812</v>
      </c>
      <c r="K69" t="s">
        <v>812</v>
      </c>
      <c r="L69" t="s">
        <v>812</v>
      </c>
      <c r="M69" t="s">
        <v>1567</v>
      </c>
      <c r="N69" t="s">
        <v>170</v>
      </c>
      <c r="O69" t="s">
        <v>152</v>
      </c>
      <c r="P69" t="s">
        <v>153</v>
      </c>
      <c r="Q69">
        <v>431.00700000000001</v>
      </c>
      <c r="R69" t="s">
        <v>2644</v>
      </c>
      <c r="S69">
        <v>431.00700000000001</v>
      </c>
      <c r="T69" t="s">
        <v>155</v>
      </c>
      <c r="U69" t="s">
        <v>246</v>
      </c>
      <c r="V69">
        <v>2023</v>
      </c>
      <c r="W69" t="s">
        <v>2814</v>
      </c>
    </row>
    <row r="70" spans="1:25" x14ac:dyDescent="0.45">
      <c r="A70" t="s">
        <v>157</v>
      </c>
      <c r="B70" t="s">
        <v>460</v>
      </c>
      <c r="C70" t="s">
        <v>159</v>
      </c>
      <c r="D70" t="s">
        <v>157</v>
      </c>
      <c r="E70" t="s">
        <v>460</v>
      </c>
      <c r="F70" t="s">
        <v>166</v>
      </c>
      <c r="G70" t="s">
        <v>160</v>
      </c>
      <c r="H70" t="s">
        <v>161</v>
      </c>
      <c r="I70" t="s">
        <v>218</v>
      </c>
      <c r="J70" t="s">
        <v>2815</v>
      </c>
      <c r="K70" t="s">
        <v>2815</v>
      </c>
      <c r="L70" t="s">
        <v>149</v>
      </c>
      <c r="M70" t="s">
        <v>196</v>
      </c>
      <c r="N70" t="s">
        <v>2617</v>
      </c>
      <c r="O70" t="s">
        <v>812</v>
      </c>
      <c r="P70" t="s">
        <v>153</v>
      </c>
      <c r="Q70">
        <v>656</v>
      </c>
      <c r="R70" t="s">
        <v>2695</v>
      </c>
      <c r="S70">
        <v>820.91300000000001</v>
      </c>
      <c r="T70" t="s">
        <v>155</v>
      </c>
      <c r="U70" t="s">
        <v>246</v>
      </c>
      <c r="V70">
        <v>2023</v>
      </c>
      <c r="W70" t="s">
        <v>2816</v>
      </c>
      <c r="Y70" t="s">
        <v>2817</v>
      </c>
    </row>
    <row r="71" spans="1:25" x14ac:dyDescent="0.45">
      <c r="A71" t="s">
        <v>142</v>
      </c>
      <c r="B71" t="s">
        <v>143</v>
      </c>
      <c r="C71" t="s">
        <v>189</v>
      </c>
      <c r="D71" t="s">
        <v>142</v>
      </c>
      <c r="E71" t="s">
        <v>143</v>
      </c>
      <c r="F71" t="s">
        <v>166</v>
      </c>
      <c r="G71" t="s">
        <v>176</v>
      </c>
      <c r="H71" t="s">
        <v>844</v>
      </c>
      <c r="I71" t="s">
        <v>913</v>
      </c>
      <c r="J71" t="s">
        <v>2818</v>
      </c>
      <c r="K71" t="s">
        <v>2818</v>
      </c>
      <c r="L71" t="s">
        <v>812</v>
      </c>
      <c r="M71" t="s">
        <v>1249</v>
      </c>
      <c r="N71" t="s">
        <v>2617</v>
      </c>
      <c r="O71" t="s">
        <v>812</v>
      </c>
      <c r="P71" t="s">
        <v>153</v>
      </c>
      <c r="Q71">
        <v>75.7</v>
      </c>
      <c r="R71" t="s">
        <v>2644</v>
      </c>
      <c r="S71">
        <v>75.7</v>
      </c>
      <c r="T71" t="s">
        <v>155</v>
      </c>
      <c r="U71" t="s">
        <v>246</v>
      </c>
      <c r="V71">
        <v>2023</v>
      </c>
      <c r="W71" t="s">
        <v>2819</v>
      </c>
      <c r="Y71" t="s">
        <v>2820</v>
      </c>
    </row>
    <row r="72" spans="1:25" x14ac:dyDescent="0.45">
      <c r="A72" t="s">
        <v>157</v>
      </c>
      <c r="B72" t="s">
        <v>460</v>
      </c>
      <c r="C72" t="s">
        <v>165</v>
      </c>
      <c r="D72" t="s">
        <v>157</v>
      </c>
      <c r="E72" t="s">
        <v>460</v>
      </c>
      <c r="F72" t="s">
        <v>166</v>
      </c>
      <c r="G72" t="s">
        <v>167</v>
      </c>
      <c r="H72" t="s">
        <v>274</v>
      </c>
      <c r="I72" t="s">
        <v>812</v>
      </c>
      <c r="J72" t="s">
        <v>812</v>
      </c>
      <c r="K72" t="s">
        <v>812</v>
      </c>
      <c r="L72" t="s">
        <v>812</v>
      </c>
      <c r="M72" t="s">
        <v>1869</v>
      </c>
      <c r="N72" t="s">
        <v>151</v>
      </c>
      <c r="O72" t="s">
        <v>812</v>
      </c>
      <c r="P72" t="s">
        <v>153</v>
      </c>
      <c r="Q72">
        <v>256</v>
      </c>
      <c r="R72" t="s">
        <v>2695</v>
      </c>
      <c r="S72">
        <v>320.18</v>
      </c>
      <c r="T72" t="s">
        <v>155</v>
      </c>
      <c r="U72" t="s">
        <v>246</v>
      </c>
      <c r="V72">
        <v>2023</v>
      </c>
      <c r="W72" t="s">
        <v>2821</v>
      </c>
      <c r="X72" t="s">
        <v>2822</v>
      </c>
      <c r="Y72" t="s">
        <v>2823</v>
      </c>
    </row>
    <row r="73" spans="1:25" x14ac:dyDescent="0.45">
      <c r="A73" t="s">
        <v>142</v>
      </c>
      <c r="B73" t="s">
        <v>143</v>
      </c>
      <c r="C73" t="s">
        <v>144</v>
      </c>
      <c r="D73" t="s">
        <v>142</v>
      </c>
      <c r="E73" t="s">
        <v>143</v>
      </c>
      <c r="F73" t="s">
        <v>166</v>
      </c>
      <c r="G73" t="s">
        <v>160</v>
      </c>
      <c r="H73" t="s">
        <v>161</v>
      </c>
      <c r="I73" t="s">
        <v>162</v>
      </c>
      <c r="J73" t="s">
        <v>163</v>
      </c>
      <c r="K73" t="s">
        <v>2824</v>
      </c>
      <c r="L73" t="s">
        <v>149</v>
      </c>
      <c r="M73" t="s">
        <v>210</v>
      </c>
      <c r="N73" t="s">
        <v>151</v>
      </c>
      <c r="O73" t="s">
        <v>812</v>
      </c>
      <c r="P73" t="s">
        <v>153</v>
      </c>
      <c r="Q73">
        <v>62.223999999999997</v>
      </c>
      <c r="R73" t="s">
        <v>2644</v>
      </c>
      <c r="S73">
        <v>62.223999999999997</v>
      </c>
      <c r="T73" t="s">
        <v>155</v>
      </c>
      <c r="U73" t="s">
        <v>246</v>
      </c>
      <c r="V73">
        <v>2023</v>
      </c>
      <c r="W73" t="s">
        <v>2825</v>
      </c>
    </row>
    <row r="74" spans="1:25" x14ac:dyDescent="0.45">
      <c r="A74" t="s">
        <v>142</v>
      </c>
      <c r="B74" t="s">
        <v>143</v>
      </c>
      <c r="C74" t="s">
        <v>144</v>
      </c>
      <c r="D74" t="s">
        <v>142</v>
      </c>
      <c r="E74" t="s">
        <v>143</v>
      </c>
      <c r="F74" t="s">
        <v>166</v>
      </c>
      <c r="G74" t="s">
        <v>160</v>
      </c>
      <c r="H74" t="s">
        <v>161</v>
      </c>
      <c r="I74" t="s">
        <v>218</v>
      </c>
      <c r="J74" t="s">
        <v>348</v>
      </c>
      <c r="K74" t="s">
        <v>2826</v>
      </c>
      <c r="L74" t="s">
        <v>149</v>
      </c>
      <c r="M74" t="s">
        <v>210</v>
      </c>
      <c r="N74" t="s">
        <v>151</v>
      </c>
      <c r="O74" t="s">
        <v>812</v>
      </c>
      <c r="P74" t="s">
        <v>153</v>
      </c>
      <c r="Q74">
        <v>172.1</v>
      </c>
      <c r="R74" t="s">
        <v>2644</v>
      </c>
      <c r="S74">
        <v>17.100000000000001</v>
      </c>
      <c r="T74" t="s">
        <v>155</v>
      </c>
      <c r="U74" t="s">
        <v>246</v>
      </c>
      <c r="V74">
        <v>2023</v>
      </c>
      <c r="W74" t="s">
        <v>2827</v>
      </c>
    </row>
    <row r="75" spans="1:25" ht="346.5" x14ac:dyDescent="0.45">
      <c r="A75" t="s">
        <v>142</v>
      </c>
      <c r="B75" t="s">
        <v>143</v>
      </c>
      <c r="C75" t="s">
        <v>189</v>
      </c>
      <c r="D75" t="s">
        <v>157</v>
      </c>
      <c r="E75" t="s">
        <v>287</v>
      </c>
      <c r="F75" t="s">
        <v>145</v>
      </c>
      <c r="G75" t="s">
        <v>160</v>
      </c>
      <c r="H75" t="s">
        <v>221</v>
      </c>
      <c r="I75" t="s">
        <v>1025</v>
      </c>
      <c r="J75" t="s">
        <v>2828</v>
      </c>
      <c r="K75" t="s">
        <v>2828</v>
      </c>
      <c r="L75" t="s">
        <v>179</v>
      </c>
      <c r="M75" t="s">
        <v>614</v>
      </c>
      <c r="N75" t="s">
        <v>170</v>
      </c>
      <c r="O75" t="s">
        <v>152</v>
      </c>
      <c r="P75" t="s">
        <v>153</v>
      </c>
      <c r="Q75">
        <v>93.888999999999996</v>
      </c>
      <c r="R75" t="s">
        <v>2644</v>
      </c>
      <c r="S75">
        <v>93.888999999999996</v>
      </c>
      <c r="T75" t="s">
        <v>155</v>
      </c>
      <c r="U75" t="s">
        <v>246</v>
      </c>
      <c r="V75">
        <v>2023</v>
      </c>
      <c r="W75" s="93" t="s">
        <v>2829</v>
      </c>
      <c r="X75" t="s">
        <v>2830</v>
      </c>
    </row>
    <row r="76" spans="1:25" x14ac:dyDescent="0.45">
      <c r="A76" t="s">
        <v>142</v>
      </c>
      <c r="B76" t="s">
        <v>143</v>
      </c>
      <c r="C76" t="s">
        <v>189</v>
      </c>
      <c r="D76" t="s">
        <v>142</v>
      </c>
      <c r="E76" t="s">
        <v>143</v>
      </c>
      <c r="F76" t="s">
        <v>166</v>
      </c>
      <c r="G76" t="s">
        <v>206</v>
      </c>
      <c r="H76" t="s">
        <v>270</v>
      </c>
      <c r="I76" t="s">
        <v>812</v>
      </c>
      <c r="J76" t="s">
        <v>2831</v>
      </c>
      <c r="K76" t="s">
        <v>2831</v>
      </c>
      <c r="L76" t="s">
        <v>812</v>
      </c>
      <c r="M76" t="s">
        <v>306</v>
      </c>
      <c r="N76" t="s">
        <v>3</v>
      </c>
      <c r="O76" t="s">
        <v>812</v>
      </c>
      <c r="P76" t="s">
        <v>153</v>
      </c>
      <c r="Q76">
        <v>500</v>
      </c>
      <c r="R76" t="s">
        <v>2644</v>
      </c>
      <c r="S76">
        <v>500</v>
      </c>
      <c r="T76" t="s">
        <v>155</v>
      </c>
      <c r="U76" t="s">
        <v>246</v>
      </c>
      <c r="V76">
        <v>2023</v>
      </c>
      <c r="W76" t="s">
        <v>2832</v>
      </c>
    </row>
    <row r="77" spans="1:25" x14ac:dyDescent="0.45">
      <c r="A77" t="s">
        <v>157</v>
      </c>
      <c r="B77" t="s">
        <v>933</v>
      </c>
      <c r="C77" t="s">
        <v>189</v>
      </c>
      <c r="D77" t="s">
        <v>157</v>
      </c>
      <c r="E77" t="s">
        <v>933</v>
      </c>
      <c r="F77" t="s">
        <v>166</v>
      </c>
      <c r="G77" t="s">
        <v>190</v>
      </c>
      <c r="H77" t="s">
        <v>317</v>
      </c>
      <c r="I77" t="s">
        <v>849</v>
      </c>
      <c r="J77" t="s">
        <v>2833</v>
      </c>
      <c r="K77" t="s">
        <v>2833</v>
      </c>
      <c r="L77" t="s">
        <v>149</v>
      </c>
      <c r="M77" t="s">
        <v>1550</v>
      </c>
      <c r="N77" t="s">
        <v>170</v>
      </c>
      <c r="O77">
        <v>16</v>
      </c>
      <c r="P77" t="s">
        <v>153</v>
      </c>
      <c r="Q77">
        <v>175</v>
      </c>
      <c r="R77" t="s">
        <v>2834</v>
      </c>
      <c r="S77">
        <v>196.887</v>
      </c>
      <c r="T77" t="s">
        <v>155</v>
      </c>
      <c r="U77" t="s">
        <v>246</v>
      </c>
      <c r="V77">
        <v>2023</v>
      </c>
      <c r="W77" t="s">
        <v>2835</v>
      </c>
      <c r="Y77" t="s">
        <v>2836</v>
      </c>
    </row>
    <row r="78" spans="1:25" x14ac:dyDescent="0.45">
      <c r="A78" t="s">
        <v>157</v>
      </c>
      <c r="B78" t="s">
        <v>932</v>
      </c>
      <c r="C78" t="s">
        <v>159</v>
      </c>
      <c r="D78" t="s">
        <v>157</v>
      </c>
      <c r="E78" t="s">
        <v>932</v>
      </c>
      <c r="F78" t="s">
        <v>166</v>
      </c>
      <c r="G78" t="s">
        <v>160</v>
      </c>
      <c r="H78" t="s">
        <v>161</v>
      </c>
      <c r="I78" t="s">
        <v>218</v>
      </c>
      <c r="J78" t="s">
        <v>2837</v>
      </c>
      <c r="K78" t="s">
        <v>2838</v>
      </c>
      <c r="L78" t="s">
        <v>149</v>
      </c>
      <c r="M78" t="s">
        <v>517</v>
      </c>
      <c r="N78" t="s">
        <v>151</v>
      </c>
      <c r="O78" t="s">
        <v>812</v>
      </c>
      <c r="P78" t="s">
        <v>153</v>
      </c>
      <c r="Q78">
        <v>308</v>
      </c>
      <c r="R78" t="s">
        <v>2788</v>
      </c>
      <c r="S78">
        <v>29.823</v>
      </c>
      <c r="T78" t="s">
        <v>155</v>
      </c>
      <c r="U78" t="s">
        <v>246</v>
      </c>
      <c r="V78">
        <v>2023</v>
      </c>
      <c r="W78" t="s">
        <v>2839</v>
      </c>
      <c r="Y78" t="s">
        <v>2840</v>
      </c>
    </row>
    <row r="79" spans="1:25" x14ac:dyDescent="0.45">
      <c r="A79" t="s">
        <v>142</v>
      </c>
      <c r="B79" t="s">
        <v>143</v>
      </c>
      <c r="C79" t="s">
        <v>144</v>
      </c>
      <c r="D79" t="s">
        <v>142</v>
      </c>
      <c r="E79" t="s">
        <v>143</v>
      </c>
      <c r="F79" t="s">
        <v>166</v>
      </c>
      <c r="G79" t="s">
        <v>176</v>
      </c>
      <c r="H79" t="s">
        <v>342</v>
      </c>
      <c r="I79" t="s">
        <v>343</v>
      </c>
      <c r="J79" t="s">
        <v>2841</v>
      </c>
      <c r="K79" t="s">
        <v>2842</v>
      </c>
      <c r="L79" t="s">
        <v>812</v>
      </c>
      <c r="M79" t="s">
        <v>540</v>
      </c>
      <c r="N79" t="s">
        <v>151</v>
      </c>
      <c r="O79" t="s">
        <v>812</v>
      </c>
      <c r="P79" t="s">
        <v>153</v>
      </c>
      <c r="Q79">
        <v>102.5</v>
      </c>
      <c r="R79" t="s">
        <v>2644</v>
      </c>
      <c r="S79">
        <v>102.5</v>
      </c>
      <c r="T79" t="s">
        <v>155</v>
      </c>
      <c r="U79" t="s">
        <v>246</v>
      </c>
      <c r="V79">
        <v>2023</v>
      </c>
      <c r="W79" t="s">
        <v>2843</v>
      </c>
      <c r="X79" t="s">
        <v>2844</v>
      </c>
      <c r="Y79" t="s">
        <v>2845</v>
      </c>
    </row>
    <row r="80" spans="1:25" x14ac:dyDescent="0.45">
      <c r="A80" t="s">
        <v>265</v>
      </c>
      <c r="B80" t="s">
        <v>277</v>
      </c>
      <c r="D80" t="s">
        <v>265</v>
      </c>
      <c r="E80" t="s">
        <v>277</v>
      </c>
      <c r="F80" t="s">
        <v>166</v>
      </c>
      <c r="G80" t="s">
        <v>176</v>
      </c>
      <c r="H80" t="s">
        <v>259</v>
      </c>
      <c r="I80" t="s">
        <v>260</v>
      </c>
      <c r="J80" t="s">
        <v>2629</v>
      </c>
      <c r="K80" t="s">
        <v>2629</v>
      </c>
      <c r="L80" t="s">
        <v>812</v>
      </c>
      <c r="M80" t="s">
        <v>1870</v>
      </c>
      <c r="N80" t="s">
        <v>170</v>
      </c>
      <c r="O80" t="s">
        <v>2630</v>
      </c>
      <c r="P80" t="s">
        <v>153</v>
      </c>
      <c r="Q80">
        <v>119400</v>
      </c>
      <c r="R80" t="s">
        <v>2618</v>
      </c>
      <c r="S80">
        <v>888.99900000000002</v>
      </c>
      <c r="T80" t="s">
        <v>155</v>
      </c>
      <c r="U80" t="s">
        <v>246</v>
      </c>
      <c r="V80">
        <v>2023</v>
      </c>
      <c r="W80" t="s">
        <v>2631</v>
      </c>
      <c r="X80" t="s">
        <v>2632</v>
      </c>
      <c r="Y80" t="s">
        <v>2633</v>
      </c>
    </row>
    <row r="81" spans="1:25" x14ac:dyDescent="0.45">
      <c r="A81" t="s">
        <v>265</v>
      </c>
      <c r="B81" t="s">
        <v>277</v>
      </c>
      <c r="C81" t="s">
        <v>144</v>
      </c>
      <c r="D81" t="s">
        <v>265</v>
      </c>
      <c r="E81" t="s">
        <v>277</v>
      </c>
      <c r="F81" t="s">
        <v>166</v>
      </c>
      <c r="G81" t="s">
        <v>176</v>
      </c>
      <c r="H81" t="s">
        <v>259</v>
      </c>
      <c r="I81" t="s">
        <v>420</v>
      </c>
      <c r="J81" t="s">
        <v>2634</v>
      </c>
      <c r="K81" t="s">
        <v>2634</v>
      </c>
      <c r="L81" t="s">
        <v>812</v>
      </c>
      <c r="M81" t="s">
        <v>1870</v>
      </c>
      <c r="N81" t="s">
        <v>2617</v>
      </c>
      <c r="O81" t="s">
        <v>812</v>
      </c>
      <c r="P81" t="s">
        <v>153</v>
      </c>
      <c r="Q81">
        <v>58400</v>
      </c>
      <c r="R81" t="s">
        <v>2618</v>
      </c>
      <c r="S81">
        <v>434.82</v>
      </c>
      <c r="T81" t="s">
        <v>155</v>
      </c>
      <c r="U81" t="s">
        <v>246</v>
      </c>
      <c r="V81">
        <v>2023</v>
      </c>
      <c r="W81" t="s">
        <v>2635</v>
      </c>
      <c r="X81" t="s">
        <v>2636</v>
      </c>
      <c r="Y81" t="s">
        <v>2633</v>
      </c>
    </row>
    <row r="82" spans="1:25" x14ac:dyDescent="0.45">
      <c r="A82" t="s">
        <v>265</v>
      </c>
      <c r="B82" t="s">
        <v>277</v>
      </c>
      <c r="C82" t="s">
        <v>189</v>
      </c>
      <c r="D82" t="s">
        <v>265</v>
      </c>
      <c r="E82" t="s">
        <v>277</v>
      </c>
      <c r="F82" t="s">
        <v>166</v>
      </c>
      <c r="G82" t="s">
        <v>176</v>
      </c>
      <c r="H82" t="s">
        <v>259</v>
      </c>
      <c r="I82" t="s">
        <v>703</v>
      </c>
      <c r="J82" t="s">
        <v>2637</v>
      </c>
      <c r="K82" t="s">
        <v>2637</v>
      </c>
      <c r="L82" t="s">
        <v>812</v>
      </c>
      <c r="M82" t="s">
        <v>1870</v>
      </c>
      <c r="N82" t="s">
        <v>2617</v>
      </c>
      <c r="O82" t="s">
        <v>812</v>
      </c>
      <c r="P82" t="s">
        <v>153</v>
      </c>
      <c r="Q82">
        <v>26900</v>
      </c>
      <c r="R82" t="s">
        <v>2618</v>
      </c>
      <c r="S82">
        <v>200.285</v>
      </c>
      <c r="T82" t="s">
        <v>155</v>
      </c>
      <c r="U82" t="s">
        <v>246</v>
      </c>
      <c r="V82">
        <v>2023</v>
      </c>
      <c r="W82" t="s">
        <v>2638</v>
      </c>
      <c r="X82" t="s">
        <v>2639</v>
      </c>
      <c r="Y82" t="s">
        <v>2640</v>
      </c>
    </row>
    <row r="83" spans="1:25" x14ac:dyDescent="0.45">
      <c r="A83" t="s">
        <v>265</v>
      </c>
      <c r="B83" t="s">
        <v>277</v>
      </c>
      <c r="C83" t="s">
        <v>189</v>
      </c>
      <c r="D83" t="s">
        <v>265</v>
      </c>
      <c r="E83" t="s">
        <v>277</v>
      </c>
      <c r="F83" t="s">
        <v>166</v>
      </c>
      <c r="G83" t="s">
        <v>176</v>
      </c>
      <c r="H83" t="s">
        <v>259</v>
      </c>
      <c r="I83" t="s">
        <v>703</v>
      </c>
      <c r="J83" t="s">
        <v>2637</v>
      </c>
      <c r="K83" t="s">
        <v>2637</v>
      </c>
      <c r="L83" t="s">
        <v>812</v>
      </c>
      <c r="M83" t="s">
        <v>1870</v>
      </c>
      <c r="N83" t="s">
        <v>170</v>
      </c>
      <c r="O83" t="s">
        <v>152</v>
      </c>
      <c r="P83" t="s">
        <v>153</v>
      </c>
      <c r="Q83">
        <v>173400</v>
      </c>
      <c r="R83" t="s">
        <v>2618</v>
      </c>
      <c r="S83">
        <v>1291.058</v>
      </c>
      <c r="T83" t="s">
        <v>155</v>
      </c>
      <c r="U83" t="s">
        <v>246</v>
      </c>
      <c r="V83">
        <v>2023</v>
      </c>
      <c r="W83" t="s">
        <v>2641</v>
      </c>
      <c r="X83" t="s">
        <v>2642</v>
      </c>
      <c r="Y83" t="s">
        <v>2640</v>
      </c>
    </row>
    <row r="84" spans="1:25" x14ac:dyDescent="0.45">
      <c r="A84" t="s">
        <v>157</v>
      </c>
      <c r="B84" t="s">
        <v>914</v>
      </c>
      <c r="C84" t="s">
        <v>189</v>
      </c>
      <c r="D84" t="s">
        <v>272</v>
      </c>
      <c r="E84" t="s">
        <v>572</v>
      </c>
      <c r="F84" t="s">
        <v>145</v>
      </c>
      <c r="G84" t="s">
        <v>176</v>
      </c>
      <c r="H84" t="s">
        <v>259</v>
      </c>
      <c r="I84" t="s">
        <v>264</v>
      </c>
      <c r="J84" t="s">
        <v>2846</v>
      </c>
      <c r="K84" t="s">
        <v>2846</v>
      </c>
      <c r="L84" t="s">
        <v>812</v>
      </c>
      <c r="M84" t="s">
        <v>2062</v>
      </c>
      <c r="N84" t="s">
        <v>170</v>
      </c>
      <c r="O84" t="s">
        <v>152</v>
      </c>
      <c r="P84" t="s">
        <v>153</v>
      </c>
      <c r="Q84">
        <v>370</v>
      </c>
      <c r="R84" t="s">
        <v>2781</v>
      </c>
      <c r="S84">
        <v>404.37200000000001</v>
      </c>
      <c r="T84" t="s">
        <v>155</v>
      </c>
      <c r="U84" t="s">
        <v>246</v>
      </c>
      <c r="V84">
        <v>2023</v>
      </c>
      <c r="W84" t="s">
        <v>2847</v>
      </c>
      <c r="X84" t="s">
        <v>2848</v>
      </c>
      <c r="Y84" t="s">
        <v>2849</v>
      </c>
    </row>
    <row r="85" spans="1:25" x14ac:dyDescent="0.45">
      <c r="A85" t="s">
        <v>157</v>
      </c>
      <c r="B85" t="s">
        <v>788</v>
      </c>
      <c r="C85" t="s">
        <v>165</v>
      </c>
      <c r="D85" t="s">
        <v>272</v>
      </c>
      <c r="E85" t="s">
        <v>572</v>
      </c>
      <c r="F85" t="s">
        <v>145</v>
      </c>
      <c r="G85" t="s">
        <v>176</v>
      </c>
      <c r="H85" t="s">
        <v>259</v>
      </c>
      <c r="I85" t="s">
        <v>303</v>
      </c>
      <c r="J85" t="s">
        <v>2850</v>
      </c>
      <c r="K85" t="s">
        <v>2850</v>
      </c>
      <c r="L85" t="s">
        <v>812</v>
      </c>
      <c r="M85" t="s">
        <v>2062</v>
      </c>
      <c r="N85" t="s">
        <v>170</v>
      </c>
      <c r="O85" t="s">
        <v>152</v>
      </c>
      <c r="P85" t="s">
        <v>153</v>
      </c>
      <c r="Q85">
        <v>316</v>
      </c>
      <c r="R85" t="s">
        <v>2781</v>
      </c>
      <c r="S85">
        <v>344.726</v>
      </c>
      <c r="T85" t="s">
        <v>155</v>
      </c>
      <c r="U85" t="s">
        <v>246</v>
      </c>
      <c r="V85">
        <v>2023</v>
      </c>
      <c r="W85" t="s">
        <v>2851</v>
      </c>
      <c r="X85" t="s">
        <v>2852</v>
      </c>
      <c r="Y85" t="s">
        <v>2853</v>
      </c>
    </row>
    <row r="86" spans="1:25" x14ac:dyDescent="0.45">
      <c r="A86" t="s">
        <v>157</v>
      </c>
      <c r="D86" t="s">
        <v>272</v>
      </c>
      <c r="E86" t="s">
        <v>572</v>
      </c>
      <c r="F86" t="s">
        <v>145</v>
      </c>
      <c r="G86" t="s">
        <v>176</v>
      </c>
      <c r="H86" t="s">
        <v>244</v>
      </c>
      <c r="J86" t="s">
        <v>812</v>
      </c>
      <c r="K86" t="s">
        <v>812</v>
      </c>
      <c r="L86" t="s">
        <v>812</v>
      </c>
      <c r="M86" t="s">
        <v>598</v>
      </c>
      <c r="N86" t="s">
        <v>170</v>
      </c>
      <c r="O86" t="s">
        <v>152</v>
      </c>
      <c r="P86" t="s">
        <v>153</v>
      </c>
      <c r="Q86">
        <v>280</v>
      </c>
      <c r="R86" t="s">
        <v>2644</v>
      </c>
      <c r="S86">
        <v>280</v>
      </c>
      <c r="T86" t="s">
        <v>155</v>
      </c>
      <c r="U86" t="s">
        <v>246</v>
      </c>
      <c r="V86">
        <v>2023</v>
      </c>
      <c r="W86" t="s">
        <v>2854</v>
      </c>
      <c r="X86" t="s">
        <v>2855</v>
      </c>
      <c r="Y86" t="s">
        <v>2856</v>
      </c>
    </row>
    <row r="87" spans="1:25" x14ac:dyDescent="0.45">
      <c r="A87" t="s">
        <v>157</v>
      </c>
      <c r="B87" t="s">
        <v>719</v>
      </c>
      <c r="C87" t="s">
        <v>189</v>
      </c>
      <c r="D87" t="s">
        <v>265</v>
      </c>
      <c r="E87" t="s">
        <v>406</v>
      </c>
      <c r="F87" t="s">
        <v>145</v>
      </c>
      <c r="G87" t="s">
        <v>176</v>
      </c>
      <c r="H87" t="s">
        <v>215</v>
      </c>
      <c r="I87" t="s">
        <v>288</v>
      </c>
      <c r="J87" t="s">
        <v>812</v>
      </c>
      <c r="K87" t="s">
        <v>812</v>
      </c>
      <c r="L87" t="s">
        <v>812</v>
      </c>
      <c r="M87" t="s">
        <v>1452</v>
      </c>
      <c r="N87" t="s">
        <v>170</v>
      </c>
      <c r="O87">
        <v>100</v>
      </c>
      <c r="P87" t="s">
        <v>153</v>
      </c>
      <c r="Q87">
        <v>120</v>
      </c>
      <c r="R87" t="s">
        <v>2857</v>
      </c>
      <c r="S87">
        <v>79.811999999999998</v>
      </c>
      <c r="T87" t="s">
        <v>155</v>
      </c>
      <c r="U87" t="s">
        <v>246</v>
      </c>
      <c r="V87">
        <v>2023</v>
      </c>
      <c r="W87" t="s">
        <v>2858</v>
      </c>
      <c r="X87" t="s">
        <v>2859</v>
      </c>
      <c r="Y87" t="s">
        <v>2860</v>
      </c>
    </row>
    <row r="88" spans="1:25" x14ac:dyDescent="0.45">
      <c r="A88" t="s">
        <v>142</v>
      </c>
      <c r="B88" t="s">
        <v>143</v>
      </c>
      <c r="C88" t="s">
        <v>144</v>
      </c>
      <c r="D88" t="s">
        <v>142</v>
      </c>
      <c r="E88" t="s">
        <v>143</v>
      </c>
      <c r="F88" t="s">
        <v>166</v>
      </c>
      <c r="G88" t="s">
        <v>146</v>
      </c>
      <c r="H88" t="s">
        <v>236</v>
      </c>
      <c r="I88" t="s">
        <v>243</v>
      </c>
      <c r="J88" t="s">
        <v>2861</v>
      </c>
      <c r="K88" t="s">
        <v>2861</v>
      </c>
      <c r="L88" t="s">
        <v>149</v>
      </c>
      <c r="M88" t="s">
        <v>210</v>
      </c>
      <c r="N88" t="s">
        <v>194</v>
      </c>
      <c r="O88" t="s">
        <v>152</v>
      </c>
      <c r="P88" t="s">
        <v>153</v>
      </c>
      <c r="Q88">
        <v>73.117999999999995</v>
      </c>
      <c r="R88" t="s">
        <v>2644</v>
      </c>
      <c r="S88">
        <v>73.12</v>
      </c>
      <c r="T88" t="s">
        <v>155</v>
      </c>
      <c r="U88" t="s">
        <v>246</v>
      </c>
      <c r="V88">
        <v>2023</v>
      </c>
      <c r="W88" t="s">
        <v>2862</v>
      </c>
      <c r="X88" t="s">
        <v>2863</v>
      </c>
    </row>
    <row r="89" spans="1:25" x14ac:dyDescent="0.45">
      <c r="A89" t="s">
        <v>142</v>
      </c>
      <c r="B89" t="s">
        <v>143</v>
      </c>
      <c r="C89" t="s">
        <v>144</v>
      </c>
      <c r="D89" t="s">
        <v>142</v>
      </c>
      <c r="E89" t="s">
        <v>143</v>
      </c>
      <c r="F89" t="s">
        <v>166</v>
      </c>
      <c r="G89" t="s">
        <v>146</v>
      </c>
      <c r="H89" t="s">
        <v>202</v>
      </c>
      <c r="I89" t="s">
        <v>202</v>
      </c>
      <c r="J89" t="s">
        <v>2864</v>
      </c>
      <c r="K89" t="s">
        <v>2864</v>
      </c>
      <c r="L89" t="s">
        <v>149</v>
      </c>
      <c r="M89" t="s">
        <v>1251</v>
      </c>
      <c r="N89" t="s">
        <v>170</v>
      </c>
      <c r="O89">
        <v>1</v>
      </c>
      <c r="P89" t="s">
        <v>153</v>
      </c>
      <c r="Q89">
        <v>68</v>
      </c>
      <c r="R89" t="s">
        <v>2644</v>
      </c>
      <c r="S89">
        <v>68</v>
      </c>
      <c r="T89" t="s">
        <v>155</v>
      </c>
      <c r="U89" t="s">
        <v>246</v>
      </c>
      <c r="V89">
        <v>2023</v>
      </c>
      <c r="W89" t="s">
        <v>2865</v>
      </c>
      <c r="X89" t="s">
        <v>2866</v>
      </c>
    </row>
    <row r="90" spans="1:25" x14ac:dyDescent="0.45">
      <c r="A90" t="s">
        <v>265</v>
      </c>
      <c r="B90" t="s">
        <v>266</v>
      </c>
      <c r="C90" t="s">
        <v>144</v>
      </c>
      <c r="D90" t="s">
        <v>142</v>
      </c>
      <c r="E90" t="s">
        <v>143</v>
      </c>
      <c r="F90" t="s">
        <v>145</v>
      </c>
      <c r="G90" t="s">
        <v>176</v>
      </c>
      <c r="H90" t="s">
        <v>259</v>
      </c>
      <c r="I90" t="s">
        <v>703</v>
      </c>
      <c r="J90" t="s">
        <v>2867</v>
      </c>
      <c r="K90" t="s">
        <v>2868</v>
      </c>
      <c r="L90" t="s">
        <v>812</v>
      </c>
      <c r="M90" t="s">
        <v>262</v>
      </c>
      <c r="N90" t="s">
        <v>170</v>
      </c>
      <c r="O90">
        <v>400</v>
      </c>
      <c r="P90" t="s">
        <v>153</v>
      </c>
      <c r="Q90">
        <v>1170.769</v>
      </c>
      <c r="R90" t="s">
        <v>2644</v>
      </c>
      <c r="S90">
        <v>1170.769</v>
      </c>
      <c r="T90" t="s">
        <v>155</v>
      </c>
      <c r="U90" t="s">
        <v>246</v>
      </c>
      <c r="V90">
        <v>2023</v>
      </c>
      <c r="W90" t="s">
        <v>2869</v>
      </c>
      <c r="X90" t="s">
        <v>2870</v>
      </c>
      <c r="Y90" t="s">
        <v>2871</v>
      </c>
    </row>
    <row r="91" spans="1:25" x14ac:dyDescent="0.45">
      <c r="A91" t="s">
        <v>142</v>
      </c>
      <c r="B91" t="s">
        <v>143</v>
      </c>
      <c r="C91" t="s">
        <v>189</v>
      </c>
      <c r="D91" t="s">
        <v>142</v>
      </c>
      <c r="E91" t="s">
        <v>143</v>
      </c>
      <c r="F91" t="s">
        <v>166</v>
      </c>
      <c r="G91" t="s">
        <v>167</v>
      </c>
      <c r="H91" t="s">
        <v>207</v>
      </c>
      <c r="J91" t="s">
        <v>2872</v>
      </c>
      <c r="K91" t="s">
        <v>2872</v>
      </c>
      <c r="L91" t="s">
        <v>812</v>
      </c>
      <c r="M91" t="s">
        <v>1336</v>
      </c>
      <c r="N91" t="s">
        <v>398</v>
      </c>
      <c r="O91" t="s">
        <v>812</v>
      </c>
      <c r="P91" t="s">
        <v>153</v>
      </c>
      <c r="Q91">
        <v>70.494</v>
      </c>
      <c r="R91" t="s">
        <v>2644</v>
      </c>
      <c r="S91">
        <v>70.494</v>
      </c>
      <c r="T91" t="s">
        <v>155</v>
      </c>
      <c r="U91" t="s">
        <v>246</v>
      </c>
      <c r="V91">
        <v>2023</v>
      </c>
      <c r="W91" t="s">
        <v>2873</v>
      </c>
    </row>
    <row r="92" spans="1:25" x14ac:dyDescent="0.45">
      <c r="A92" t="s">
        <v>142</v>
      </c>
      <c r="B92" t="s">
        <v>143</v>
      </c>
      <c r="C92" t="s">
        <v>144</v>
      </c>
      <c r="D92" t="s">
        <v>142</v>
      </c>
      <c r="E92" t="s">
        <v>143</v>
      </c>
      <c r="F92" t="s">
        <v>166</v>
      </c>
      <c r="G92" t="s">
        <v>176</v>
      </c>
      <c r="H92" t="s">
        <v>259</v>
      </c>
      <c r="I92" t="s">
        <v>260</v>
      </c>
      <c r="J92" t="s">
        <v>377</v>
      </c>
      <c r="K92" t="s">
        <v>2874</v>
      </c>
      <c r="L92" t="s">
        <v>812</v>
      </c>
      <c r="M92" t="s">
        <v>216</v>
      </c>
      <c r="N92" t="s">
        <v>170</v>
      </c>
      <c r="O92" t="s">
        <v>812</v>
      </c>
      <c r="P92" t="s">
        <v>153</v>
      </c>
      <c r="Q92">
        <v>73.132000000000005</v>
      </c>
      <c r="R92" t="s">
        <v>2644</v>
      </c>
      <c r="S92">
        <v>73.132000000000005</v>
      </c>
      <c r="T92" t="s">
        <v>155</v>
      </c>
      <c r="U92" t="s">
        <v>246</v>
      </c>
      <c r="V92">
        <v>2023</v>
      </c>
      <c r="W92" t="s">
        <v>2875</v>
      </c>
      <c r="X92" t="s">
        <v>2876</v>
      </c>
    </row>
    <row r="93" spans="1:25" ht="396" x14ac:dyDescent="0.45">
      <c r="A93" t="s">
        <v>142</v>
      </c>
      <c r="B93" t="s">
        <v>143</v>
      </c>
      <c r="C93" t="s">
        <v>144</v>
      </c>
      <c r="D93" t="s">
        <v>142</v>
      </c>
      <c r="E93" t="s">
        <v>143</v>
      </c>
      <c r="F93" t="s">
        <v>166</v>
      </c>
      <c r="G93" t="s">
        <v>160</v>
      </c>
      <c r="H93" t="s">
        <v>161</v>
      </c>
      <c r="I93" t="s">
        <v>218</v>
      </c>
      <c r="J93" t="s">
        <v>333</v>
      </c>
      <c r="K93" t="s">
        <v>333</v>
      </c>
      <c r="L93" t="s">
        <v>149</v>
      </c>
      <c r="M93" t="s">
        <v>262</v>
      </c>
      <c r="N93" t="s">
        <v>151</v>
      </c>
      <c r="O93" t="s">
        <v>812</v>
      </c>
      <c r="P93" t="s">
        <v>153</v>
      </c>
      <c r="Q93">
        <v>96</v>
      </c>
      <c r="R93" t="s">
        <v>2644</v>
      </c>
      <c r="S93">
        <v>96</v>
      </c>
      <c r="T93" t="s">
        <v>155</v>
      </c>
      <c r="U93" t="s">
        <v>246</v>
      </c>
      <c r="V93">
        <v>2023</v>
      </c>
      <c r="W93" s="93" t="s">
        <v>2877</v>
      </c>
      <c r="X93" t="s">
        <v>2878</v>
      </c>
    </row>
    <row r="94" spans="1:25" x14ac:dyDescent="0.45">
      <c r="A94" t="s">
        <v>142</v>
      </c>
      <c r="B94" t="s">
        <v>143</v>
      </c>
      <c r="C94" t="s">
        <v>189</v>
      </c>
      <c r="D94" t="s">
        <v>142</v>
      </c>
      <c r="E94" t="s">
        <v>143</v>
      </c>
      <c r="F94" t="s">
        <v>166</v>
      </c>
      <c r="G94" t="s">
        <v>176</v>
      </c>
      <c r="H94" t="s">
        <v>17</v>
      </c>
      <c r="J94" t="s">
        <v>812</v>
      </c>
      <c r="K94" t="s">
        <v>812</v>
      </c>
      <c r="L94" t="s">
        <v>812</v>
      </c>
      <c r="M94" t="s">
        <v>452</v>
      </c>
      <c r="N94" t="s">
        <v>170</v>
      </c>
      <c r="O94" t="s">
        <v>152</v>
      </c>
      <c r="P94" t="s">
        <v>153</v>
      </c>
      <c r="Q94">
        <v>108.501</v>
      </c>
      <c r="R94" t="s">
        <v>2644</v>
      </c>
      <c r="S94">
        <v>108.501</v>
      </c>
      <c r="T94" t="s">
        <v>155</v>
      </c>
      <c r="U94" t="s">
        <v>246</v>
      </c>
      <c r="V94">
        <v>2023</v>
      </c>
      <c r="W94" t="s">
        <v>2879</v>
      </c>
      <c r="X94" t="s">
        <v>2880</v>
      </c>
    </row>
    <row r="95" spans="1:25" x14ac:dyDescent="0.45">
      <c r="A95" t="s">
        <v>504</v>
      </c>
      <c r="B95" t="s">
        <v>505</v>
      </c>
      <c r="C95" t="s">
        <v>189</v>
      </c>
      <c r="D95" t="s">
        <v>504</v>
      </c>
      <c r="E95" t="s">
        <v>505</v>
      </c>
      <c r="F95" t="s">
        <v>166</v>
      </c>
      <c r="G95" t="s">
        <v>160</v>
      </c>
      <c r="H95" t="s">
        <v>221</v>
      </c>
      <c r="I95" t="s">
        <v>429</v>
      </c>
      <c r="J95" t="s">
        <v>2881</v>
      </c>
      <c r="K95" t="s">
        <v>2882</v>
      </c>
      <c r="L95" t="s">
        <v>149</v>
      </c>
      <c r="M95" t="s">
        <v>1605</v>
      </c>
      <c r="N95" t="s">
        <v>170</v>
      </c>
      <c r="O95">
        <v>2</v>
      </c>
      <c r="P95" t="s">
        <v>153</v>
      </c>
      <c r="Q95">
        <v>157.57300000000001</v>
      </c>
      <c r="R95" t="s">
        <v>2883</v>
      </c>
      <c r="S95">
        <v>31.064</v>
      </c>
      <c r="T95" t="s">
        <v>155</v>
      </c>
      <c r="U95" t="s">
        <v>246</v>
      </c>
      <c r="V95">
        <v>2023</v>
      </c>
      <c r="W95" t="s">
        <v>2884</v>
      </c>
      <c r="Y95" t="s">
        <v>2885</v>
      </c>
    </row>
    <row r="96" spans="1:25" x14ac:dyDescent="0.45">
      <c r="A96" t="s">
        <v>157</v>
      </c>
      <c r="B96" t="s">
        <v>477</v>
      </c>
      <c r="C96" t="s">
        <v>144</v>
      </c>
      <c r="D96" t="s">
        <v>157</v>
      </c>
      <c r="E96" t="s">
        <v>477</v>
      </c>
      <c r="F96" t="s">
        <v>166</v>
      </c>
      <c r="G96" t="s">
        <v>146</v>
      </c>
      <c r="H96" t="s">
        <v>147</v>
      </c>
      <c r="I96" t="s">
        <v>903</v>
      </c>
      <c r="J96" t="s">
        <v>2886</v>
      </c>
      <c r="K96" t="s">
        <v>2886</v>
      </c>
      <c r="L96" t="s">
        <v>149</v>
      </c>
      <c r="M96" t="s">
        <v>1558</v>
      </c>
      <c r="N96" t="s">
        <v>194</v>
      </c>
      <c r="O96">
        <v>1</v>
      </c>
      <c r="P96" t="s">
        <v>204</v>
      </c>
      <c r="Q96">
        <v>20</v>
      </c>
      <c r="R96" t="s">
        <v>2644</v>
      </c>
      <c r="S96">
        <v>20</v>
      </c>
      <c r="T96" t="s">
        <v>155</v>
      </c>
      <c r="U96" t="s">
        <v>246</v>
      </c>
      <c r="V96">
        <v>2023</v>
      </c>
      <c r="W96" t="s">
        <v>2887</v>
      </c>
      <c r="X96" t="s">
        <v>2888</v>
      </c>
      <c r="Y96" t="s">
        <v>2889</v>
      </c>
    </row>
    <row r="97" spans="1:25" x14ac:dyDescent="0.45">
      <c r="A97" t="s">
        <v>142</v>
      </c>
      <c r="B97" t="s">
        <v>143</v>
      </c>
      <c r="C97" t="s">
        <v>165</v>
      </c>
      <c r="D97" t="s">
        <v>142</v>
      </c>
      <c r="E97" t="s">
        <v>143</v>
      </c>
      <c r="F97" t="s">
        <v>166</v>
      </c>
      <c r="G97" t="s">
        <v>167</v>
      </c>
      <c r="H97" t="s">
        <v>396</v>
      </c>
      <c r="I97" t="s">
        <v>812</v>
      </c>
      <c r="J97" t="s">
        <v>2890</v>
      </c>
      <c r="K97" t="s">
        <v>2890</v>
      </c>
      <c r="L97" t="s">
        <v>812</v>
      </c>
      <c r="M97" t="s">
        <v>1960</v>
      </c>
      <c r="N97" t="s">
        <v>398</v>
      </c>
      <c r="O97" t="s">
        <v>812</v>
      </c>
      <c r="P97" t="s">
        <v>153</v>
      </c>
      <c r="Q97">
        <v>90.763999999999996</v>
      </c>
      <c r="R97" t="s">
        <v>2644</v>
      </c>
      <c r="S97">
        <v>90.763999999999996</v>
      </c>
      <c r="T97" t="s">
        <v>155</v>
      </c>
      <c r="U97" t="s">
        <v>246</v>
      </c>
      <c r="V97">
        <v>2023</v>
      </c>
      <c r="W97" t="s">
        <v>2891</v>
      </c>
    </row>
    <row r="98" spans="1:25" x14ac:dyDescent="0.45">
      <c r="A98" t="s">
        <v>157</v>
      </c>
      <c r="B98" t="s">
        <v>460</v>
      </c>
      <c r="C98" t="s">
        <v>159</v>
      </c>
      <c r="D98" t="s">
        <v>157</v>
      </c>
      <c r="E98" t="s">
        <v>460</v>
      </c>
      <c r="F98" t="s">
        <v>166</v>
      </c>
      <c r="G98" t="s">
        <v>160</v>
      </c>
      <c r="H98" t="s">
        <v>161</v>
      </c>
      <c r="I98" t="s">
        <v>218</v>
      </c>
      <c r="J98" t="s">
        <v>348</v>
      </c>
      <c r="K98" t="s">
        <v>789</v>
      </c>
      <c r="L98" t="s">
        <v>149</v>
      </c>
      <c r="M98" t="s">
        <v>196</v>
      </c>
      <c r="N98" t="s">
        <v>151</v>
      </c>
      <c r="O98" t="s">
        <v>812</v>
      </c>
      <c r="P98" t="s">
        <v>2892</v>
      </c>
      <c r="Q98">
        <v>147</v>
      </c>
      <c r="R98" t="s">
        <v>2695</v>
      </c>
      <c r="S98">
        <v>183.59399999999999</v>
      </c>
      <c r="T98" t="s">
        <v>155</v>
      </c>
      <c r="U98" t="s">
        <v>246</v>
      </c>
      <c r="V98">
        <v>2023</v>
      </c>
      <c r="W98" t="s">
        <v>2893</v>
      </c>
      <c r="Y98" t="s">
        <v>2894</v>
      </c>
    </row>
    <row r="99" spans="1:25" x14ac:dyDescent="0.45">
      <c r="A99" t="s">
        <v>265</v>
      </c>
      <c r="B99" t="s">
        <v>406</v>
      </c>
      <c r="C99" t="s">
        <v>165</v>
      </c>
      <c r="D99" t="s">
        <v>265</v>
      </c>
      <c r="E99" t="s">
        <v>406</v>
      </c>
      <c r="F99" t="s">
        <v>166</v>
      </c>
      <c r="G99" t="s">
        <v>176</v>
      </c>
      <c r="H99" t="s">
        <v>844</v>
      </c>
      <c r="I99" t="s">
        <v>913</v>
      </c>
      <c r="J99" t="s">
        <v>2895</v>
      </c>
      <c r="K99" t="s">
        <v>2895</v>
      </c>
      <c r="L99" t="s">
        <v>812</v>
      </c>
      <c r="M99" t="s">
        <v>758</v>
      </c>
      <c r="N99" t="s">
        <v>2617</v>
      </c>
      <c r="O99" t="s">
        <v>812</v>
      </c>
      <c r="P99" t="s">
        <v>2892</v>
      </c>
      <c r="Q99">
        <v>12.9</v>
      </c>
      <c r="R99" t="s">
        <v>2774</v>
      </c>
      <c r="S99">
        <v>8.6980000000000004</v>
      </c>
      <c r="T99" t="s">
        <v>155</v>
      </c>
      <c r="U99" t="s">
        <v>246</v>
      </c>
      <c r="V99">
        <v>2023</v>
      </c>
      <c r="W99" t="s">
        <v>2896</v>
      </c>
      <c r="Y99" t="s">
        <v>2897</v>
      </c>
    </row>
    <row r="100" spans="1:25" x14ac:dyDescent="0.45">
      <c r="A100" t="s">
        <v>142</v>
      </c>
      <c r="B100" t="s">
        <v>143</v>
      </c>
      <c r="C100" t="s">
        <v>159</v>
      </c>
      <c r="D100" t="s">
        <v>142</v>
      </c>
      <c r="E100" t="s">
        <v>143</v>
      </c>
      <c r="F100" t="s">
        <v>166</v>
      </c>
      <c r="G100" t="s">
        <v>182</v>
      </c>
      <c r="H100" t="s">
        <v>278</v>
      </c>
      <c r="I100" t="s">
        <v>279</v>
      </c>
      <c r="J100" t="s">
        <v>2898</v>
      </c>
      <c r="K100" t="s">
        <v>2898</v>
      </c>
      <c r="L100" t="s">
        <v>812</v>
      </c>
      <c r="M100" t="s">
        <v>219</v>
      </c>
      <c r="N100" t="s">
        <v>170</v>
      </c>
      <c r="O100" t="s">
        <v>812</v>
      </c>
      <c r="P100" t="s">
        <v>153</v>
      </c>
      <c r="Q100">
        <v>584</v>
      </c>
      <c r="R100" t="s">
        <v>2644</v>
      </c>
      <c r="S100">
        <v>584</v>
      </c>
      <c r="T100" t="s">
        <v>155</v>
      </c>
      <c r="U100" t="s">
        <v>246</v>
      </c>
      <c r="V100">
        <v>2023</v>
      </c>
      <c r="W100" t="s">
        <v>2899</v>
      </c>
      <c r="X100" t="s">
        <v>2900</v>
      </c>
    </row>
    <row r="101" spans="1:25" x14ac:dyDescent="0.45">
      <c r="A101" t="s">
        <v>157</v>
      </c>
      <c r="B101" t="s">
        <v>694</v>
      </c>
      <c r="C101" t="s">
        <v>189</v>
      </c>
      <c r="D101" t="s">
        <v>157</v>
      </c>
      <c r="E101" t="s">
        <v>694</v>
      </c>
      <c r="F101" t="s">
        <v>685</v>
      </c>
      <c r="G101" t="s">
        <v>190</v>
      </c>
      <c r="H101" t="s">
        <v>238</v>
      </c>
      <c r="I101" t="s">
        <v>859</v>
      </c>
      <c r="J101" t="s">
        <v>2901</v>
      </c>
      <c r="K101" t="s">
        <v>2902</v>
      </c>
      <c r="L101" t="s">
        <v>149</v>
      </c>
      <c r="M101" t="s">
        <v>2114</v>
      </c>
      <c r="N101" t="s">
        <v>170</v>
      </c>
      <c r="O101">
        <v>100</v>
      </c>
      <c r="P101" t="s">
        <v>204</v>
      </c>
      <c r="Q101">
        <v>230</v>
      </c>
      <c r="R101" t="s">
        <v>2903</v>
      </c>
      <c r="S101">
        <v>230</v>
      </c>
      <c r="T101" t="s">
        <v>155</v>
      </c>
      <c r="U101" t="s">
        <v>246</v>
      </c>
      <c r="V101">
        <v>2023</v>
      </c>
      <c r="W101" t="s">
        <v>2904</v>
      </c>
      <c r="X101" t="s">
        <v>2905</v>
      </c>
      <c r="Y101" t="s">
        <v>2906</v>
      </c>
    </row>
  </sheetData>
  <pageMargins left="0.7" right="0.7" top="0.75" bottom="0.75" header="0.3" footer="0.3"/>
  <headerFooter>
    <oddFooter>&amp;L_x000D_&amp;1#&amp;"Rockwell"&amp;9&amp;K0078D7 Information Classification: General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E2369-676F-4D30-8ED2-C93A0BBA6E81}">
  <dimension ref="A1:Y45"/>
  <sheetViews>
    <sheetView topLeftCell="F29" workbookViewId="0">
      <selection activeCell="Y22" sqref="Y22"/>
    </sheetView>
  </sheetViews>
  <sheetFormatPr defaultRowHeight="16.5" x14ac:dyDescent="0.45"/>
  <cols>
    <col min="1" max="1" width="17.4609375" customWidth="1"/>
    <col min="2" max="2" width="18.4609375" customWidth="1"/>
    <col min="3" max="3" width="19.4609375" customWidth="1"/>
    <col min="4" max="4" width="16.3046875" customWidth="1"/>
    <col min="5" max="5" width="17.3046875" customWidth="1"/>
    <col min="6" max="6" width="18.23046875" customWidth="1"/>
    <col min="7" max="7" width="16.765625" customWidth="1"/>
    <col min="8" max="8" width="22.07421875" customWidth="1"/>
    <col min="9" max="9" width="21.69140625" customWidth="1"/>
    <col min="10" max="10" width="23" customWidth="1"/>
    <col min="11" max="11" width="22.4609375" customWidth="1"/>
    <col min="12" max="12" width="15.765625" customWidth="1"/>
    <col min="13" max="13" width="15.4609375" customWidth="1"/>
    <col min="14" max="14" width="14.765625" customWidth="1"/>
    <col min="15" max="15" width="9.765625" customWidth="1"/>
    <col min="16" max="16" width="15.765625" customWidth="1"/>
    <col min="17" max="17" width="14.765625" customWidth="1"/>
    <col min="18" max="18" width="10.4609375" customWidth="1"/>
    <col min="19" max="19" width="18.765625" customWidth="1"/>
    <col min="20" max="20" width="10.765625" customWidth="1"/>
    <col min="23" max="23" width="23.07421875" customWidth="1"/>
    <col min="24" max="24" width="30.23046875" customWidth="1"/>
    <col min="25" max="25" width="14.765625" customWidth="1"/>
  </cols>
  <sheetData>
    <row r="1" spans="1:25" x14ac:dyDescent="0.45">
      <c r="A1" t="s">
        <v>114</v>
      </c>
      <c r="B1" t="s">
        <v>115</v>
      </c>
      <c r="C1" t="s">
        <v>116</v>
      </c>
      <c r="D1" t="s">
        <v>117</v>
      </c>
      <c r="E1" t="s">
        <v>118</v>
      </c>
      <c r="F1" t="s">
        <v>119</v>
      </c>
      <c r="G1" t="s">
        <v>120</v>
      </c>
      <c r="H1" t="s">
        <v>121</v>
      </c>
      <c r="I1" t="s">
        <v>122</v>
      </c>
      <c r="J1" t="s">
        <v>123</v>
      </c>
      <c r="K1" t="s">
        <v>124</v>
      </c>
      <c r="L1" t="s">
        <v>125</v>
      </c>
      <c r="M1" t="s">
        <v>126</v>
      </c>
      <c r="N1" t="s">
        <v>127</v>
      </c>
      <c r="O1" t="s">
        <v>129</v>
      </c>
      <c r="P1" t="s">
        <v>130</v>
      </c>
      <c r="Q1" t="s">
        <v>131</v>
      </c>
      <c r="R1" t="s">
        <v>132</v>
      </c>
      <c r="S1" t="s">
        <v>2616</v>
      </c>
      <c r="T1" t="s">
        <v>134</v>
      </c>
      <c r="U1" t="s">
        <v>799</v>
      </c>
      <c r="V1" t="s">
        <v>800</v>
      </c>
      <c r="W1" t="s">
        <v>137</v>
      </c>
      <c r="X1" t="s">
        <v>138</v>
      </c>
      <c r="Y1" t="s">
        <v>139</v>
      </c>
    </row>
    <row r="2" spans="1:25" x14ac:dyDescent="0.45">
      <c r="A2" t="s">
        <v>265</v>
      </c>
      <c r="B2" t="s">
        <v>696</v>
      </c>
      <c r="C2" t="s">
        <v>144</v>
      </c>
      <c r="D2" t="s">
        <v>272</v>
      </c>
      <c r="E2" t="s">
        <v>572</v>
      </c>
      <c r="F2" t="s">
        <v>145</v>
      </c>
      <c r="G2" t="s">
        <v>182</v>
      </c>
      <c r="H2" t="s">
        <v>307</v>
      </c>
      <c r="I2" t="s">
        <v>308</v>
      </c>
      <c r="J2" t="s">
        <v>2907</v>
      </c>
      <c r="K2" t="s">
        <v>2907</v>
      </c>
      <c r="L2" t="s">
        <v>812</v>
      </c>
      <c r="M2" t="s">
        <v>1638</v>
      </c>
      <c r="N2" t="s">
        <v>170</v>
      </c>
      <c r="O2">
        <v>6</v>
      </c>
      <c r="P2" t="s">
        <v>204</v>
      </c>
      <c r="R2" t="s">
        <v>154</v>
      </c>
      <c r="T2" t="s">
        <v>155</v>
      </c>
      <c r="U2" t="s">
        <v>347</v>
      </c>
      <c r="V2">
        <v>2023</v>
      </c>
      <c r="W2" t="s">
        <v>2908</v>
      </c>
      <c r="X2" t="s">
        <v>2909</v>
      </c>
      <c r="Y2" t="s">
        <v>2910</v>
      </c>
    </row>
    <row r="3" spans="1:25" x14ac:dyDescent="0.45">
      <c r="A3" t="s">
        <v>142</v>
      </c>
      <c r="B3" t="s">
        <v>405</v>
      </c>
      <c r="C3" t="s">
        <v>159</v>
      </c>
      <c r="D3" t="s">
        <v>272</v>
      </c>
      <c r="E3" t="s">
        <v>572</v>
      </c>
      <c r="F3" t="s">
        <v>145</v>
      </c>
      <c r="G3" t="s">
        <v>182</v>
      </c>
      <c r="H3" t="s">
        <v>278</v>
      </c>
      <c r="I3" t="s">
        <v>279</v>
      </c>
      <c r="J3" t="s">
        <v>2911</v>
      </c>
      <c r="K3" t="s">
        <v>2911</v>
      </c>
      <c r="L3" t="s">
        <v>812</v>
      </c>
      <c r="M3" t="s">
        <v>598</v>
      </c>
      <c r="N3" t="s">
        <v>170</v>
      </c>
      <c r="O3" t="s">
        <v>152</v>
      </c>
      <c r="P3" t="s">
        <v>204</v>
      </c>
      <c r="R3" t="s">
        <v>154</v>
      </c>
      <c r="T3" t="s">
        <v>155</v>
      </c>
      <c r="U3" t="s">
        <v>341</v>
      </c>
      <c r="V3">
        <v>2023</v>
      </c>
      <c r="W3" t="s">
        <v>2912</v>
      </c>
      <c r="X3" t="s">
        <v>2913</v>
      </c>
      <c r="Y3" t="s">
        <v>2914</v>
      </c>
    </row>
    <row r="4" spans="1:25" x14ac:dyDescent="0.45">
      <c r="A4" t="s">
        <v>157</v>
      </c>
      <c r="D4" t="s">
        <v>272</v>
      </c>
      <c r="E4" t="s">
        <v>572</v>
      </c>
      <c r="F4" t="s">
        <v>145</v>
      </c>
      <c r="G4" t="s">
        <v>190</v>
      </c>
      <c r="H4" t="s">
        <v>317</v>
      </c>
      <c r="I4" t="s">
        <v>845</v>
      </c>
      <c r="J4" t="s">
        <v>2754</v>
      </c>
      <c r="K4" t="s">
        <v>2754</v>
      </c>
      <c r="L4" t="s">
        <v>149</v>
      </c>
      <c r="M4" t="s">
        <v>598</v>
      </c>
      <c r="N4" t="s">
        <v>170</v>
      </c>
      <c r="O4" t="s">
        <v>152</v>
      </c>
      <c r="P4" t="s">
        <v>153</v>
      </c>
      <c r="Q4">
        <v>119</v>
      </c>
      <c r="R4" t="s">
        <v>154</v>
      </c>
      <c r="S4">
        <v>119</v>
      </c>
      <c r="T4" t="s">
        <v>155</v>
      </c>
      <c r="U4" t="s">
        <v>220</v>
      </c>
      <c r="V4">
        <v>2023</v>
      </c>
      <c r="W4" t="s">
        <v>2915</v>
      </c>
      <c r="X4" t="s">
        <v>2916</v>
      </c>
      <c r="Y4" t="s">
        <v>2917</v>
      </c>
    </row>
    <row r="5" spans="1:25" x14ac:dyDescent="0.45">
      <c r="D5" t="s">
        <v>272</v>
      </c>
      <c r="E5" t="s">
        <v>572</v>
      </c>
      <c r="F5" t="s">
        <v>145</v>
      </c>
      <c r="G5" t="s">
        <v>176</v>
      </c>
      <c r="H5" t="s">
        <v>244</v>
      </c>
      <c r="I5" t="s">
        <v>480</v>
      </c>
      <c r="J5" t="s">
        <v>812</v>
      </c>
      <c r="K5" t="s">
        <v>812</v>
      </c>
      <c r="L5" t="s">
        <v>812</v>
      </c>
      <c r="M5" t="s">
        <v>1638</v>
      </c>
      <c r="N5" t="s">
        <v>170</v>
      </c>
      <c r="O5" t="s">
        <v>152</v>
      </c>
      <c r="P5" t="s">
        <v>204</v>
      </c>
      <c r="Q5">
        <v>72.5</v>
      </c>
      <c r="R5" t="s">
        <v>154</v>
      </c>
      <c r="S5">
        <v>72.5</v>
      </c>
      <c r="T5" t="s">
        <v>155</v>
      </c>
      <c r="U5" t="s">
        <v>341</v>
      </c>
      <c r="V5">
        <v>2023</v>
      </c>
      <c r="W5" t="s">
        <v>2918</v>
      </c>
      <c r="X5" t="s">
        <v>2919</v>
      </c>
      <c r="Y5" t="s">
        <v>2920</v>
      </c>
    </row>
    <row r="6" spans="1:25" x14ac:dyDescent="0.45">
      <c r="D6" t="s">
        <v>272</v>
      </c>
      <c r="E6" t="s">
        <v>572</v>
      </c>
      <c r="F6" t="s">
        <v>145</v>
      </c>
      <c r="G6" t="s">
        <v>176</v>
      </c>
      <c r="H6" t="s">
        <v>244</v>
      </c>
      <c r="I6" t="s">
        <v>480</v>
      </c>
      <c r="J6" t="s">
        <v>812</v>
      </c>
      <c r="K6" t="s">
        <v>812</v>
      </c>
      <c r="L6" t="s">
        <v>812</v>
      </c>
      <c r="M6" t="s">
        <v>1638</v>
      </c>
      <c r="N6" t="s">
        <v>170</v>
      </c>
      <c r="O6" t="s">
        <v>152</v>
      </c>
      <c r="P6" t="s">
        <v>204</v>
      </c>
      <c r="Q6">
        <v>72.5</v>
      </c>
      <c r="R6" t="s">
        <v>154</v>
      </c>
      <c r="S6">
        <v>72.5</v>
      </c>
      <c r="T6" t="s">
        <v>155</v>
      </c>
      <c r="U6" t="s">
        <v>341</v>
      </c>
      <c r="V6">
        <v>2023</v>
      </c>
      <c r="W6" t="s">
        <v>2918</v>
      </c>
      <c r="X6" t="s">
        <v>2919</v>
      </c>
      <c r="Y6" t="s">
        <v>2920</v>
      </c>
    </row>
    <row r="7" spans="1:25" x14ac:dyDescent="0.45">
      <c r="A7" t="s">
        <v>712</v>
      </c>
      <c r="B7" t="s">
        <v>390</v>
      </c>
      <c r="C7" t="s">
        <v>159</v>
      </c>
      <c r="D7" t="s">
        <v>272</v>
      </c>
      <c r="E7" t="s">
        <v>572</v>
      </c>
      <c r="F7" t="s">
        <v>145</v>
      </c>
      <c r="G7" t="s">
        <v>160</v>
      </c>
      <c r="H7" t="s">
        <v>161</v>
      </c>
      <c r="I7" t="s">
        <v>313</v>
      </c>
      <c r="J7" t="s">
        <v>2921</v>
      </c>
      <c r="K7" t="s">
        <v>2921</v>
      </c>
      <c r="L7" t="s">
        <v>179</v>
      </c>
      <c r="M7" t="s">
        <v>1638</v>
      </c>
      <c r="N7" t="s">
        <v>170</v>
      </c>
      <c r="O7">
        <v>2</v>
      </c>
      <c r="P7" t="s">
        <v>204</v>
      </c>
      <c r="Q7">
        <v>100</v>
      </c>
      <c r="R7" t="s">
        <v>154</v>
      </c>
      <c r="S7">
        <v>100</v>
      </c>
      <c r="T7" t="s">
        <v>155</v>
      </c>
      <c r="U7" t="s">
        <v>341</v>
      </c>
      <c r="V7">
        <v>2023</v>
      </c>
      <c r="W7" t="s">
        <v>2922</v>
      </c>
      <c r="X7" t="s">
        <v>2923</v>
      </c>
      <c r="Y7" t="s">
        <v>2924</v>
      </c>
    </row>
    <row r="8" spans="1:25" x14ac:dyDescent="0.45">
      <c r="A8" t="s">
        <v>712</v>
      </c>
      <c r="B8" t="s">
        <v>390</v>
      </c>
      <c r="C8" t="s">
        <v>144</v>
      </c>
      <c r="D8" t="s">
        <v>272</v>
      </c>
      <c r="E8" t="s">
        <v>572</v>
      </c>
      <c r="F8" t="s">
        <v>145</v>
      </c>
      <c r="G8" t="s">
        <v>160</v>
      </c>
      <c r="H8" t="s">
        <v>161</v>
      </c>
      <c r="I8" t="s">
        <v>313</v>
      </c>
      <c r="J8" t="s">
        <v>2925</v>
      </c>
      <c r="K8" t="s">
        <v>2925</v>
      </c>
      <c r="L8" t="s">
        <v>179</v>
      </c>
      <c r="M8" t="s">
        <v>598</v>
      </c>
      <c r="N8" t="s">
        <v>170</v>
      </c>
      <c r="O8">
        <v>2</v>
      </c>
      <c r="P8" t="s">
        <v>204</v>
      </c>
      <c r="Q8">
        <v>50</v>
      </c>
      <c r="R8" t="s">
        <v>154</v>
      </c>
      <c r="S8">
        <v>50</v>
      </c>
      <c r="T8" t="s">
        <v>155</v>
      </c>
      <c r="U8" t="s">
        <v>341</v>
      </c>
      <c r="V8">
        <v>2023</v>
      </c>
      <c r="W8" t="s">
        <v>2922</v>
      </c>
      <c r="X8" t="s">
        <v>2926</v>
      </c>
      <c r="Y8" t="s">
        <v>2927</v>
      </c>
    </row>
    <row r="9" spans="1:25" x14ac:dyDescent="0.45">
      <c r="A9" t="s">
        <v>712</v>
      </c>
      <c r="B9" t="s">
        <v>390</v>
      </c>
      <c r="C9" t="s">
        <v>189</v>
      </c>
      <c r="D9" t="s">
        <v>272</v>
      </c>
      <c r="E9" t="s">
        <v>572</v>
      </c>
      <c r="F9" t="s">
        <v>145</v>
      </c>
      <c r="G9" t="s">
        <v>160</v>
      </c>
      <c r="H9" t="s">
        <v>161</v>
      </c>
      <c r="I9" t="s">
        <v>313</v>
      </c>
      <c r="J9" t="s">
        <v>2925</v>
      </c>
      <c r="K9" t="s">
        <v>2925</v>
      </c>
      <c r="L9" t="s">
        <v>179</v>
      </c>
      <c r="M9" t="s">
        <v>598</v>
      </c>
      <c r="N9" t="s">
        <v>170</v>
      </c>
      <c r="O9">
        <v>2</v>
      </c>
      <c r="P9" t="s">
        <v>204</v>
      </c>
      <c r="Q9">
        <v>50</v>
      </c>
      <c r="R9" t="s">
        <v>154</v>
      </c>
      <c r="S9">
        <v>50</v>
      </c>
      <c r="T9" t="s">
        <v>155</v>
      </c>
      <c r="U9" t="s">
        <v>341</v>
      </c>
      <c r="V9">
        <v>2023</v>
      </c>
      <c r="W9" t="s">
        <v>2922</v>
      </c>
      <c r="X9" t="s">
        <v>2926</v>
      </c>
      <c r="Y9" t="s">
        <v>2927</v>
      </c>
    </row>
    <row r="10" spans="1:25" x14ac:dyDescent="0.45">
      <c r="A10" t="s">
        <v>272</v>
      </c>
      <c r="B10" t="s">
        <v>572</v>
      </c>
      <c r="C10" t="s">
        <v>189</v>
      </c>
      <c r="D10" t="s">
        <v>272</v>
      </c>
      <c r="E10" t="s">
        <v>572</v>
      </c>
      <c r="F10" t="s">
        <v>166</v>
      </c>
      <c r="G10" t="s">
        <v>190</v>
      </c>
      <c r="H10" t="s">
        <v>238</v>
      </c>
      <c r="I10" t="s">
        <v>861</v>
      </c>
      <c r="J10" t="s">
        <v>2928</v>
      </c>
      <c r="K10" t="s">
        <v>2928</v>
      </c>
      <c r="L10" t="s">
        <v>149</v>
      </c>
      <c r="M10" t="s">
        <v>1652</v>
      </c>
      <c r="N10" t="s">
        <v>151</v>
      </c>
      <c r="O10" t="s">
        <v>812</v>
      </c>
      <c r="P10" t="s">
        <v>153</v>
      </c>
      <c r="Q10">
        <v>25.2</v>
      </c>
      <c r="R10" t="s">
        <v>2929</v>
      </c>
      <c r="S10">
        <v>6.5220000000000002</v>
      </c>
      <c r="T10" t="s">
        <v>155</v>
      </c>
      <c r="U10" t="s">
        <v>341</v>
      </c>
      <c r="V10">
        <v>2023</v>
      </c>
      <c r="W10" t="s">
        <v>2930</v>
      </c>
      <c r="X10" t="s">
        <v>2931</v>
      </c>
      <c r="Y10" t="s">
        <v>2932</v>
      </c>
    </row>
    <row r="11" spans="1:25" x14ac:dyDescent="0.45">
      <c r="A11" t="s">
        <v>157</v>
      </c>
      <c r="B11" t="s">
        <v>788</v>
      </c>
      <c r="C11" t="s">
        <v>159</v>
      </c>
      <c r="D11" t="s">
        <v>272</v>
      </c>
      <c r="E11" t="s">
        <v>572</v>
      </c>
      <c r="F11" t="s">
        <v>145</v>
      </c>
      <c r="G11" t="s">
        <v>176</v>
      </c>
      <c r="H11" t="s">
        <v>215</v>
      </c>
      <c r="I11" t="s">
        <v>351</v>
      </c>
      <c r="J11" t="s">
        <v>2850</v>
      </c>
      <c r="K11" t="s">
        <v>2850</v>
      </c>
      <c r="L11" t="s">
        <v>812</v>
      </c>
      <c r="M11" t="s">
        <v>2062</v>
      </c>
      <c r="N11" t="s">
        <v>170</v>
      </c>
      <c r="O11" t="s">
        <v>152</v>
      </c>
      <c r="P11" t="s">
        <v>153</v>
      </c>
      <c r="Q11">
        <v>317</v>
      </c>
      <c r="R11" t="s">
        <v>2781</v>
      </c>
      <c r="S11">
        <v>338.87799999999999</v>
      </c>
      <c r="T11" t="s">
        <v>155</v>
      </c>
      <c r="U11" t="s">
        <v>341</v>
      </c>
      <c r="V11">
        <v>2023</v>
      </c>
      <c r="W11" t="s">
        <v>2933</v>
      </c>
      <c r="Y11" t="s">
        <v>2934</v>
      </c>
    </row>
    <row r="12" spans="1:25" x14ac:dyDescent="0.45">
      <c r="D12" t="s">
        <v>272</v>
      </c>
      <c r="E12" t="s">
        <v>572</v>
      </c>
      <c r="F12" t="s">
        <v>145</v>
      </c>
      <c r="G12" t="s">
        <v>176</v>
      </c>
      <c r="H12" t="s">
        <v>215</v>
      </c>
      <c r="I12" t="s">
        <v>351</v>
      </c>
      <c r="J12" t="s">
        <v>812</v>
      </c>
      <c r="K12" t="s">
        <v>812</v>
      </c>
      <c r="L12" t="s">
        <v>812</v>
      </c>
      <c r="M12" t="s">
        <v>1638</v>
      </c>
      <c r="N12" t="s">
        <v>170</v>
      </c>
      <c r="O12" t="s">
        <v>152</v>
      </c>
      <c r="P12" t="s">
        <v>153</v>
      </c>
      <c r="Q12">
        <v>1200</v>
      </c>
      <c r="R12" t="s">
        <v>154</v>
      </c>
      <c r="S12">
        <v>1200</v>
      </c>
      <c r="T12" t="s">
        <v>155</v>
      </c>
      <c r="U12" t="s">
        <v>341</v>
      </c>
      <c r="V12">
        <v>2023</v>
      </c>
      <c r="W12" t="s">
        <v>2935</v>
      </c>
      <c r="X12" t="s">
        <v>2936</v>
      </c>
      <c r="Y12" t="s">
        <v>2937</v>
      </c>
    </row>
    <row r="13" spans="1:25" x14ac:dyDescent="0.45">
      <c r="A13" t="s">
        <v>152</v>
      </c>
      <c r="D13" t="s">
        <v>272</v>
      </c>
      <c r="E13" t="s">
        <v>572</v>
      </c>
      <c r="F13" t="s">
        <v>145</v>
      </c>
      <c r="G13" t="s">
        <v>167</v>
      </c>
      <c r="H13" t="s">
        <v>207</v>
      </c>
      <c r="I13" t="s">
        <v>812</v>
      </c>
      <c r="J13" t="s">
        <v>2938</v>
      </c>
      <c r="K13" t="s">
        <v>2938</v>
      </c>
      <c r="L13" t="s">
        <v>812</v>
      </c>
      <c r="M13" t="s">
        <v>598</v>
      </c>
      <c r="N13" t="s">
        <v>170</v>
      </c>
      <c r="O13" t="s">
        <v>812</v>
      </c>
      <c r="P13" t="s">
        <v>153</v>
      </c>
      <c r="Q13">
        <v>135</v>
      </c>
      <c r="R13" t="s">
        <v>154</v>
      </c>
      <c r="S13">
        <v>135</v>
      </c>
      <c r="T13" t="s">
        <v>155</v>
      </c>
      <c r="U13" t="s">
        <v>338</v>
      </c>
      <c r="V13">
        <v>2023</v>
      </c>
      <c r="W13" t="s">
        <v>2939</v>
      </c>
      <c r="X13" t="s">
        <v>2940</v>
      </c>
      <c r="Y13" t="s">
        <v>2941</v>
      </c>
    </row>
    <row r="14" spans="1:25" x14ac:dyDescent="0.45">
      <c r="A14" t="s">
        <v>157</v>
      </c>
      <c r="B14" t="s">
        <v>932</v>
      </c>
      <c r="C14" t="s">
        <v>165</v>
      </c>
      <c r="D14" t="s">
        <v>272</v>
      </c>
      <c r="E14" t="s">
        <v>572</v>
      </c>
      <c r="F14" t="s">
        <v>145</v>
      </c>
      <c r="G14" t="s">
        <v>182</v>
      </c>
      <c r="H14" t="s">
        <v>183</v>
      </c>
      <c r="I14" t="s">
        <v>926</v>
      </c>
      <c r="J14" t="s">
        <v>2942</v>
      </c>
      <c r="K14" t="s">
        <v>2942</v>
      </c>
      <c r="L14" t="s">
        <v>812</v>
      </c>
      <c r="M14" t="s">
        <v>598</v>
      </c>
      <c r="N14" t="s">
        <v>170</v>
      </c>
      <c r="O14" t="s">
        <v>152</v>
      </c>
      <c r="P14" t="s">
        <v>153</v>
      </c>
      <c r="Q14">
        <v>170</v>
      </c>
      <c r="R14" t="s">
        <v>154</v>
      </c>
      <c r="S14">
        <v>170</v>
      </c>
      <c r="T14" t="s">
        <v>155</v>
      </c>
      <c r="U14" t="s">
        <v>338</v>
      </c>
      <c r="V14">
        <v>2023</v>
      </c>
      <c r="W14" t="s">
        <v>2943</v>
      </c>
      <c r="Y14" t="s">
        <v>2944</v>
      </c>
    </row>
    <row r="15" spans="1:25" x14ac:dyDescent="0.45">
      <c r="A15" t="s">
        <v>819</v>
      </c>
      <c r="B15" t="s">
        <v>972</v>
      </c>
      <c r="C15" t="s">
        <v>165</v>
      </c>
      <c r="D15" t="s">
        <v>272</v>
      </c>
      <c r="E15" t="s">
        <v>572</v>
      </c>
      <c r="F15" t="s">
        <v>145</v>
      </c>
      <c r="G15" t="s">
        <v>172</v>
      </c>
      <c r="H15" t="s">
        <v>173</v>
      </c>
      <c r="I15" t="s">
        <v>173</v>
      </c>
      <c r="J15" t="s">
        <v>2945</v>
      </c>
      <c r="K15" t="s">
        <v>2945</v>
      </c>
      <c r="L15" t="s">
        <v>812</v>
      </c>
      <c r="M15" t="s">
        <v>1638</v>
      </c>
      <c r="N15" t="s">
        <v>170</v>
      </c>
      <c r="O15">
        <v>2</v>
      </c>
      <c r="P15" t="s">
        <v>153</v>
      </c>
      <c r="Q15">
        <v>120</v>
      </c>
      <c r="R15" t="s">
        <v>154</v>
      </c>
      <c r="S15">
        <v>120</v>
      </c>
      <c r="T15" t="s">
        <v>155</v>
      </c>
      <c r="U15" t="s">
        <v>338</v>
      </c>
      <c r="V15">
        <v>2023</v>
      </c>
      <c r="W15" t="s">
        <v>2946</v>
      </c>
      <c r="Y15" t="s">
        <v>2947</v>
      </c>
    </row>
    <row r="16" spans="1:25" x14ac:dyDescent="0.45">
      <c r="A16" t="s">
        <v>157</v>
      </c>
      <c r="B16" t="s">
        <v>477</v>
      </c>
      <c r="C16" t="s">
        <v>165</v>
      </c>
      <c r="D16" t="s">
        <v>272</v>
      </c>
      <c r="E16" t="s">
        <v>572</v>
      </c>
      <c r="F16" t="s">
        <v>145</v>
      </c>
      <c r="G16" t="s">
        <v>176</v>
      </c>
      <c r="H16" t="s">
        <v>215</v>
      </c>
      <c r="I16" t="s">
        <v>351</v>
      </c>
      <c r="J16" t="s">
        <v>2948</v>
      </c>
      <c r="K16" t="s">
        <v>2948</v>
      </c>
      <c r="L16" t="s">
        <v>812</v>
      </c>
      <c r="M16" t="s">
        <v>1638</v>
      </c>
      <c r="N16" t="s">
        <v>170</v>
      </c>
      <c r="O16" t="s">
        <v>152</v>
      </c>
      <c r="P16" t="s">
        <v>153</v>
      </c>
      <c r="Q16">
        <v>3500</v>
      </c>
      <c r="R16" t="s">
        <v>154</v>
      </c>
      <c r="S16">
        <v>3500</v>
      </c>
      <c r="T16" t="s">
        <v>155</v>
      </c>
      <c r="U16" t="s">
        <v>334</v>
      </c>
      <c r="V16">
        <v>2023</v>
      </c>
      <c r="W16" t="s">
        <v>2949</v>
      </c>
      <c r="Y16" t="s">
        <v>2950</v>
      </c>
    </row>
    <row r="17" spans="1:25" x14ac:dyDescent="0.45">
      <c r="A17" t="s">
        <v>157</v>
      </c>
      <c r="B17" t="s">
        <v>460</v>
      </c>
      <c r="C17" t="s">
        <v>189</v>
      </c>
      <c r="D17" t="s">
        <v>272</v>
      </c>
      <c r="E17" t="s">
        <v>572</v>
      </c>
      <c r="F17" t="s">
        <v>145</v>
      </c>
      <c r="G17" t="s">
        <v>206</v>
      </c>
      <c r="H17" t="s">
        <v>270</v>
      </c>
      <c r="I17" t="s">
        <v>812</v>
      </c>
      <c r="J17" t="s">
        <v>2951</v>
      </c>
      <c r="K17" t="s">
        <v>2951</v>
      </c>
      <c r="L17" t="s">
        <v>812</v>
      </c>
      <c r="M17" t="s">
        <v>598</v>
      </c>
      <c r="N17" t="s">
        <v>170</v>
      </c>
      <c r="O17" t="s">
        <v>152</v>
      </c>
      <c r="P17" t="s">
        <v>153</v>
      </c>
      <c r="Q17">
        <v>14.685</v>
      </c>
      <c r="R17" t="s">
        <v>2695</v>
      </c>
      <c r="S17">
        <v>17.891999999999999</v>
      </c>
      <c r="T17" t="s">
        <v>155</v>
      </c>
      <c r="U17" t="s">
        <v>334</v>
      </c>
      <c r="V17">
        <v>2023</v>
      </c>
      <c r="W17" t="s">
        <v>2952</v>
      </c>
      <c r="Y17" t="s">
        <v>2953</v>
      </c>
    </row>
    <row r="18" spans="1:25" x14ac:dyDescent="0.45">
      <c r="A18" t="s">
        <v>157</v>
      </c>
      <c r="D18" t="s">
        <v>272</v>
      </c>
      <c r="E18" t="s">
        <v>572</v>
      </c>
      <c r="F18" t="s">
        <v>145</v>
      </c>
      <c r="G18" t="s">
        <v>176</v>
      </c>
      <c r="H18" t="s">
        <v>244</v>
      </c>
      <c r="I18" t="s">
        <v>480</v>
      </c>
      <c r="J18" t="s">
        <v>2954</v>
      </c>
      <c r="K18" t="s">
        <v>2954</v>
      </c>
      <c r="L18" t="s">
        <v>812</v>
      </c>
      <c r="M18" t="s">
        <v>2399</v>
      </c>
      <c r="N18" t="s">
        <v>170</v>
      </c>
      <c r="O18" t="s">
        <v>152</v>
      </c>
      <c r="P18" t="s">
        <v>204</v>
      </c>
      <c r="R18" t="s">
        <v>154</v>
      </c>
      <c r="T18" t="s">
        <v>155</v>
      </c>
      <c r="U18" t="s">
        <v>334</v>
      </c>
      <c r="V18">
        <v>2023</v>
      </c>
      <c r="W18" t="s">
        <v>2955</v>
      </c>
      <c r="X18" t="s">
        <v>2956</v>
      </c>
      <c r="Y18" t="s">
        <v>2957</v>
      </c>
    </row>
    <row r="19" spans="1:25" x14ac:dyDescent="0.45">
      <c r="A19" t="s">
        <v>157</v>
      </c>
      <c r="B19" t="s">
        <v>645</v>
      </c>
      <c r="C19" t="s">
        <v>189</v>
      </c>
      <c r="D19" t="s">
        <v>272</v>
      </c>
      <c r="E19" t="s">
        <v>572</v>
      </c>
      <c r="F19" t="s">
        <v>145</v>
      </c>
      <c r="G19" t="s">
        <v>190</v>
      </c>
      <c r="H19" t="s">
        <v>238</v>
      </c>
      <c r="I19" t="s">
        <v>859</v>
      </c>
      <c r="J19" t="s">
        <v>2958</v>
      </c>
      <c r="K19" t="s">
        <v>2958</v>
      </c>
      <c r="L19" t="s">
        <v>149</v>
      </c>
      <c r="M19" t="s">
        <v>598</v>
      </c>
      <c r="N19" t="s">
        <v>194</v>
      </c>
      <c r="O19" t="s">
        <v>152</v>
      </c>
      <c r="P19" t="s">
        <v>153</v>
      </c>
      <c r="Q19">
        <v>120</v>
      </c>
      <c r="R19" t="s">
        <v>2644</v>
      </c>
      <c r="S19">
        <v>120</v>
      </c>
      <c r="T19" t="s">
        <v>155</v>
      </c>
      <c r="U19" t="s">
        <v>220</v>
      </c>
      <c r="V19">
        <v>2023</v>
      </c>
      <c r="W19" t="s">
        <v>2959</v>
      </c>
      <c r="Y19" t="s">
        <v>2960</v>
      </c>
    </row>
    <row r="20" spans="1:25" x14ac:dyDescent="0.45">
      <c r="A20" t="s">
        <v>157</v>
      </c>
      <c r="C20" t="s">
        <v>189</v>
      </c>
      <c r="D20" t="s">
        <v>272</v>
      </c>
      <c r="E20" t="s">
        <v>572</v>
      </c>
      <c r="F20" t="s">
        <v>145</v>
      </c>
      <c r="G20" t="s">
        <v>176</v>
      </c>
      <c r="H20" t="s">
        <v>17</v>
      </c>
      <c r="I20" t="s">
        <v>17</v>
      </c>
      <c r="J20" t="s">
        <v>2961</v>
      </c>
      <c r="K20" t="s">
        <v>2962</v>
      </c>
      <c r="L20" t="s">
        <v>812</v>
      </c>
      <c r="M20" t="s">
        <v>598</v>
      </c>
      <c r="N20" t="s">
        <v>170</v>
      </c>
      <c r="O20" t="s">
        <v>152</v>
      </c>
      <c r="P20" t="s">
        <v>153</v>
      </c>
      <c r="Q20">
        <v>115</v>
      </c>
      <c r="R20" t="s">
        <v>154</v>
      </c>
      <c r="S20">
        <v>115</v>
      </c>
      <c r="T20" t="s">
        <v>155</v>
      </c>
      <c r="U20" t="s">
        <v>334</v>
      </c>
      <c r="V20">
        <v>2023</v>
      </c>
      <c r="W20" t="s">
        <v>2963</v>
      </c>
      <c r="X20" t="s">
        <v>2916</v>
      </c>
      <c r="Y20" t="s">
        <v>2964</v>
      </c>
    </row>
    <row r="21" spans="1:25" x14ac:dyDescent="0.45">
      <c r="A21" t="s">
        <v>157</v>
      </c>
      <c r="D21" t="s">
        <v>272</v>
      </c>
      <c r="E21" t="s">
        <v>572</v>
      </c>
      <c r="F21" t="s">
        <v>145</v>
      </c>
      <c r="G21" t="s">
        <v>176</v>
      </c>
      <c r="H21" t="s">
        <v>244</v>
      </c>
      <c r="I21" t="s">
        <v>480</v>
      </c>
      <c r="J21" t="s">
        <v>2965</v>
      </c>
      <c r="K21" t="s">
        <v>2965</v>
      </c>
      <c r="L21" t="s">
        <v>812</v>
      </c>
      <c r="M21" t="s">
        <v>598</v>
      </c>
      <c r="N21" t="s">
        <v>170</v>
      </c>
      <c r="O21" t="s">
        <v>152</v>
      </c>
      <c r="P21" t="s">
        <v>153</v>
      </c>
      <c r="Q21">
        <v>95</v>
      </c>
      <c r="R21" t="s">
        <v>154</v>
      </c>
      <c r="S21">
        <v>95</v>
      </c>
      <c r="T21" t="s">
        <v>155</v>
      </c>
      <c r="U21" t="s">
        <v>334</v>
      </c>
      <c r="V21">
        <v>2023</v>
      </c>
      <c r="W21" t="s">
        <v>2966</v>
      </c>
      <c r="Y21" t="s">
        <v>2967</v>
      </c>
    </row>
    <row r="22" spans="1:25" x14ac:dyDescent="0.45">
      <c r="A22" t="s">
        <v>272</v>
      </c>
      <c r="B22" t="s">
        <v>572</v>
      </c>
      <c r="C22" t="s">
        <v>189</v>
      </c>
      <c r="D22" t="s">
        <v>272</v>
      </c>
      <c r="E22" t="s">
        <v>572</v>
      </c>
      <c r="F22" t="s">
        <v>166</v>
      </c>
      <c r="G22" t="s">
        <v>160</v>
      </c>
      <c r="H22" t="s">
        <v>221</v>
      </c>
      <c r="I22" t="s">
        <v>429</v>
      </c>
      <c r="J22" t="s">
        <v>2968</v>
      </c>
      <c r="K22" t="s">
        <v>2968</v>
      </c>
      <c r="L22" t="s">
        <v>179</v>
      </c>
      <c r="M22" t="s">
        <v>598</v>
      </c>
      <c r="N22" t="s">
        <v>170</v>
      </c>
      <c r="O22" t="s">
        <v>152</v>
      </c>
      <c r="P22" t="s">
        <v>204</v>
      </c>
      <c r="R22" t="s">
        <v>154</v>
      </c>
      <c r="T22" t="s">
        <v>155</v>
      </c>
      <c r="U22" t="s">
        <v>334</v>
      </c>
      <c r="V22">
        <v>2023</v>
      </c>
      <c r="W22" t="s">
        <v>2969</v>
      </c>
      <c r="X22" t="s">
        <v>2970</v>
      </c>
      <c r="Y22" t="s">
        <v>2971</v>
      </c>
    </row>
    <row r="23" spans="1:25" x14ac:dyDescent="0.45">
      <c r="A23" t="s">
        <v>272</v>
      </c>
      <c r="B23" t="s">
        <v>572</v>
      </c>
      <c r="C23" t="s">
        <v>189</v>
      </c>
      <c r="D23" t="s">
        <v>272</v>
      </c>
      <c r="E23" t="s">
        <v>572</v>
      </c>
      <c r="F23" t="s">
        <v>166</v>
      </c>
      <c r="G23" t="s">
        <v>190</v>
      </c>
      <c r="H23" t="s">
        <v>238</v>
      </c>
      <c r="I23" t="s">
        <v>812</v>
      </c>
      <c r="J23" t="s">
        <v>812</v>
      </c>
      <c r="K23" t="s">
        <v>812</v>
      </c>
      <c r="L23" t="s">
        <v>149</v>
      </c>
      <c r="M23" t="s">
        <v>1170</v>
      </c>
      <c r="N23" t="s">
        <v>170</v>
      </c>
      <c r="O23" t="s">
        <v>152</v>
      </c>
      <c r="P23" t="s">
        <v>153</v>
      </c>
      <c r="Q23">
        <v>218</v>
      </c>
      <c r="R23" t="s">
        <v>2929</v>
      </c>
      <c r="S23">
        <v>56.673000000000002</v>
      </c>
      <c r="T23" t="s">
        <v>155</v>
      </c>
      <c r="U23" t="s">
        <v>334</v>
      </c>
      <c r="V23">
        <v>2023</v>
      </c>
      <c r="W23" t="s">
        <v>2972</v>
      </c>
      <c r="X23" t="s">
        <v>2973</v>
      </c>
      <c r="Y23" t="s">
        <v>2974</v>
      </c>
    </row>
    <row r="24" spans="1:25" x14ac:dyDescent="0.45">
      <c r="A24" t="s">
        <v>157</v>
      </c>
      <c r="C24" t="s">
        <v>189</v>
      </c>
      <c r="D24" t="s">
        <v>272</v>
      </c>
      <c r="E24" t="s">
        <v>572</v>
      </c>
      <c r="F24" t="s">
        <v>145</v>
      </c>
      <c r="G24" t="s">
        <v>182</v>
      </c>
      <c r="H24" t="s">
        <v>186</v>
      </c>
      <c r="I24" t="s">
        <v>186</v>
      </c>
      <c r="J24" t="s">
        <v>2975</v>
      </c>
      <c r="K24" t="s">
        <v>2975</v>
      </c>
      <c r="L24" t="s">
        <v>812</v>
      </c>
      <c r="M24" t="s">
        <v>598</v>
      </c>
      <c r="N24" t="s">
        <v>170</v>
      </c>
      <c r="O24">
        <v>1</v>
      </c>
      <c r="P24" t="s">
        <v>153</v>
      </c>
      <c r="Q24">
        <v>200</v>
      </c>
      <c r="R24" t="s">
        <v>154</v>
      </c>
      <c r="S24">
        <v>200</v>
      </c>
      <c r="T24" t="s">
        <v>155</v>
      </c>
      <c r="U24" t="s">
        <v>334</v>
      </c>
      <c r="V24">
        <v>2023</v>
      </c>
      <c r="W24" t="s">
        <v>2976</v>
      </c>
      <c r="X24" t="s">
        <v>2977</v>
      </c>
      <c r="Y24" t="s">
        <v>2978</v>
      </c>
    </row>
    <row r="25" spans="1:25" x14ac:dyDescent="0.45">
      <c r="D25" t="s">
        <v>272</v>
      </c>
      <c r="E25" t="s">
        <v>572</v>
      </c>
      <c r="F25" t="s">
        <v>145</v>
      </c>
      <c r="G25" t="s">
        <v>176</v>
      </c>
      <c r="H25" t="s">
        <v>244</v>
      </c>
      <c r="I25" t="s">
        <v>480</v>
      </c>
      <c r="J25" t="s">
        <v>2979</v>
      </c>
      <c r="K25" t="s">
        <v>2979</v>
      </c>
      <c r="L25" t="s">
        <v>812</v>
      </c>
      <c r="M25" t="s">
        <v>1074</v>
      </c>
      <c r="N25" t="s">
        <v>170</v>
      </c>
      <c r="O25" t="s">
        <v>152</v>
      </c>
      <c r="P25" t="s">
        <v>153</v>
      </c>
      <c r="Q25">
        <v>40</v>
      </c>
      <c r="R25" t="s">
        <v>154</v>
      </c>
      <c r="S25">
        <v>40</v>
      </c>
      <c r="T25" t="s">
        <v>155</v>
      </c>
      <c r="U25" t="s">
        <v>326</v>
      </c>
      <c r="V25">
        <v>2023</v>
      </c>
      <c r="W25" t="s">
        <v>2980</v>
      </c>
      <c r="X25" t="s">
        <v>2981</v>
      </c>
      <c r="Y25" t="s">
        <v>2982</v>
      </c>
    </row>
    <row r="26" spans="1:25" x14ac:dyDescent="0.45">
      <c r="A26" t="s">
        <v>265</v>
      </c>
      <c r="B26" t="s">
        <v>406</v>
      </c>
      <c r="C26" t="s">
        <v>144</v>
      </c>
      <c r="D26" t="s">
        <v>272</v>
      </c>
      <c r="E26" t="s">
        <v>572</v>
      </c>
      <c r="F26" t="s">
        <v>145</v>
      </c>
      <c r="G26" t="s">
        <v>176</v>
      </c>
      <c r="H26" t="s">
        <v>259</v>
      </c>
      <c r="I26" t="s">
        <v>269</v>
      </c>
      <c r="J26" t="s">
        <v>2983</v>
      </c>
      <c r="K26" t="s">
        <v>2984</v>
      </c>
      <c r="L26" t="s">
        <v>812</v>
      </c>
      <c r="M26" t="s">
        <v>2062</v>
      </c>
      <c r="N26" t="s">
        <v>170</v>
      </c>
      <c r="O26" t="s">
        <v>152</v>
      </c>
      <c r="P26" t="s">
        <v>153</v>
      </c>
      <c r="Q26">
        <v>50</v>
      </c>
      <c r="R26" t="s">
        <v>2985</v>
      </c>
      <c r="S26">
        <v>32.145000000000003</v>
      </c>
      <c r="T26" t="s">
        <v>155</v>
      </c>
      <c r="U26" t="s">
        <v>326</v>
      </c>
      <c r="V26">
        <v>2023</v>
      </c>
      <c r="W26" t="s">
        <v>2986</v>
      </c>
      <c r="X26" t="s">
        <v>2987</v>
      </c>
      <c r="Y26" t="s">
        <v>2988</v>
      </c>
    </row>
    <row r="27" spans="1:25" x14ac:dyDescent="0.45">
      <c r="A27" t="s">
        <v>157</v>
      </c>
      <c r="B27" t="s">
        <v>580</v>
      </c>
      <c r="C27" t="s">
        <v>189</v>
      </c>
      <c r="D27" t="s">
        <v>272</v>
      </c>
      <c r="E27" t="s">
        <v>572</v>
      </c>
      <c r="F27" t="s">
        <v>145</v>
      </c>
      <c r="G27" t="s">
        <v>176</v>
      </c>
      <c r="H27" t="s">
        <v>215</v>
      </c>
      <c r="I27" t="s">
        <v>288</v>
      </c>
      <c r="J27" t="s">
        <v>2989</v>
      </c>
      <c r="K27" t="s">
        <v>2989</v>
      </c>
      <c r="L27" t="s">
        <v>812</v>
      </c>
      <c r="M27" t="s">
        <v>598</v>
      </c>
      <c r="N27" t="s">
        <v>170</v>
      </c>
      <c r="O27" t="s">
        <v>152</v>
      </c>
      <c r="P27" t="s">
        <v>153</v>
      </c>
      <c r="Q27">
        <v>55</v>
      </c>
      <c r="R27" t="s">
        <v>154</v>
      </c>
      <c r="S27">
        <v>55</v>
      </c>
      <c r="T27" t="s">
        <v>155</v>
      </c>
      <c r="U27" t="s">
        <v>326</v>
      </c>
      <c r="V27">
        <v>2023</v>
      </c>
      <c r="W27" t="s">
        <v>2990</v>
      </c>
      <c r="Y27" t="s">
        <v>2991</v>
      </c>
    </row>
    <row r="28" spans="1:25" x14ac:dyDescent="0.45">
      <c r="A28" t="s">
        <v>265</v>
      </c>
      <c r="C28" t="s">
        <v>144</v>
      </c>
      <c r="D28" t="s">
        <v>272</v>
      </c>
      <c r="E28" t="s">
        <v>572</v>
      </c>
      <c r="F28" t="s">
        <v>145</v>
      </c>
      <c r="G28" t="s">
        <v>176</v>
      </c>
      <c r="H28" t="s">
        <v>215</v>
      </c>
      <c r="I28" t="s">
        <v>207</v>
      </c>
      <c r="J28" t="s">
        <v>812</v>
      </c>
      <c r="K28" t="s">
        <v>812</v>
      </c>
      <c r="L28" t="s">
        <v>812</v>
      </c>
      <c r="M28" t="s">
        <v>2062</v>
      </c>
      <c r="N28" t="s">
        <v>151</v>
      </c>
      <c r="O28" t="s">
        <v>812</v>
      </c>
      <c r="P28" t="s">
        <v>153</v>
      </c>
      <c r="Q28">
        <v>30</v>
      </c>
      <c r="R28" t="s">
        <v>154</v>
      </c>
      <c r="S28">
        <v>30</v>
      </c>
      <c r="T28" t="s">
        <v>155</v>
      </c>
      <c r="U28" t="s">
        <v>326</v>
      </c>
      <c r="V28">
        <v>2023</v>
      </c>
      <c r="W28" t="s">
        <v>2992</v>
      </c>
      <c r="X28" t="s">
        <v>2993</v>
      </c>
      <c r="Y28" t="s">
        <v>2994</v>
      </c>
    </row>
    <row r="29" spans="1:25" x14ac:dyDescent="0.45">
      <c r="A29" t="s">
        <v>504</v>
      </c>
      <c r="B29" t="s">
        <v>946</v>
      </c>
      <c r="C29" t="s">
        <v>165</v>
      </c>
      <c r="D29" t="s">
        <v>272</v>
      </c>
      <c r="E29" t="s">
        <v>572</v>
      </c>
      <c r="F29" t="s">
        <v>145</v>
      </c>
      <c r="G29" t="s">
        <v>176</v>
      </c>
      <c r="H29" t="s">
        <v>17</v>
      </c>
      <c r="I29" t="s">
        <v>17</v>
      </c>
      <c r="J29" t="s">
        <v>2995</v>
      </c>
      <c r="K29" t="s">
        <v>2995</v>
      </c>
      <c r="L29" t="s">
        <v>812</v>
      </c>
      <c r="M29" t="s">
        <v>1710</v>
      </c>
      <c r="N29" t="s">
        <v>170</v>
      </c>
      <c r="O29">
        <v>1050</v>
      </c>
      <c r="P29" t="s">
        <v>204</v>
      </c>
      <c r="Q29">
        <v>1.575</v>
      </c>
      <c r="R29" t="s">
        <v>154</v>
      </c>
      <c r="S29">
        <v>1.575</v>
      </c>
      <c r="T29" t="s">
        <v>155</v>
      </c>
      <c r="U29" t="s">
        <v>312</v>
      </c>
      <c r="V29">
        <v>2023</v>
      </c>
      <c r="W29" t="s">
        <v>2996</v>
      </c>
      <c r="X29" t="s">
        <v>2997</v>
      </c>
      <c r="Y29" t="s">
        <v>2998</v>
      </c>
    </row>
    <row r="30" spans="1:25" x14ac:dyDescent="0.45">
      <c r="A30" t="s">
        <v>272</v>
      </c>
      <c r="B30" t="s">
        <v>572</v>
      </c>
      <c r="C30" t="s">
        <v>189</v>
      </c>
      <c r="D30" t="s">
        <v>272</v>
      </c>
      <c r="E30" t="s">
        <v>572</v>
      </c>
      <c r="F30" t="s">
        <v>166</v>
      </c>
      <c r="G30" t="s">
        <v>176</v>
      </c>
      <c r="H30" t="s">
        <v>17</v>
      </c>
      <c r="I30" t="s">
        <v>17</v>
      </c>
      <c r="J30" t="s">
        <v>2999</v>
      </c>
      <c r="K30" t="s">
        <v>2999</v>
      </c>
      <c r="L30" t="s">
        <v>812</v>
      </c>
      <c r="M30" t="s">
        <v>598</v>
      </c>
      <c r="N30" t="s">
        <v>170</v>
      </c>
      <c r="O30" t="s">
        <v>152</v>
      </c>
      <c r="P30" t="s">
        <v>153</v>
      </c>
      <c r="Q30">
        <v>60</v>
      </c>
      <c r="R30" t="s">
        <v>154</v>
      </c>
      <c r="S30">
        <v>60</v>
      </c>
      <c r="T30" t="s">
        <v>155</v>
      </c>
      <c r="U30" t="s">
        <v>312</v>
      </c>
      <c r="V30">
        <v>2023</v>
      </c>
      <c r="W30" t="s">
        <v>3000</v>
      </c>
      <c r="Y30" t="s">
        <v>3001</v>
      </c>
    </row>
    <row r="31" spans="1:25" x14ac:dyDescent="0.45">
      <c r="A31" t="s">
        <v>157</v>
      </c>
      <c r="B31" t="s">
        <v>394</v>
      </c>
      <c r="C31" t="s">
        <v>165</v>
      </c>
      <c r="D31" t="s">
        <v>272</v>
      </c>
      <c r="E31" t="s">
        <v>572</v>
      </c>
      <c r="F31" t="s">
        <v>145</v>
      </c>
      <c r="G31" t="s">
        <v>176</v>
      </c>
      <c r="H31" t="s">
        <v>259</v>
      </c>
      <c r="I31" t="s">
        <v>269</v>
      </c>
      <c r="J31" t="s">
        <v>3002</v>
      </c>
      <c r="K31" t="s">
        <v>3003</v>
      </c>
      <c r="L31" t="s">
        <v>812</v>
      </c>
      <c r="M31" t="s">
        <v>2062</v>
      </c>
      <c r="N31" t="s">
        <v>170</v>
      </c>
      <c r="O31" t="s">
        <v>152</v>
      </c>
      <c r="P31" t="s">
        <v>153</v>
      </c>
      <c r="Q31">
        <v>143</v>
      </c>
      <c r="R31" t="s">
        <v>2781</v>
      </c>
      <c r="S31">
        <v>160.101</v>
      </c>
      <c r="T31" t="s">
        <v>155</v>
      </c>
      <c r="U31" t="s">
        <v>312</v>
      </c>
      <c r="V31">
        <v>2023</v>
      </c>
      <c r="W31" t="s">
        <v>3004</v>
      </c>
      <c r="Y31" t="s">
        <v>3005</v>
      </c>
    </row>
    <row r="32" spans="1:25" x14ac:dyDescent="0.45">
      <c r="D32" t="s">
        <v>272</v>
      </c>
      <c r="E32" t="s">
        <v>572</v>
      </c>
      <c r="F32" t="s">
        <v>145</v>
      </c>
      <c r="G32" t="s">
        <v>176</v>
      </c>
      <c r="H32" t="s">
        <v>259</v>
      </c>
      <c r="I32" t="s">
        <v>269</v>
      </c>
      <c r="J32" t="s">
        <v>3006</v>
      </c>
      <c r="K32" t="s">
        <v>3006</v>
      </c>
      <c r="L32" t="s">
        <v>812</v>
      </c>
      <c r="M32" t="s">
        <v>598</v>
      </c>
      <c r="N32" t="s">
        <v>170</v>
      </c>
      <c r="O32" t="s">
        <v>3007</v>
      </c>
      <c r="P32" t="s">
        <v>153</v>
      </c>
      <c r="Q32">
        <v>150</v>
      </c>
      <c r="R32" t="s">
        <v>154</v>
      </c>
      <c r="S32">
        <v>150</v>
      </c>
      <c r="T32" t="s">
        <v>155</v>
      </c>
      <c r="U32" t="s">
        <v>312</v>
      </c>
      <c r="V32">
        <v>2023</v>
      </c>
      <c r="W32" t="s">
        <v>3008</v>
      </c>
      <c r="X32" t="s">
        <v>3009</v>
      </c>
      <c r="Y32" t="s">
        <v>3010</v>
      </c>
    </row>
    <row r="33" spans="1:25" x14ac:dyDescent="0.45">
      <c r="A33" t="s">
        <v>157</v>
      </c>
      <c r="B33" t="s">
        <v>460</v>
      </c>
      <c r="C33" t="s">
        <v>189</v>
      </c>
      <c r="D33" t="s">
        <v>272</v>
      </c>
      <c r="E33" t="s">
        <v>572</v>
      </c>
      <c r="F33" t="s">
        <v>145</v>
      </c>
      <c r="G33" t="s">
        <v>182</v>
      </c>
      <c r="H33" t="s">
        <v>278</v>
      </c>
      <c r="I33" t="s">
        <v>279</v>
      </c>
      <c r="J33" t="s">
        <v>3011</v>
      </c>
      <c r="K33" t="s">
        <v>3011</v>
      </c>
      <c r="L33" t="s">
        <v>812</v>
      </c>
      <c r="M33" t="s">
        <v>2062</v>
      </c>
      <c r="N33" t="s">
        <v>2617</v>
      </c>
      <c r="O33" t="s">
        <v>812</v>
      </c>
      <c r="P33" t="s">
        <v>153</v>
      </c>
      <c r="Q33">
        <v>20</v>
      </c>
      <c r="R33" t="s">
        <v>2695</v>
      </c>
      <c r="S33">
        <v>26.206</v>
      </c>
      <c r="T33" t="s">
        <v>155</v>
      </c>
      <c r="U33" t="s">
        <v>312</v>
      </c>
      <c r="V33">
        <v>2023</v>
      </c>
      <c r="W33" t="s">
        <v>3012</v>
      </c>
      <c r="Y33" t="s">
        <v>3013</v>
      </c>
    </row>
    <row r="34" spans="1:25" x14ac:dyDescent="0.45">
      <c r="A34" t="s">
        <v>265</v>
      </c>
      <c r="B34" t="s">
        <v>904</v>
      </c>
      <c r="C34" t="s">
        <v>159</v>
      </c>
      <c r="D34" t="s">
        <v>272</v>
      </c>
      <c r="E34" t="s">
        <v>572</v>
      </c>
      <c r="F34" t="s">
        <v>145</v>
      </c>
      <c r="G34" t="s">
        <v>160</v>
      </c>
      <c r="H34" t="s">
        <v>161</v>
      </c>
      <c r="I34" t="s">
        <v>321</v>
      </c>
      <c r="J34" t="s">
        <v>3014</v>
      </c>
      <c r="K34" t="s">
        <v>3014</v>
      </c>
      <c r="L34" t="s">
        <v>149</v>
      </c>
      <c r="M34" t="s">
        <v>598</v>
      </c>
      <c r="N34" t="s">
        <v>170</v>
      </c>
      <c r="O34">
        <v>2</v>
      </c>
      <c r="P34" t="s">
        <v>153</v>
      </c>
      <c r="Q34">
        <v>114</v>
      </c>
      <c r="R34" t="s">
        <v>2903</v>
      </c>
      <c r="S34">
        <v>114</v>
      </c>
      <c r="T34" t="s">
        <v>155</v>
      </c>
      <c r="U34" t="s">
        <v>312</v>
      </c>
      <c r="V34">
        <v>2023</v>
      </c>
      <c r="W34" t="s">
        <v>3015</v>
      </c>
      <c r="X34" t="s">
        <v>3016</v>
      </c>
      <c r="Y34" t="s">
        <v>3017</v>
      </c>
    </row>
    <row r="35" spans="1:25" x14ac:dyDescent="0.45">
      <c r="A35" t="s">
        <v>157</v>
      </c>
      <c r="B35" t="s">
        <v>645</v>
      </c>
      <c r="C35" t="s">
        <v>189</v>
      </c>
      <c r="D35" t="s">
        <v>272</v>
      </c>
      <c r="E35" t="s">
        <v>572</v>
      </c>
      <c r="F35" t="s">
        <v>145</v>
      </c>
      <c r="G35" t="s">
        <v>160</v>
      </c>
      <c r="H35" t="s">
        <v>161</v>
      </c>
      <c r="I35" t="s">
        <v>321</v>
      </c>
      <c r="J35" t="s">
        <v>3018</v>
      </c>
      <c r="K35" t="s">
        <v>3018</v>
      </c>
      <c r="L35" t="s">
        <v>179</v>
      </c>
      <c r="M35" t="s">
        <v>598</v>
      </c>
      <c r="N35" t="s">
        <v>170</v>
      </c>
      <c r="O35">
        <v>3</v>
      </c>
      <c r="P35" t="s">
        <v>153</v>
      </c>
      <c r="Q35">
        <v>180</v>
      </c>
      <c r="R35" t="s">
        <v>154</v>
      </c>
      <c r="S35">
        <v>180</v>
      </c>
      <c r="T35" t="s">
        <v>155</v>
      </c>
      <c r="U35" t="s">
        <v>299</v>
      </c>
      <c r="V35">
        <v>2023</v>
      </c>
      <c r="W35" t="s">
        <v>3019</v>
      </c>
      <c r="X35" t="s">
        <v>3020</v>
      </c>
      <c r="Y35" t="s">
        <v>3021</v>
      </c>
    </row>
    <row r="36" spans="1:25" x14ac:dyDescent="0.45">
      <c r="A36" t="s">
        <v>157</v>
      </c>
      <c r="B36" t="s">
        <v>460</v>
      </c>
      <c r="C36" t="s">
        <v>165</v>
      </c>
      <c r="D36" t="s">
        <v>272</v>
      </c>
      <c r="E36" t="s">
        <v>572</v>
      </c>
      <c r="F36" t="s">
        <v>145</v>
      </c>
      <c r="G36" t="s">
        <v>182</v>
      </c>
      <c r="H36" t="s">
        <v>200</v>
      </c>
      <c r="I36" t="s">
        <v>456</v>
      </c>
      <c r="J36" t="s">
        <v>3022</v>
      </c>
      <c r="K36" t="s">
        <v>3022</v>
      </c>
      <c r="L36" t="s">
        <v>812</v>
      </c>
      <c r="M36" t="s">
        <v>598</v>
      </c>
      <c r="N36" t="s">
        <v>170</v>
      </c>
      <c r="O36">
        <v>90</v>
      </c>
      <c r="P36" t="s">
        <v>204</v>
      </c>
      <c r="R36" t="s">
        <v>154</v>
      </c>
      <c r="T36" t="s">
        <v>155</v>
      </c>
      <c r="U36" t="s">
        <v>282</v>
      </c>
      <c r="V36">
        <v>2023</v>
      </c>
      <c r="W36" t="s">
        <v>3023</v>
      </c>
      <c r="X36" t="s">
        <v>3024</v>
      </c>
      <c r="Y36" t="s">
        <v>3025</v>
      </c>
    </row>
    <row r="37" spans="1:25" x14ac:dyDescent="0.45">
      <c r="A37" t="s">
        <v>157</v>
      </c>
      <c r="B37" t="s">
        <v>580</v>
      </c>
      <c r="C37" t="s">
        <v>189</v>
      </c>
      <c r="D37" t="s">
        <v>272</v>
      </c>
      <c r="E37" t="s">
        <v>572</v>
      </c>
      <c r="F37" t="s">
        <v>145</v>
      </c>
      <c r="G37" t="s">
        <v>176</v>
      </c>
      <c r="H37" t="s">
        <v>259</v>
      </c>
      <c r="I37" t="s">
        <v>269</v>
      </c>
      <c r="J37" t="s">
        <v>3006</v>
      </c>
      <c r="K37" t="s">
        <v>3006</v>
      </c>
      <c r="L37" t="s">
        <v>812</v>
      </c>
      <c r="M37" t="s">
        <v>598</v>
      </c>
      <c r="N37" t="s">
        <v>170</v>
      </c>
      <c r="O37">
        <v>20</v>
      </c>
      <c r="P37" t="s">
        <v>153</v>
      </c>
      <c r="Q37">
        <v>305</v>
      </c>
      <c r="R37" t="s">
        <v>154</v>
      </c>
      <c r="S37">
        <v>305</v>
      </c>
      <c r="T37" t="s">
        <v>155</v>
      </c>
      <c r="U37" t="s">
        <v>282</v>
      </c>
      <c r="V37">
        <v>2023</v>
      </c>
      <c r="W37" t="s">
        <v>3026</v>
      </c>
      <c r="Y37" t="s">
        <v>3027</v>
      </c>
    </row>
    <row r="38" spans="1:25" x14ac:dyDescent="0.45">
      <c r="A38" t="s">
        <v>157</v>
      </c>
      <c r="B38" t="s">
        <v>662</v>
      </c>
      <c r="C38" t="s">
        <v>189</v>
      </c>
      <c r="D38" t="s">
        <v>272</v>
      </c>
      <c r="E38" t="s">
        <v>572</v>
      </c>
      <c r="F38" t="s">
        <v>145</v>
      </c>
      <c r="G38" t="s">
        <v>190</v>
      </c>
      <c r="H38" t="s">
        <v>317</v>
      </c>
      <c r="I38" t="s">
        <v>849</v>
      </c>
      <c r="J38" t="s">
        <v>3028</v>
      </c>
      <c r="K38" t="s">
        <v>3028</v>
      </c>
      <c r="L38" t="s">
        <v>149</v>
      </c>
      <c r="M38" t="s">
        <v>598</v>
      </c>
      <c r="N38" t="s">
        <v>170</v>
      </c>
      <c r="O38" t="s">
        <v>152</v>
      </c>
      <c r="P38" t="s">
        <v>153</v>
      </c>
      <c r="Q38">
        <v>20</v>
      </c>
      <c r="R38" t="s">
        <v>2781</v>
      </c>
      <c r="S38">
        <v>21.748000000000001</v>
      </c>
      <c r="T38" t="s">
        <v>155</v>
      </c>
      <c r="U38" t="s">
        <v>282</v>
      </c>
      <c r="V38">
        <v>2023</v>
      </c>
      <c r="W38" t="s">
        <v>3029</v>
      </c>
      <c r="Y38" t="s">
        <v>3030</v>
      </c>
    </row>
    <row r="39" spans="1:25" x14ac:dyDescent="0.45">
      <c r="A39" t="s">
        <v>157</v>
      </c>
      <c r="B39" t="s">
        <v>912</v>
      </c>
      <c r="C39" t="s">
        <v>165</v>
      </c>
      <c r="D39" t="s">
        <v>272</v>
      </c>
      <c r="E39" t="s">
        <v>572</v>
      </c>
      <c r="F39" t="s">
        <v>145</v>
      </c>
      <c r="G39" t="s">
        <v>176</v>
      </c>
      <c r="H39" t="s">
        <v>244</v>
      </c>
      <c r="I39" t="s">
        <v>480</v>
      </c>
      <c r="J39" t="s">
        <v>3031</v>
      </c>
      <c r="K39" t="s">
        <v>3031</v>
      </c>
      <c r="L39" t="s">
        <v>812</v>
      </c>
      <c r="M39" t="s">
        <v>1638</v>
      </c>
      <c r="N39" t="s">
        <v>170</v>
      </c>
      <c r="O39" t="s">
        <v>152</v>
      </c>
      <c r="P39" t="s">
        <v>153</v>
      </c>
      <c r="Q39">
        <v>100</v>
      </c>
      <c r="R39" t="s">
        <v>2781</v>
      </c>
      <c r="S39">
        <v>110</v>
      </c>
      <c r="T39" t="s">
        <v>155</v>
      </c>
      <c r="U39" t="s">
        <v>282</v>
      </c>
      <c r="V39">
        <v>2023</v>
      </c>
      <c r="W39" t="s">
        <v>3032</v>
      </c>
      <c r="Y39" t="s">
        <v>3033</v>
      </c>
    </row>
    <row r="40" spans="1:25" x14ac:dyDescent="0.45">
      <c r="A40" t="s">
        <v>152</v>
      </c>
      <c r="D40" t="s">
        <v>272</v>
      </c>
      <c r="E40" t="s">
        <v>572</v>
      </c>
      <c r="F40" t="s">
        <v>145</v>
      </c>
      <c r="G40" t="s">
        <v>182</v>
      </c>
      <c r="H40" t="s">
        <v>186</v>
      </c>
      <c r="I40" t="s">
        <v>186</v>
      </c>
      <c r="J40" t="s">
        <v>3034</v>
      </c>
      <c r="K40" t="s">
        <v>3034</v>
      </c>
      <c r="L40" t="s">
        <v>812</v>
      </c>
      <c r="M40" t="s">
        <v>1638</v>
      </c>
      <c r="N40" t="s">
        <v>170</v>
      </c>
      <c r="O40" t="s">
        <v>152</v>
      </c>
      <c r="P40" t="s">
        <v>153</v>
      </c>
      <c r="Q40">
        <v>100</v>
      </c>
      <c r="R40" t="s">
        <v>154</v>
      </c>
      <c r="S40">
        <v>100</v>
      </c>
      <c r="T40" t="s">
        <v>155</v>
      </c>
      <c r="U40" t="s">
        <v>282</v>
      </c>
      <c r="V40">
        <v>2023</v>
      </c>
      <c r="W40" t="s">
        <v>3035</v>
      </c>
      <c r="X40" t="s">
        <v>3036</v>
      </c>
      <c r="Y40" t="s">
        <v>3037</v>
      </c>
    </row>
    <row r="41" spans="1:25" x14ac:dyDescent="0.45">
      <c r="A41" t="s">
        <v>504</v>
      </c>
      <c r="B41" t="s">
        <v>940</v>
      </c>
      <c r="C41" t="s">
        <v>159</v>
      </c>
      <c r="D41" t="s">
        <v>272</v>
      </c>
      <c r="E41" t="s">
        <v>572</v>
      </c>
      <c r="F41" t="s">
        <v>145</v>
      </c>
      <c r="G41" t="s">
        <v>160</v>
      </c>
      <c r="H41" t="s">
        <v>161</v>
      </c>
      <c r="I41" t="s">
        <v>321</v>
      </c>
      <c r="J41" t="s">
        <v>3038</v>
      </c>
      <c r="K41" t="s">
        <v>3038</v>
      </c>
      <c r="L41" t="s">
        <v>149</v>
      </c>
      <c r="M41" t="s">
        <v>598</v>
      </c>
      <c r="N41" t="s">
        <v>194</v>
      </c>
      <c r="O41">
        <v>2</v>
      </c>
      <c r="P41" t="s">
        <v>153</v>
      </c>
      <c r="Q41">
        <v>91.849000000000004</v>
      </c>
      <c r="R41" t="s">
        <v>154</v>
      </c>
      <c r="S41">
        <v>91.849000000000004</v>
      </c>
      <c r="T41" t="s">
        <v>155</v>
      </c>
      <c r="U41" t="s">
        <v>246</v>
      </c>
      <c r="V41">
        <v>2023</v>
      </c>
      <c r="W41" t="s">
        <v>3039</v>
      </c>
      <c r="X41" t="s">
        <v>3040</v>
      </c>
      <c r="Y41" t="s">
        <v>3041</v>
      </c>
    </row>
    <row r="42" spans="1:25" x14ac:dyDescent="0.45">
      <c r="A42" t="s">
        <v>504</v>
      </c>
      <c r="B42" t="s">
        <v>940</v>
      </c>
      <c r="C42" t="s">
        <v>189</v>
      </c>
      <c r="D42" t="s">
        <v>272</v>
      </c>
      <c r="E42" t="s">
        <v>572</v>
      </c>
      <c r="F42" t="s">
        <v>145</v>
      </c>
      <c r="G42" t="s">
        <v>190</v>
      </c>
      <c r="H42" t="s">
        <v>317</v>
      </c>
      <c r="I42" t="s">
        <v>845</v>
      </c>
      <c r="J42" t="s">
        <v>2754</v>
      </c>
      <c r="K42" t="s">
        <v>2754</v>
      </c>
      <c r="L42" t="s">
        <v>149</v>
      </c>
      <c r="M42" t="s">
        <v>598</v>
      </c>
      <c r="N42" t="s">
        <v>170</v>
      </c>
      <c r="O42" t="s">
        <v>152</v>
      </c>
      <c r="P42" t="s">
        <v>153</v>
      </c>
      <c r="Q42">
        <v>101.711</v>
      </c>
      <c r="R42" t="s">
        <v>2644</v>
      </c>
      <c r="S42">
        <v>101.711</v>
      </c>
      <c r="T42" t="s">
        <v>155</v>
      </c>
      <c r="U42" t="s">
        <v>246</v>
      </c>
      <c r="V42">
        <v>2023</v>
      </c>
      <c r="W42" t="s">
        <v>2755</v>
      </c>
      <c r="X42" t="s">
        <v>2756</v>
      </c>
      <c r="Y42" t="s">
        <v>2757</v>
      </c>
    </row>
    <row r="43" spans="1:25" x14ac:dyDescent="0.45">
      <c r="A43" t="s">
        <v>157</v>
      </c>
      <c r="B43" t="s">
        <v>914</v>
      </c>
      <c r="C43" t="s">
        <v>189</v>
      </c>
      <c r="D43" t="s">
        <v>272</v>
      </c>
      <c r="E43" t="s">
        <v>572</v>
      </c>
      <c r="F43" t="s">
        <v>145</v>
      </c>
      <c r="G43" t="s">
        <v>176</v>
      </c>
      <c r="H43" t="s">
        <v>259</v>
      </c>
      <c r="I43" t="s">
        <v>264</v>
      </c>
      <c r="J43" t="s">
        <v>2846</v>
      </c>
      <c r="K43" t="s">
        <v>2846</v>
      </c>
      <c r="L43" t="s">
        <v>812</v>
      </c>
      <c r="M43" t="s">
        <v>2062</v>
      </c>
      <c r="N43" t="s">
        <v>170</v>
      </c>
      <c r="O43" t="s">
        <v>152</v>
      </c>
      <c r="P43" t="s">
        <v>153</v>
      </c>
      <c r="Q43">
        <v>370</v>
      </c>
      <c r="R43" t="s">
        <v>2781</v>
      </c>
      <c r="S43">
        <v>404.37200000000001</v>
      </c>
      <c r="T43" t="s">
        <v>155</v>
      </c>
      <c r="U43" t="s">
        <v>246</v>
      </c>
      <c r="V43">
        <v>2023</v>
      </c>
      <c r="W43" t="s">
        <v>2847</v>
      </c>
      <c r="X43" t="s">
        <v>2848</v>
      </c>
      <c r="Y43" t="s">
        <v>2849</v>
      </c>
    </row>
    <row r="44" spans="1:25" x14ac:dyDescent="0.45">
      <c r="A44" t="s">
        <v>157</v>
      </c>
      <c r="B44" t="s">
        <v>788</v>
      </c>
      <c r="C44" t="s">
        <v>165</v>
      </c>
      <c r="D44" t="s">
        <v>272</v>
      </c>
      <c r="E44" t="s">
        <v>572</v>
      </c>
      <c r="F44" t="s">
        <v>145</v>
      </c>
      <c r="G44" t="s">
        <v>176</v>
      </c>
      <c r="H44" t="s">
        <v>259</v>
      </c>
      <c r="I44" t="s">
        <v>303</v>
      </c>
      <c r="J44" t="s">
        <v>2850</v>
      </c>
      <c r="K44" t="s">
        <v>2850</v>
      </c>
      <c r="L44" t="s">
        <v>812</v>
      </c>
      <c r="M44" t="s">
        <v>2062</v>
      </c>
      <c r="N44" t="s">
        <v>170</v>
      </c>
      <c r="O44" t="s">
        <v>152</v>
      </c>
      <c r="P44" t="s">
        <v>153</v>
      </c>
      <c r="Q44">
        <v>316</v>
      </c>
      <c r="R44" t="s">
        <v>2781</v>
      </c>
      <c r="S44">
        <v>344.726</v>
      </c>
      <c r="T44" t="s">
        <v>155</v>
      </c>
      <c r="U44" t="s">
        <v>246</v>
      </c>
      <c r="V44">
        <v>2023</v>
      </c>
      <c r="W44" t="s">
        <v>2851</v>
      </c>
      <c r="X44" t="s">
        <v>2852</v>
      </c>
      <c r="Y44" t="s">
        <v>2853</v>
      </c>
    </row>
    <row r="45" spans="1:25" x14ac:dyDescent="0.45">
      <c r="A45" t="s">
        <v>157</v>
      </c>
      <c r="D45" t="s">
        <v>272</v>
      </c>
      <c r="E45" t="s">
        <v>572</v>
      </c>
      <c r="F45" t="s">
        <v>145</v>
      </c>
      <c r="G45" t="s">
        <v>176</v>
      </c>
      <c r="H45" t="s">
        <v>244</v>
      </c>
      <c r="J45" t="s">
        <v>812</v>
      </c>
      <c r="K45" t="s">
        <v>812</v>
      </c>
      <c r="L45" t="s">
        <v>812</v>
      </c>
      <c r="M45" t="s">
        <v>598</v>
      </c>
      <c r="N45" t="s">
        <v>170</v>
      </c>
      <c r="O45" t="s">
        <v>152</v>
      </c>
      <c r="P45" t="s">
        <v>153</v>
      </c>
      <c r="Q45">
        <v>280</v>
      </c>
      <c r="R45" t="s">
        <v>2644</v>
      </c>
      <c r="S45">
        <v>280</v>
      </c>
      <c r="T45" t="s">
        <v>155</v>
      </c>
      <c r="U45" t="s">
        <v>246</v>
      </c>
      <c r="V45">
        <v>2023</v>
      </c>
      <c r="W45" t="s">
        <v>2854</v>
      </c>
      <c r="X45" t="s">
        <v>2855</v>
      </c>
      <c r="Y45" t="s">
        <v>2856</v>
      </c>
    </row>
  </sheetData>
  <pageMargins left="0.7" right="0.7" top="0.75" bottom="0.75" header="0.3" footer="0.3"/>
  <headerFooter>
    <oddFooter>&amp;L_x000D_&amp;1#&amp;"Rockwell"&amp;9&amp;K0078D7 Information Classification: General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3306-F66B-4164-B1B2-9AF7B504A417}">
  <dimension ref="C3:Y166"/>
  <sheetViews>
    <sheetView topLeftCell="S9" workbookViewId="0">
      <selection activeCell="Y22" sqref="Y22"/>
    </sheetView>
  </sheetViews>
  <sheetFormatPr defaultRowHeight="16.5" x14ac:dyDescent="0.45"/>
  <cols>
    <col min="1" max="1" width="3.23046875" customWidth="1"/>
    <col min="3" max="3" width="12.765625" bestFit="1" customWidth="1"/>
    <col min="4" max="4" width="23.07421875" bestFit="1" customWidth="1"/>
    <col min="5" max="5" width="8.69140625" bestFit="1" customWidth="1"/>
    <col min="6" max="6" width="3.765625" customWidth="1"/>
    <col min="7" max="7" width="17" bestFit="1" customWidth="1"/>
    <col min="8" max="8" width="23.07421875" bestFit="1" customWidth="1"/>
    <col min="9" max="9" width="11" bestFit="1" customWidth="1"/>
    <col min="10" max="10" width="4" bestFit="1" customWidth="1"/>
    <col min="11" max="11" width="12.3046875" bestFit="1" customWidth="1"/>
    <col min="12" max="12" width="5.3046875" bestFit="1" customWidth="1"/>
    <col min="13" max="13" width="9.765625" bestFit="1" customWidth="1"/>
    <col min="14" max="14" width="3.765625" customWidth="1"/>
    <col min="15" max="15" width="17" bestFit="1" customWidth="1"/>
    <col min="16" max="16" width="23.07421875" bestFit="1" customWidth="1"/>
    <col min="19" max="19" width="12.3046875" bestFit="1" customWidth="1"/>
    <col min="20" max="20" width="23.07421875" bestFit="1" customWidth="1"/>
    <col min="22" max="22" width="17" bestFit="1" customWidth="1"/>
    <col min="23" max="23" width="23.07421875" bestFit="1" customWidth="1"/>
    <col min="25" max="25" width="36.84375" bestFit="1" customWidth="1"/>
    <col min="26" max="26" width="23.07421875" bestFit="1" customWidth="1"/>
  </cols>
  <sheetData>
    <row r="3" spans="11:12" x14ac:dyDescent="0.45">
      <c r="K3" s="97" t="s">
        <v>114</v>
      </c>
      <c r="L3" t="s">
        <v>3042</v>
      </c>
    </row>
    <row r="4" spans="11:12" x14ac:dyDescent="0.45">
      <c r="K4" s="97" t="s">
        <v>115</v>
      </c>
      <c r="L4" t="s">
        <v>3042</v>
      </c>
    </row>
    <row r="5" spans="11:12" x14ac:dyDescent="0.45">
      <c r="K5" s="97" t="s">
        <v>117</v>
      </c>
      <c r="L5" t="s">
        <v>3042</v>
      </c>
    </row>
    <row r="6" spans="11:12" x14ac:dyDescent="0.45">
      <c r="K6" s="97" t="s">
        <v>118</v>
      </c>
      <c r="L6" t="s">
        <v>3042</v>
      </c>
    </row>
    <row r="7" spans="11:12" x14ac:dyDescent="0.45">
      <c r="K7" s="97" t="s">
        <v>120</v>
      </c>
      <c r="L7" t="s">
        <v>3042</v>
      </c>
    </row>
    <row r="8" spans="11:12" x14ac:dyDescent="0.45">
      <c r="K8" s="97" t="s">
        <v>121</v>
      </c>
      <c r="L8" t="s">
        <v>3042</v>
      </c>
    </row>
    <row r="9" spans="11:12" x14ac:dyDescent="0.45">
      <c r="K9" s="97" t="s">
        <v>127</v>
      </c>
      <c r="L9" t="s">
        <v>3042</v>
      </c>
    </row>
    <row r="18" spans="3:25" x14ac:dyDescent="0.45">
      <c r="C18" t="s">
        <v>3043</v>
      </c>
      <c r="G18" t="s">
        <v>3044</v>
      </c>
      <c r="O18" t="s">
        <v>3045</v>
      </c>
      <c r="S18" t="s">
        <v>3046</v>
      </c>
      <c r="V18" t="s">
        <v>3047</v>
      </c>
      <c r="Y18" t="s">
        <v>3048</v>
      </c>
    </row>
    <row r="20" spans="3:25" x14ac:dyDescent="0.45">
      <c r="C20" s="123"/>
      <c r="D20" s="124"/>
      <c r="E20" s="125"/>
      <c r="G20" s="97" t="s">
        <v>3049</v>
      </c>
      <c r="K20" s="97" t="s">
        <v>3049</v>
      </c>
      <c r="O20" s="97" t="s">
        <v>3049</v>
      </c>
      <c r="S20" s="97" t="s">
        <v>3049</v>
      </c>
      <c r="V20" s="97" t="s">
        <v>3049</v>
      </c>
      <c r="Y20" s="97" t="s">
        <v>3049</v>
      </c>
    </row>
    <row r="21" spans="3:25" x14ac:dyDescent="0.45">
      <c r="C21" s="126"/>
      <c r="D21" s="127"/>
      <c r="E21" s="128"/>
      <c r="G21" s="78" t="s">
        <v>160</v>
      </c>
      <c r="K21" s="78" t="s">
        <v>151</v>
      </c>
      <c r="O21" s="78" t="s">
        <v>406</v>
      </c>
      <c r="S21" s="78" t="s">
        <v>287</v>
      </c>
      <c r="V21" s="78" t="s">
        <v>406</v>
      </c>
      <c r="Y21" s="78" t="s">
        <v>304</v>
      </c>
    </row>
    <row r="22" spans="3:25" x14ac:dyDescent="0.45">
      <c r="C22" s="126"/>
      <c r="D22" s="127"/>
      <c r="E22" s="128"/>
      <c r="G22" s="78" t="s">
        <v>182</v>
      </c>
      <c r="K22" s="78" t="s">
        <v>398</v>
      </c>
      <c r="O22" s="78" t="s">
        <v>405</v>
      </c>
      <c r="S22" s="78" t="s">
        <v>143</v>
      </c>
      <c r="V22" s="78" t="s">
        <v>405</v>
      </c>
      <c r="Y22" s="78" t="s">
        <v>442</v>
      </c>
    </row>
    <row r="23" spans="3:25" x14ac:dyDescent="0.45">
      <c r="C23" s="126"/>
      <c r="D23" s="127"/>
      <c r="E23" s="128"/>
      <c r="G23" s="78" t="s">
        <v>167</v>
      </c>
      <c r="K23" s="78" t="s">
        <v>170</v>
      </c>
      <c r="O23" s="78" t="s">
        <v>390</v>
      </c>
      <c r="S23" s="78" t="s">
        <v>780</v>
      </c>
      <c r="V23" s="78" t="s">
        <v>390</v>
      </c>
      <c r="Y23" s="78" t="s">
        <v>455</v>
      </c>
    </row>
    <row r="24" spans="3:25" x14ac:dyDescent="0.45">
      <c r="C24" s="126"/>
      <c r="D24" s="127"/>
      <c r="E24" s="128"/>
      <c r="G24" s="78" t="s">
        <v>190</v>
      </c>
      <c r="K24" s="78" t="s">
        <v>3</v>
      </c>
      <c r="O24" s="78" t="s">
        <v>394</v>
      </c>
      <c r="S24" s="78" t="s">
        <v>158</v>
      </c>
      <c r="V24" s="78" t="s">
        <v>394</v>
      </c>
      <c r="Y24" s="78" t="s">
        <v>196</v>
      </c>
    </row>
    <row r="25" spans="3:25" x14ac:dyDescent="0.45">
      <c r="C25" s="126"/>
      <c r="D25" s="127"/>
      <c r="E25" s="128"/>
      <c r="G25" s="78" t="s">
        <v>146</v>
      </c>
      <c r="K25" s="78" t="s">
        <v>194</v>
      </c>
      <c r="O25" s="78" t="s">
        <v>277</v>
      </c>
      <c r="S25" s="78" t="s">
        <v>781</v>
      </c>
      <c r="V25" s="78" t="s">
        <v>277</v>
      </c>
      <c r="Y25" s="78" t="s">
        <v>249</v>
      </c>
    </row>
    <row r="26" spans="3:25" x14ac:dyDescent="0.45">
      <c r="C26" s="126"/>
      <c r="D26" s="127"/>
      <c r="E26" s="128"/>
      <c r="G26" s="78" t="s">
        <v>172</v>
      </c>
      <c r="K26" s="78" t="s">
        <v>780</v>
      </c>
      <c r="O26" s="78" t="s">
        <v>355</v>
      </c>
      <c r="S26" s="78" t="s">
        <v>3050</v>
      </c>
      <c r="V26" s="78" t="s">
        <v>355</v>
      </c>
      <c r="Y26" s="78" t="s">
        <v>262</v>
      </c>
    </row>
    <row r="27" spans="3:25" x14ac:dyDescent="0.45">
      <c r="C27" s="126"/>
      <c r="D27" s="127"/>
      <c r="E27" s="128"/>
      <c r="G27" s="78" t="s">
        <v>206</v>
      </c>
      <c r="K27" s="78" t="s">
        <v>175</v>
      </c>
      <c r="O27" s="78" t="s">
        <v>287</v>
      </c>
      <c r="V27" s="78" t="s">
        <v>287</v>
      </c>
      <c r="Y27" s="78" t="s">
        <v>216</v>
      </c>
    </row>
    <row r="28" spans="3:25" x14ac:dyDescent="0.45">
      <c r="C28" s="126"/>
      <c r="D28" s="127"/>
      <c r="E28" s="128"/>
      <c r="G28" s="78" t="s">
        <v>176</v>
      </c>
      <c r="K28" s="78" t="s">
        <v>3050</v>
      </c>
      <c r="O28" s="78" t="s">
        <v>402</v>
      </c>
      <c r="V28" s="78" t="s">
        <v>402</v>
      </c>
      <c r="Y28" s="78" t="s">
        <v>306</v>
      </c>
    </row>
    <row r="29" spans="3:25" x14ac:dyDescent="0.45">
      <c r="C29" s="126"/>
      <c r="D29" s="127"/>
      <c r="E29" s="128"/>
      <c r="G29" s="78" t="s">
        <v>780</v>
      </c>
      <c r="O29" s="78" t="s">
        <v>407</v>
      </c>
      <c r="V29" s="78" t="s">
        <v>407</v>
      </c>
      <c r="Y29" s="78" t="s">
        <v>431</v>
      </c>
    </row>
    <row r="30" spans="3:25" x14ac:dyDescent="0.45">
      <c r="C30" s="126"/>
      <c r="D30" s="127"/>
      <c r="E30" s="128"/>
      <c r="G30" s="78" t="s">
        <v>781</v>
      </c>
      <c r="O30" s="78" t="s">
        <v>408</v>
      </c>
      <c r="V30" s="78" t="s">
        <v>408</v>
      </c>
      <c r="Y30" s="78" t="s">
        <v>310</v>
      </c>
    </row>
    <row r="31" spans="3:25" x14ac:dyDescent="0.45">
      <c r="C31" s="126"/>
      <c r="D31" s="127"/>
      <c r="E31" s="128"/>
      <c r="G31" s="78" t="s">
        <v>3050</v>
      </c>
      <c r="O31" s="78" t="s">
        <v>266</v>
      </c>
      <c r="V31" s="78" t="s">
        <v>266</v>
      </c>
      <c r="Y31" s="78" t="s">
        <v>452</v>
      </c>
    </row>
    <row r="32" spans="3:25" x14ac:dyDescent="0.45">
      <c r="C32" s="126"/>
      <c r="D32" s="127"/>
      <c r="E32" s="128"/>
      <c r="O32" s="78" t="s">
        <v>460</v>
      </c>
      <c r="V32" s="78" t="s">
        <v>460</v>
      </c>
      <c r="Y32" s="78" t="s">
        <v>314</v>
      </c>
    </row>
    <row r="33" spans="3:25" x14ac:dyDescent="0.45">
      <c r="C33" s="126"/>
      <c r="D33" s="127"/>
      <c r="E33" s="128"/>
      <c r="O33" s="78" t="s">
        <v>143</v>
      </c>
      <c r="V33" s="78" t="s">
        <v>143</v>
      </c>
      <c r="Y33" s="78" t="s">
        <v>199</v>
      </c>
    </row>
    <row r="34" spans="3:25" x14ac:dyDescent="0.45">
      <c r="C34" s="126"/>
      <c r="D34" s="127"/>
      <c r="E34" s="128"/>
      <c r="O34" s="78" t="s">
        <v>780</v>
      </c>
      <c r="V34" s="78" t="s">
        <v>780</v>
      </c>
      <c r="Y34" s="78" t="s">
        <v>320</v>
      </c>
    </row>
    <row r="35" spans="3:25" x14ac:dyDescent="0.45">
      <c r="C35" s="126"/>
      <c r="D35" s="127"/>
      <c r="E35" s="128"/>
      <c r="O35" s="78" t="s">
        <v>256</v>
      </c>
      <c r="V35" s="78" t="s">
        <v>256</v>
      </c>
      <c r="Y35" s="78" t="s">
        <v>354</v>
      </c>
    </row>
    <row r="36" spans="3:25" x14ac:dyDescent="0.45">
      <c r="C36" s="126"/>
      <c r="D36" s="127"/>
      <c r="E36" s="128"/>
      <c r="O36" s="78" t="s">
        <v>418</v>
      </c>
      <c r="V36" s="78" t="s">
        <v>418</v>
      </c>
      <c r="Y36" s="78" t="s">
        <v>404</v>
      </c>
    </row>
    <row r="37" spans="3:25" x14ac:dyDescent="0.45">
      <c r="C37" s="129"/>
      <c r="D37" s="130"/>
      <c r="E37" s="131"/>
      <c r="O37" s="78" t="s">
        <v>273</v>
      </c>
      <c r="V37" s="78" t="s">
        <v>273</v>
      </c>
      <c r="Y37" s="78" t="s">
        <v>335</v>
      </c>
    </row>
    <row r="38" spans="3:25" x14ac:dyDescent="0.45">
      <c r="O38" s="78" t="s">
        <v>158</v>
      </c>
      <c r="V38" s="78" t="s">
        <v>158</v>
      </c>
      <c r="Y38" s="78" t="s">
        <v>203</v>
      </c>
    </row>
    <row r="39" spans="3:25" x14ac:dyDescent="0.45">
      <c r="O39" s="78" t="s">
        <v>152</v>
      </c>
      <c r="V39" s="78" t="s">
        <v>152</v>
      </c>
      <c r="Y39" s="78" t="s">
        <v>219</v>
      </c>
    </row>
    <row r="40" spans="3:25" x14ac:dyDescent="0.45">
      <c r="O40" s="78" t="s">
        <v>781</v>
      </c>
      <c r="V40" s="78" t="s">
        <v>781</v>
      </c>
      <c r="Y40" s="78" t="s">
        <v>210</v>
      </c>
    </row>
    <row r="41" spans="3:25" x14ac:dyDescent="0.45">
      <c r="O41" s="78" t="s">
        <v>3050</v>
      </c>
      <c r="V41" s="78" t="s">
        <v>3050</v>
      </c>
      <c r="Y41" s="78" t="s">
        <v>384</v>
      </c>
    </row>
    <row r="42" spans="3:25" x14ac:dyDescent="0.45">
      <c r="Y42" s="78" t="s">
        <v>180</v>
      </c>
    </row>
    <row r="43" spans="3:25" x14ac:dyDescent="0.45">
      <c r="Y43" s="78" t="s">
        <v>164</v>
      </c>
    </row>
    <row r="44" spans="3:25" x14ac:dyDescent="0.45">
      <c r="Y44" s="78" t="s">
        <v>224</v>
      </c>
    </row>
    <row r="45" spans="3:25" x14ac:dyDescent="0.45">
      <c r="Y45" s="78" t="s">
        <v>286</v>
      </c>
    </row>
    <row r="46" spans="3:25" x14ac:dyDescent="0.45">
      <c r="Y46" s="78" t="s">
        <v>780</v>
      </c>
    </row>
    <row r="47" spans="3:25" x14ac:dyDescent="0.45">
      <c r="Y47" s="78" t="s">
        <v>150</v>
      </c>
    </row>
    <row r="48" spans="3:25" x14ac:dyDescent="0.45">
      <c r="Y48" s="78" t="s">
        <v>293</v>
      </c>
    </row>
    <row r="49" spans="3:25" x14ac:dyDescent="0.45">
      <c r="Y49" s="78" t="s">
        <v>448</v>
      </c>
    </row>
    <row r="50" spans="3:25" x14ac:dyDescent="0.45">
      <c r="Y50" s="78" t="s">
        <v>289</v>
      </c>
    </row>
    <row r="51" spans="3:25" x14ac:dyDescent="0.45">
      <c r="Y51" s="78" t="s">
        <v>375</v>
      </c>
    </row>
    <row r="52" spans="3:25" x14ac:dyDescent="0.45">
      <c r="Y52" s="78" t="s">
        <v>193</v>
      </c>
    </row>
    <row r="53" spans="3:25" x14ac:dyDescent="0.45">
      <c r="Y53" s="78" t="s">
        <v>254</v>
      </c>
    </row>
    <row r="54" spans="3:25" x14ac:dyDescent="0.45">
      <c r="Y54" s="78" t="s">
        <v>248</v>
      </c>
    </row>
    <row r="55" spans="3:25" x14ac:dyDescent="0.45">
      <c r="C55" s="91"/>
      <c r="Y55" s="78" t="s">
        <v>223</v>
      </c>
    </row>
    <row r="56" spans="3:25" x14ac:dyDescent="0.45">
      <c r="C56" s="91"/>
      <c r="Y56" s="78" t="s">
        <v>258</v>
      </c>
    </row>
    <row r="57" spans="3:25" x14ac:dyDescent="0.45">
      <c r="C57" s="91"/>
      <c r="Y57" s="78" t="s">
        <v>230</v>
      </c>
    </row>
    <row r="58" spans="3:25" x14ac:dyDescent="0.45">
      <c r="Y58" s="78" t="s">
        <v>185</v>
      </c>
    </row>
    <row r="59" spans="3:25" x14ac:dyDescent="0.45">
      <c r="Y59" s="78" t="s">
        <v>324</v>
      </c>
    </row>
    <row r="60" spans="3:25" x14ac:dyDescent="0.45">
      <c r="Y60" s="78" t="s">
        <v>401</v>
      </c>
    </row>
    <row r="61" spans="3:25" x14ac:dyDescent="0.45">
      <c r="Y61" s="78" t="s">
        <v>327</v>
      </c>
    </row>
    <row r="62" spans="3:25" x14ac:dyDescent="0.45">
      <c r="Y62" s="78" t="s">
        <v>292</v>
      </c>
    </row>
    <row r="63" spans="3:25" x14ac:dyDescent="0.45">
      <c r="Y63" s="78" t="s">
        <v>462</v>
      </c>
    </row>
    <row r="64" spans="3:25" x14ac:dyDescent="0.45">
      <c r="Y64" s="78" t="s">
        <v>461</v>
      </c>
    </row>
    <row r="65" spans="25:25" x14ac:dyDescent="0.45">
      <c r="Y65" s="78" t="s">
        <v>212</v>
      </c>
    </row>
    <row r="66" spans="25:25" x14ac:dyDescent="0.45">
      <c r="Y66" s="78" t="s">
        <v>233</v>
      </c>
    </row>
    <row r="67" spans="25:25" x14ac:dyDescent="0.45">
      <c r="Y67" s="78" t="s">
        <v>427</v>
      </c>
    </row>
    <row r="68" spans="25:25" x14ac:dyDescent="0.45">
      <c r="Y68" s="78" t="s">
        <v>346</v>
      </c>
    </row>
    <row r="69" spans="25:25" x14ac:dyDescent="0.45">
      <c r="Y69" s="78" t="s">
        <v>340</v>
      </c>
    </row>
    <row r="70" spans="25:25" x14ac:dyDescent="0.45">
      <c r="Y70" s="78" t="s">
        <v>356</v>
      </c>
    </row>
    <row r="71" spans="25:25" x14ac:dyDescent="0.45">
      <c r="Y71" s="78" t="s">
        <v>174</v>
      </c>
    </row>
    <row r="72" spans="25:25" x14ac:dyDescent="0.45">
      <c r="Y72" s="78" t="s">
        <v>250</v>
      </c>
    </row>
    <row r="73" spans="25:25" x14ac:dyDescent="0.45">
      <c r="Y73" s="78" t="s">
        <v>322</v>
      </c>
    </row>
    <row r="74" spans="25:25" x14ac:dyDescent="0.45">
      <c r="Y74" s="78" t="s">
        <v>242</v>
      </c>
    </row>
    <row r="75" spans="25:25" x14ac:dyDescent="0.45">
      <c r="Y75" s="78" t="s">
        <v>257</v>
      </c>
    </row>
    <row r="76" spans="25:25" x14ac:dyDescent="0.45">
      <c r="Y76" s="78" t="s">
        <v>214</v>
      </c>
    </row>
    <row r="77" spans="25:25" x14ac:dyDescent="0.45">
      <c r="Y77" s="78" t="s">
        <v>388</v>
      </c>
    </row>
    <row r="78" spans="25:25" x14ac:dyDescent="0.45">
      <c r="Y78" s="78" t="s">
        <v>376</v>
      </c>
    </row>
    <row r="79" spans="25:25" x14ac:dyDescent="0.45">
      <c r="Y79" s="78" t="s">
        <v>188</v>
      </c>
    </row>
    <row r="80" spans="25:25" x14ac:dyDescent="0.45">
      <c r="Y80" s="78" t="s">
        <v>227</v>
      </c>
    </row>
    <row r="81" spans="25:25" x14ac:dyDescent="0.45">
      <c r="Y81" s="78" t="s">
        <v>205</v>
      </c>
    </row>
    <row r="82" spans="25:25" x14ac:dyDescent="0.45">
      <c r="Y82" s="78" t="s">
        <v>208</v>
      </c>
    </row>
    <row r="83" spans="25:25" x14ac:dyDescent="0.45">
      <c r="Y83" s="78" t="s">
        <v>229</v>
      </c>
    </row>
    <row r="84" spans="25:25" x14ac:dyDescent="0.45">
      <c r="Y84" s="78" t="s">
        <v>240</v>
      </c>
    </row>
    <row r="85" spans="25:25" x14ac:dyDescent="0.45">
      <c r="Y85" s="78" t="s">
        <v>253</v>
      </c>
    </row>
    <row r="86" spans="25:25" x14ac:dyDescent="0.45">
      <c r="Y86" s="78" t="s">
        <v>255</v>
      </c>
    </row>
    <row r="87" spans="25:25" x14ac:dyDescent="0.45">
      <c r="Y87" s="78" t="s">
        <v>268</v>
      </c>
    </row>
    <row r="88" spans="25:25" x14ac:dyDescent="0.45">
      <c r="Y88" s="78" t="s">
        <v>271</v>
      </c>
    </row>
    <row r="89" spans="25:25" x14ac:dyDescent="0.45">
      <c r="Y89" s="78" t="s">
        <v>276</v>
      </c>
    </row>
    <row r="90" spans="25:25" x14ac:dyDescent="0.45">
      <c r="Y90" s="78" t="s">
        <v>290</v>
      </c>
    </row>
    <row r="91" spans="25:25" x14ac:dyDescent="0.45">
      <c r="Y91" s="78" t="s">
        <v>291</v>
      </c>
    </row>
    <row r="92" spans="25:25" x14ac:dyDescent="0.45">
      <c r="Y92" s="78" t="s">
        <v>298</v>
      </c>
    </row>
    <row r="93" spans="25:25" x14ac:dyDescent="0.45">
      <c r="Y93" s="78" t="s">
        <v>302</v>
      </c>
    </row>
    <row r="94" spans="25:25" x14ac:dyDescent="0.45">
      <c r="Y94" s="78" t="s">
        <v>309</v>
      </c>
    </row>
    <row r="95" spans="25:25" x14ac:dyDescent="0.45">
      <c r="Y95" s="78" t="s">
        <v>311</v>
      </c>
    </row>
    <row r="96" spans="25:25" x14ac:dyDescent="0.45">
      <c r="Y96" s="78" t="s">
        <v>316</v>
      </c>
    </row>
    <row r="97" spans="25:25" x14ac:dyDescent="0.45">
      <c r="Y97" s="78" t="s">
        <v>319</v>
      </c>
    </row>
    <row r="98" spans="25:25" x14ac:dyDescent="0.45">
      <c r="Y98" s="78" t="s">
        <v>323</v>
      </c>
    </row>
    <row r="99" spans="25:25" x14ac:dyDescent="0.45">
      <c r="Y99" s="78" t="s">
        <v>325</v>
      </c>
    </row>
    <row r="100" spans="25:25" x14ac:dyDescent="0.45">
      <c r="Y100" s="78" t="s">
        <v>328</v>
      </c>
    </row>
    <row r="101" spans="25:25" x14ac:dyDescent="0.45">
      <c r="Y101" s="78" t="s">
        <v>330</v>
      </c>
    </row>
    <row r="102" spans="25:25" x14ac:dyDescent="0.45">
      <c r="Y102" s="78" t="s">
        <v>332</v>
      </c>
    </row>
    <row r="103" spans="25:25" x14ac:dyDescent="0.45">
      <c r="Y103" s="78" t="s">
        <v>336</v>
      </c>
    </row>
    <row r="104" spans="25:25" x14ac:dyDescent="0.45">
      <c r="Y104" s="78" t="s">
        <v>339</v>
      </c>
    </row>
    <row r="105" spans="25:25" x14ac:dyDescent="0.45">
      <c r="Y105" s="78" t="s">
        <v>344</v>
      </c>
    </row>
    <row r="106" spans="25:25" x14ac:dyDescent="0.45">
      <c r="Y106" s="78" t="s">
        <v>350</v>
      </c>
    </row>
    <row r="107" spans="25:25" x14ac:dyDescent="0.45">
      <c r="Y107" s="78" t="s">
        <v>352</v>
      </c>
    </row>
    <row r="108" spans="25:25" x14ac:dyDescent="0.45">
      <c r="Y108" s="78" t="s">
        <v>353</v>
      </c>
    </row>
    <row r="109" spans="25:25" x14ac:dyDescent="0.45">
      <c r="Y109" s="78" t="s">
        <v>357</v>
      </c>
    </row>
    <row r="110" spans="25:25" x14ac:dyDescent="0.45">
      <c r="Y110" s="78" t="s">
        <v>358</v>
      </c>
    </row>
    <row r="111" spans="25:25" x14ac:dyDescent="0.45">
      <c r="Y111" s="78" t="s">
        <v>360</v>
      </c>
    </row>
    <row r="112" spans="25:25" x14ac:dyDescent="0.45">
      <c r="Y112" s="78" t="s">
        <v>362</v>
      </c>
    </row>
    <row r="113" spans="25:25" x14ac:dyDescent="0.45">
      <c r="Y113" s="78" t="s">
        <v>364</v>
      </c>
    </row>
    <row r="114" spans="25:25" x14ac:dyDescent="0.45">
      <c r="Y114" s="78" t="s">
        <v>366</v>
      </c>
    </row>
    <row r="115" spans="25:25" x14ac:dyDescent="0.45">
      <c r="Y115" s="78" t="s">
        <v>367</v>
      </c>
    </row>
    <row r="116" spans="25:25" x14ac:dyDescent="0.45">
      <c r="Y116" s="78" t="s">
        <v>369</v>
      </c>
    </row>
    <row r="117" spans="25:25" x14ac:dyDescent="0.45">
      <c r="Y117" s="78" t="s">
        <v>370</v>
      </c>
    </row>
    <row r="118" spans="25:25" x14ac:dyDescent="0.45">
      <c r="Y118" s="78" t="s">
        <v>371</v>
      </c>
    </row>
    <row r="119" spans="25:25" x14ac:dyDescent="0.45">
      <c r="Y119" s="78" t="s">
        <v>373</v>
      </c>
    </row>
    <row r="120" spans="25:25" x14ac:dyDescent="0.45">
      <c r="Y120" s="78" t="s">
        <v>378</v>
      </c>
    </row>
    <row r="121" spans="25:25" x14ac:dyDescent="0.45">
      <c r="Y121" s="78" t="s">
        <v>380</v>
      </c>
    </row>
    <row r="122" spans="25:25" x14ac:dyDescent="0.45">
      <c r="Y122" s="78" t="s">
        <v>381</v>
      </c>
    </row>
    <row r="123" spans="25:25" x14ac:dyDescent="0.45">
      <c r="Y123" s="78" t="s">
        <v>382</v>
      </c>
    </row>
    <row r="124" spans="25:25" x14ac:dyDescent="0.45">
      <c r="Y124" s="78" t="s">
        <v>385</v>
      </c>
    </row>
    <row r="125" spans="25:25" x14ac:dyDescent="0.45">
      <c r="Y125" s="78" t="s">
        <v>387</v>
      </c>
    </row>
    <row r="126" spans="25:25" x14ac:dyDescent="0.45">
      <c r="Y126" s="78" t="s">
        <v>389</v>
      </c>
    </row>
    <row r="127" spans="25:25" x14ac:dyDescent="0.45">
      <c r="Y127" s="78" t="s">
        <v>391</v>
      </c>
    </row>
    <row r="128" spans="25:25" x14ac:dyDescent="0.45">
      <c r="Y128" s="78" t="s">
        <v>392</v>
      </c>
    </row>
    <row r="129" spans="25:25" x14ac:dyDescent="0.45">
      <c r="Y129" s="78" t="s">
        <v>393</v>
      </c>
    </row>
    <row r="130" spans="25:25" x14ac:dyDescent="0.45">
      <c r="Y130" s="78" t="s">
        <v>395</v>
      </c>
    </row>
    <row r="131" spans="25:25" x14ac:dyDescent="0.45">
      <c r="Y131" s="78" t="s">
        <v>397</v>
      </c>
    </row>
    <row r="132" spans="25:25" x14ac:dyDescent="0.45">
      <c r="Y132" s="78" t="s">
        <v>399</v>
      </c>
    </row>
    <row r="133" spans="25:25" x14ac:dyDescent="0.45">
      <c r="Y133" s="78" t="s">
        <v>400</v>
      </c>
    </row>
    <row r="134" spans="25:25" x14ac:dyDescent="0.45">
      <c r="Y134" s="78" t="s">
        <v>409</v>
      </c>
    </row>
    <row r="135" spans="25:25" x14ac:dyDescent="0.45">
      <c r="Y135" s="78" t="s">
        <v>410</v>
      </c>
    </row>
    <row r="136" spans="25:25" x14ac:dyDescent="0.45">
      <c r="Y136" s="78" t="s">
        <v>411</v>
      </c>
    </row>
    <row r="137" spans="25:25" x14ac:dyDescent="0.45">
      <c r="Y137" s="78" t="s">
        <v>413</v>
      </c>
    </row>
    <row r="138" spans="25:25" x14ac:dyDescent="0.45">
      <c r="Y138" s="78" t="s">
        <v>414</v>
      </c>
    </row>
    <row r="139" spans="25:25" x14ac:dyDescent="0.45">
      <c r="Y139" s="78" t="s">
        <v>415</v>
      </c>
    </row>
    <row r="140" spans="25:25" x14ac:dyDescent="0.45">
      <c r="Y140" s="78" t="s">
        <v>416</v>
      </c>
    </row>
    <row r="141" spans="25:25" x14ac:dyDescent="0.45">
      <c r="Y141" s="78" t="s">
        <v>417</v>
      </c>
    </row>
    <row r="142" spans="25:25" x14ac:dyDescent="0.45">
      <c r="Y142" s="78" t="s">
        <v>421</v>
      </c>
    </row>
    <row r="143" spans="25:25" x14ac:dyDescent="0.45">
      <c r="Y143" s="78" t="s">
        <v>422</v>
      </c>
    </row>
    <row r="144" spans="25:25" x14ac:dyDescent="0.45">
      <c r="Y144" s="78" t="s">
        <v>423</v>
      </c>
    </row>
    <row r="145" spans="25:25" x14ac:dyDescent="0.45">
      <c r="Y145" s="78" t="s">
        <v>424</v>
      </c>
    </row>
    <row r="146" spans="25:25" x14ac:dyDescent="0.45">
      <c r="Y146" s="78" t="s">
        <v>425</v>
      </c>
    </row>
    <row r="147" spans="25:25" x14ac:dyDescent="0.45">
      <c r="Y147" s="78" t="s">
        <v>428</v>
      </c>
    </row>
    <row r="148" spans="25:25" x14ac:dyDescent="0.45">
      <c r="Y148" s="78" t="s">
        <v>430</v>
      </c>
    </row>
    <row r="149" spans="25:25" x14ac:dyDescent="0.45">
      <c r="Y149" s="78" t="s">
        <v>433</v>
      </c>
    </row>
    <row r="150" spans="25:25" x14ac:dyDescent="0.45">
      <c r="Y150" s="78" t="s">
        <v>435</v>
      </c>
    </row>
    <row r="151" spans="25:25" x14ac:dyDescent="0.45">
      <c r="Y151" s="78" t="s">
        <v>436</v>
      </c>
    </row>
    <row r="152" spans="25:25" x14ac:dyDescent="0.45">
      <c r="Y152" s="78" t="s">
        <v>438</v>
      </c>
    </row>
    <row r="153" spans="25:25" x14ac:dyDescent="0.45">
      <c r="Y153" s="78" t="s">
        <v>439</v>
      </c>
    </row>
    <row r="154" spans="25:25" x14ac:dyDescent="0.45">
      <c r="Y154" s="78" t="s">
        <v>440</v>
      </c>
    </row>
    <row r="155" spans="25:25" x14ac:dyDescent="0.45">
      <c r="Y155" s="78" t="s">
        <v>443</v>
      </c>
    </row>
    <row r="156" spans="25:25" x14ac:dyDescent="0.45">
      <c r="Y156" s="78" t="s">
        <v>446</v>
      </c>
    </row>
    <row r="157" spans="25:25" x14ac:dyDescent="0.45">
      <c r="Y157" s="78" t="s">
        <v>449</v>
      </c>
    </row>
    <row r="158" spans="25:25" x14ac:dyDescent="0.45">
      <c r="Y158" s="78" t="s">
        <v>450</v>
      </c>
    </row>
    <row r="159" spans="25:25" x14ac:dyDescent="0.45">
      <c r="Y159" s="78" t="s">
        <v>451</v>
      </c>
    </row>
    <row r="160" spans="25:25" x14ac:dyDescent="0.45">
      <c r="Y160" s="78" t="s">
        <v>453</v>
      </c>
    </row>
    <row r="161" spans="25:25" x14ac:dyDescent="0.45">
      <c r="Y161" s="78" t="s">
        <v>454</v>
      </c>
    </row>
    <row r="162" spans="25:25" x14ac:dyDescent="0.45">
      <c r="Y162" s="78" t="s">
        <v>457</v>
      </c>
    </row>
    <row r="163" spans="25:25" x14ac:dyDescent="0.45">
      <c r="Y163" s="78" t="s">
        <v>459</v>
      </c>
    </row>
    <row r="164" spans="25:25" x14ac:dyDescent="0.45">
      <c r="Y164" s="78" t="s">
        <v>463</v>
      </c>
    </row>
    <row r="165" spans="25:25" x14ac:dyDescent="0.45">
      <c r="Y165" s="78" t="s">
        <v>781</v>
      </c>
    </row>
    <row r="166" spans="25:25" x14ac:dyDescent="0.45">
      <c r="Y166" s="78" t="s">
        <v>3050</v>
      </c>
    </row>
  </sheetData>
  <pageMargins left="0.7" right="0.7" top="0.75" bottom="0.75" header="0.3" footer="0.3"/>
  <headerFooter>
    <oddFooter>&amp;L_x000D_&amp;1#&amp;"Rockwell"&amp;9&amp;K0078D7 Information Classification: General</oddFooter>
  </headerFooter>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36a060-49bb-4d2a-892b-f2484cb58a37" xsi:nil="true"/>
    <lcf76f155ced4ddcb4097134ff3c332f xmlns="5e597ac3-129a-46cc-936a-6641f895bb00">
      <Terms xmlns="http://schemas.microsoft.com/office/infopath/2007/PartnerControls"/>
    </lcf76f155ced4ddcb4097134ff3c332f>
    <ArchiverLinkFileType xmlns="5e597ac3-129a-46cc-936a-6641f895bb00"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8EA280A659485498E199E1621FBA04E" ma:contentTypeVersion="25" ma:contentTypeDescription="Create a new document." ma:contentTypeScope="" ma:versionID="50c35c86177fbfc0680ca0dcb4749324">
  <xsd:schema xmlns:xsd="http://www.w3.org/2001/XMLSchema" xmlns:xs="http://www.w3.org/2001/XMLSchema" xmlns:p="http://schemas.microsoft.com/office/2006/metadata/properties" xmlns:ns1="http://schemas.microsoft.com/sharepoint/v3" xmlns:ns2="5e597ac3-129a-46cc-936a-6641f895bb00" xmlns:ns3="0936a060-49bb-4d2a-892b-f2484cb58a37" xmlns:ns4="http://schemas.microsoft.com/sharepoint/v4" targetNamespace="http://schemas.microsoft.com/office/2006/metadata/properties" ma:root="true" ma:fieldsID="5a43e7b35f2c98195129036bcc701282" ns1:_="" ns2:_="" ns3:_="" ns4:_="">
    <xsd:import namespace="http://schemas.microsoft.com/sharepoint/v3"/>
    <xsd:import namespace="5e597ac3-129a-46cc-936a-6641f895bb00"/>
    <xsd:import namespace="0936a060-49bb-4d2a-892b-f2484cb58a37"/>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SearchProperties" minOccurs="0"/>
                <xsd:element ref="ns2:MediaServiceObjectDetectorVersions" minOccurs="0"/>
                <xsd:element ref="ns2:ArchiverLinkFileType" minOccurs="0"/>
                <xsd:element ref="ns2:MediaServiceBillingMetadata" minOccurs="0"/>
                <xsd:element ref="ns4:IconOverlay" minOccurs="0"/>
                <xsd:element ref="ns1:_vti_ItemDeclaredRecord" minOccurs="0"/>
                <xsd:element ref="ns1:_vti_ItemHoldRecord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9" nillable="true" ma:displayName="Declared Record" ma:hidden="true" ma:internalName="_vti_ItemDeclaredRecord" ma:readOnly="true">
      <xsd:simpleType>
        <xsd:restriction base="dms:DateTime"/>
      </xsd:simpleType>
    </xsd:element>
    <xsd:element name="_vti_ItemHoldRecordStatus" ma:index="30"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e597ac3-129a-46cc-936a-6641f895bb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dc0606b-8e5a-4aee-a68c-f4efcab0e830"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ArchiverLinkFileType" ma:index="26" nillable="true" ma:displayName="ArchiverLinkFileType" ma:hidden="true" ma:internalName="ArchiverLinkFileTyp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36a060-49bb-4d2a-892b-f2484cb58a3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b73afa6-bc11-46fe-973b-6d9e9685c6f9}" ma:internalName="TaxCatchAll" ma:showField="CatchAllData" ma:web="0936a060-49bb-4d2a-892b-f2484cb58a3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E4B30D-E71C-45C1-A4F7-705034F5630A}">
  <ds:schemaRefs>
    <ds:schemaRef ds:uri="http://purl.org/dc/elements/1.1/"/>
    <ds:schemaRef ds:uri="http://www.w3.org/XML/1998/namespace"/>
    <ds:schemaRef ds:uri="http://schemas.microsoft.com/office/2006/documentManagement/types"/>
    <ds:schemaRef ds:uri="0936a060-49bb-4d2a-892b-f2484cb58a37"/>
    <ds:schemaRef ds:uri="http://schemas.microsoft.com/office/2006/metadata/properties"/>
    <ds:schemaRef ds:uri="http://schemas.microsoft.com/sharepoint/v3"/>
    <ds:schemaRef ds:uri="http://schemas.microsoft.com/office/infopath/2007/PartnerControls"/>
    <ds:schemaRef ds:uri="http://schemas.openxmlformats.org/package/2006/metadata/core-properties"/>
    <ds:schemaRef ds:uri="http://schemas.microsoft.com/sharepoint/v4"/>
    <ds:schemaRef ds:uri="5e597ac3-129a-46cc-936a-6641f895bb00"/>
    <ds:schemaRef ds:uri="http://purl.org/dc/dcmitype/"/>
    <ds:schemaRef ds:uri="http://purl.org/dc/terms/"/>
  </ds:schemaRefs>
</ds:datastoreItem>
</file>

<file path=customXml/itemProps2.xml><?xml version="1.0" encoding="utf-8"?>
<ds:datastoreItem xmlns:ds="http://schemas.openxmlformats.org/officeDocument/2006/customXml" ds:itemID="{2EC9DD8D-0177-47B1-A39E-EBCB4ED001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e597ac3-129a-46cc-936a-6641f895bb00"/>
    <ds:schemaRef ds:uri="0936a060-49bb-4d2a-892b-f2484cb58a37"/>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E0B96F-E826-47AC-B8D6-9C743648B1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OLD_Capability_Domain_Breakdown</vt:lpstr>
      <vt:lpstr>Contracts</vt:lpstr>
      <vt:lpstr>Dashboard - DRAFT </vt:lpstr>
      <vt:lpstr>May 2023 F-35 value estimation</vt:lpstr>
      <vt:lpstr>DropDown_Fields</vt:lpstr>
      <vt:lpstr>DDFields_Market_Structure</vt:lpstr>
      <vt:lpstr>DDFields_Supplier_Names</vt:lpstr>
      <vt:lpstr>January 2021 US Contracts</vt:lpstr>
      <vt:lpstr>September 2021 US Contracts</vt:lpstr>
      <vt:lpstr>US Aircraft Designations</vt:lpstr>
      <vt:lpstr>DDFields_Contract_Details</vt:lpstr>
      <vt:lpstr>DDFields_Supplier_Customer</vt:lpstr>
      <vt:lpstr>Sheet1</vt:lpstr>
      <vt:lpstr>Sheet3</vt:lpstr>
      <vt:lpstr>Sheet4</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Hutchison, Rachel</dc:creator>
  <cp:keywords/>
  <dc:description/>
  <cp:lastModifiedBy>Amy Wahlang</cp:lastModifiedBy>
  <cp:revision/>
  <dcterms:created xsi:type="dcterms:W3CDTF">2023-01-23T09:53:48Z</dcterms:created>
  <dcterms:modified xsi:type="dcterms:W3CDTF">2025-12-24T05:48:09Z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0x01010028EA280A659485498E199E1621FBA04E</vt:lpwstr>
  </property>
  <property fmtid="{D5CDD505-2E9C-101B-9397-08002B2CF9AE}" pid="3" name="MSIP_Label_2bbab825-a111-45e4-86a1-18cee0005896_Enabled">
    <vt:lpwstr>true</vt:lpwstr>
  </property>
  <property fmtid="{D5CDD505-2E9C-101B-9397-08002B2CF9AE}" pid="4" name="MSIP_Label_2bbab825-a111-45e4-86a1-18cee0005896_SetDate">
    <vt:lpwstr>2023-03-21T14:24:39Z</vt:lpwstr>
  </property>
  <property fmtid="{D5CDD505-2E9C-101B-9397-08002B2CF9AE}" pid="5" name="MSIP_Label_2bbab825-a111-45e4-86a1-18cee0005896_Method">
    <vt:lpwstr>Standard</vt:lpwstr>
  </property>
  <property fmtid="{D5CDD505-2E9C-101B-9397-08002B2CF9AE}" pid="6" name="MSIP_Label_2bbab825-a111-45e4-86a1-18cee0005896_Name">
    <vt:lpwstr>2bbab825-a111-45e4-86a1-18cee0005896</vt:lpwstr>
  </property>
  <property fmtid="{D5CDD505-2E9C-101B-9397-08002B2CF9AE}" pid="7" name="MSIP_Label_2bbab825-a111-45e4-86a1-18cee0005896_SiteId">
    <vt:lpwstr>2567d566-604c-408a-8a60-55d0dc9d9d6b</vt:lpwstr>
  </property>
  <property fmtid="{D5CDD505-2E9C-101B-9397-08002B2CF9AE}" pid="8" name="MSIP_Label_2bbab825-a111-45e4-86a1-18cee0005896_ActionId">
    <vt:lpwstr>37f80889-45c7-44a8-bf08-ebf0be132385</vt:lpwstr>
  </property>
  <property fmtid="{D5CDD505-2E9C-101B-9397-08002B2CF9AE}" pid="9" name="MSIP_Label_2bbab825-a111-45e4-86a1-18cee0005896_ContentBits">
    <vt:lpwstr>2</vt:lpwstr>
  </property>
  <property fmtid="{D5CDD505-2E9C-101B-9397-08002B2CF9AE}" pid="10" name="MediaServiceImageTags">
    <vt:lpwstr/>
  </property>
</Properties>
</file>